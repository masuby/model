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 to use" sheetId="1" state="visible" r:id="rId1"/>
    <sheet xmlns:r="http://schemas.openxmlformats.org/officeDocument/2006/relationships" name="Advanced Entry" sheetId="2" state="visible" r:id="rId2"/>
    <sheet xmlns:r="http://schemas.openxmlformats.org/officeDocument/2006/relationships" name="Advanced 0-10" sheetId="3" state="visible" r:id="rId3"/>
    <sheet xmlns:r="http://schemas.openxmlformats.org/officeDocument/2006/relationships" name="Compone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b val="1"/>
      <color rgb="00B45309"/>
      <sz val="14"/>
    </font>
    <font>
      <color rgb="00000000"/>
      <sz val="10"/>
    </font>
    <font>
      <color rgb="00000000"/>
      <sz val="11"/>
    </font>
    <font>
      <color rgb="00000000"/>
      <sz val="8"/>
    </font>
    <font>
      <i val="1"/>
      <color rgb="0064748B"/>
      <sz val="9"/>
    </font>
    <font>
      <b val="1"/>
      <color rgb="00FFFFFF"/>
      <sz val="10"/>
    </font>
    <font>
      <color rgb="00000000"/>
      <sz val="9"/>
    </font>
    <font>
      <b val="1"/>
      <color rgb="00B45309"/>
      <sz val="9"/>
    </font>
    <font>
      <b val="1"/>
      <color rgb="00FFFFFF"/>
      <sz val="8"/>
    </font>
    <font>
      <b val="1"/>
      <color rgb="00FFFFFF"/>
      <sz val="9"/>
    </font>
    <font>
      <color rgb="001F6F3D"/>
      <sz val="9"/>
    </font>
    <font>
      <b val="1"/>
      <color rgb="001F3A5F"/>
      <sz val="9"/>
    </font>
  </fonts>
  <fills count="10">
    <fill>
      <patternFill/>
    </fill>
    <fill>
      <patternFill patternType="gray125"/>
    </fill>
    <fill>
      <patternFill patternType="solid">
        <fgColor rgb="00B45309"/>
      </patternFill>
    </fill>
    <fill>
      <patternFill patternType="solid">
        <fgColor rgb="00E3F0FB"/>
      </patternFill>
    </fill>
    <fill>
      <patternFill patternType="solid">
        <fgColor rgb="00E8F4E5"/>
      </patternFill>
    </fill>
    <fill>
      <patternFill patternType="solid">
        <fgColor rgb="00E0F2F1"/>
      </patternFill>
    </fill>
    <fill>
      <patternFill patternType="solid">
        <fgColor rgb="00E0F7FA"/>
      </patternFill>
    </fill>
    <fill>
      <patternFill patternType="solid">
        <fgColor rgb="00FFF3E0"/>
      </patternFill>
    </fill>
    <fill>
      <patternFill patternType="solid">
        <fgColor rgb="00F3ECE2"/>
      </patternFill>
    </fill>
    <fill>
      <patternFill patternType="solid">
        <fgColor rgb="00EDE7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6" fillId="2" borderId="0" pivotButton="0" quotePrefix="0" xfId="0"/>
    <xf numFmtId="0" fontId="9" fillId="2" borderId="0" applyAlignment="1" pivotButton="0" quotePrefix="0" xfId="0">
      <alignment vertical="top" wrapText="1"/>
    </xf>
    <xf numFmtId="0" fontId="0" fillId="3" borderId="0" applyProtection="1" pivotButton="0" quotePrefix="0" xfId="0">
      <protection locked="0" hidden="0"/>
    </xf>
    <xf numFmtId="0" fontId="0" fillId="4" borderId="0" applyProtection="1" pivotButton="0" quotePrefix="0" xfId="0">
      <protection locked="0" hidden="0"/>
    </xf>
    <xf numFmtId="0" fontId="0" fillId="5" borderId="0" applyProtection="1" pivotButton="0" quotePrefix="0" xfId="0">
      <protection locked="0" hidden="0"/>
    </xf>
    <xf numFmtId="0" fontId="0" fillId="6" borderId="0" applyProtection="1" pivotButton="0" quotePrefix="0" xfId="0">
      <protection locked="0" hidden="0"/>
    </xf>
    <xf numFmtId="0" fontId="0" fillId="7" borderId="0" applyProtection="1" pivotButton="0" quotePrefix="0" xfId="0">
      <protection locked="0" hidden="0"/>
    </xf>
    <xf numFmtId="0" fontId="0" fillId="8" borderId="0" applyProtection="1" pivotButton="0" quotePrefix="0" xfId="0">
      <protection locked="0" hidden="0"/>
    </xf>
    <xf numFmtId="0" fontId="0" fillId="9" borderId="0" applyProtection="1" pivotButton="0" quotePrefix="0" xfId="0">
      <protection locked="0" hidden="0"/>
    </xf>
    <xf numFmtId="0" fontId="11" fillId="0" borderId="0" pivotButton="0" quotePrefix="0" xfId="0"/>
    <xf numFmtId="0" fontId="10" fillId="2" borderId="0" applyAlignment="1" pivotButton="0" quotePrefix="0" xfId="0">
      <alignment vertical="top" wrapText="1"/>
    </xf>
    <xf numFmtId="0" fontId="1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showGridLines="0" workbookViewId="0">
      <selection activeCell="A1" sqref="A1"/>
    </sheetView>
  </sheetViews>
  <sheetFormatPr baseColWidth="8" defaultRowHeight="15"/>
  <cols>
    <col width="112" customWidth="1" min="1" max="1"/>
  </cols>
  <sheetData>
    <row r="1">
      <c r="A1" s="1" t="inlineStr">
        <is>
          <t>INFORM Tanzania - ADVANCED Data Collection Tool (v2, EXPLODED multi-source)</t>
        </is>
      </c>
    </row>
    <row r="2">
      <c r="A2" s="2" t="inlineStr"/>
    </row>
    <row r="3">
      <c r="A3" s="3" t="inlineStr">
        <is>
          <t>This workbook is SEPARATE from the shared NORMAL tool. Here each hazard is EXPLODED into every</t>
        </is>
      </c>
    </row>
    <row r="4">
      <c r="A4" s="3" t="inlineStr">
        <is>
          <t>institution that holds relevant evidence - each with its OWN cell, in its own unit.</t>
        </is>
      </c>
    </row>
    <row r="5">
      <c r="A5" s="4" t="inlineStr"/>
    </row>
    <row r="6">
      <c r="A6" s="2" t="inlineStr">
        <is>
          <t xml:space="preserve">  Drought    = TMA (SPEI, aridity, rainfall variability) + MoA (season-failure, NDVI, soil) + MoW (water levels)</t>
        </is>
      </c>
    </row>
    <row r="7">
      <c r="A7" s="2" t="inlineStr">
        <is>
          <t xml:space="preserve">  Flood      = TMA (&gt;50 / &gt;100 mm days) + MoW (river peak) + BWB (basin flood records) + PMO-DMD (events)</t>
        </is>
      </c>
    </row>
    <row r="8">
      <c r="A8" s="2" t="inlineStr">
        <is>
          <t xml:space="preserve">  Landslide  = GST (susceptibility hotspots) + TMA (triggering rainfall)</t>
        </is>
      </c>
    </row>
    <row r="9">
      <c r="A9" s="2" t="inlineStr">
        <is>
          <t xml:space="preserve">  Coastal    = TMA (waves, onshore wind, storm surge) + NEMC (shoreline erosion, mangrove loss)</t>
        </is>
      </c>
    </row>
    <row r="10">
      <c r="A10" s="2" t="inlineStr">
        <is>
          <t xml:space="preserve">  Storms / Earthquake / Heatwave / Lightning likewise.</t>
        </is>
      </c>
    </row>
    <row r="11">
      <c r="A11" s="4" t="inlineStr"/>
    </row>
    <row r="12">
      <c r="A12" s="3" t="inlineStr">
        <is>
          <t>1.  Find YOUR institution's coloured columns on the "Advanced Entry" sheet (the Owner row names them).</t>
        </is>
      </c>
    </row>
    <row r="13">
      <c r="A13" s="3" t="inlineStr">
        <is>
          <t>2.  Type the ACTUAL VALUE where you have it. Leave BLANK where you do not - a blank is SKIPPED.</t>
        </is>
      </c>
    </row>
    <row r="14">
      <c r="A14" s="3" t="inlineStr">
        <is>
          <t>3.  "Advanced 0-10" standardises each cell (the proven INFORM pipeline, locked).</t>
        </is>
      </c>
    </row>
    <row r="15">
      <c r="A15" s="3" t="inlineStr">
        <is>
          <t>4.  "Components" aggregates each basket by WEIGHTED AVERAGE over the cells PRESENT - so a missing</t>
        </is>
      </c>
    </row>
    <row r="16">
      <c r="A16" s="3" t="inlineStr">
        <is>
          <t xml:space="preserve">     source never biases the result. If only TMA rainfall is present for a council's landslide,</t>
        </is>
      </c>
    </row>
    <row r="17">
      <c r="A17" s="3" t="inlineStr">
        <is>
          <t xml:space="preserve">     the component is just that evidence; it does not "become the case" for everyone else.</t>
        </is>
      </c>
    </row>
    <row r="18">
      <c r="A18" s="4" t="inlineStr"/>
    </row>
    <row r="19">
      <c r="A19" s="2" t="inlineStr">
        <is>
          <t>Weights are research-PROPOSED (literature-cited in the Basis column) and will be enforced once</t>
        </is>
      </c>
    </row>
    <row r="20">
      <c r="A20" s="2" t="inlineStr">
        <is>
          <t>validated. Nothing here replaces the regional INFORM - it refines it where local data exists.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205"/>
  <sheetViews>
    <sheetView showGridLines="0" workbookViewId="0">
      <pane xSplit="3" ySplit="10" topLeftCell="D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2" customWidth="1" min="2" max="2"/>
    <col width="8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</cols>
  <sheetData>
    <row r="1">
      <c r="C1" s="5" t="inlineStr">
        <is>
          <t>Indicator</t>
        </is>
      </c>
      <c r="D1" s="6" t="inlineStr">
        <is>
          <t>SPEI-12 drought depth</t>
        </is>
      </c>
      <c r="E1" s="6" t="inlineStr">
        <is>
          <t>Aridity (P/PET)</t>
        </is>
      </c>
      <c r="F1" s="6" t="inlineStr">
        <is>
          <t>Rainfall variability (CV)</t>
        </is>
      </c>
      <c r="G1" s="6" t="inlineStr">
        <is>
          <t>Growing-season failure frequency</t>
        </is>
      </c>
      <c r="H1" s="6" t="inlineStr">
        <is>
          <t>Vegetation/biomass anomaly (NDVI z)</t>
        </is>
      </c>
      <c r="I1" s="6" t="inlineStr">
        <is>
          <t>Soil moisture</t>
        </is>
      </c>
      <c r="J1" s="6" t="inlineStr">
        <is>
          <t>Water levels (% of normal)</t>
        </is>
      </c>
      <c r="K1" s="6" t="inlineStr">
        <is>
          <t>Extreme wet days (&gt;50 mm)</t>
        </is>
      </c>
      <c r="L1" s="6" t="inlineStr">
        <is>
          <t>Very-heavy days (&gt;100 mm)</t>
        </is>
      </c>
      <c r="M1" s="6" t="inlineStr">
        <is>
          <t>River peak above normal</t>
        </is>
      </c>
      <c r="N1" s="6" t="inlineStr">
        <is>
          <t>Basin flood records</t>
        </is>
      </c>
      <c r="O1" s="6" t="inlineStr">
        <is>
          <t>Recorded flood impact events</t>
        </is>
      </c>
      <c r="P1" s="6" t="inlineStr">
        <is>
          <t>Landslide susceptibility</t>
        </is>
      </c>
      <c r="Q1" s="6" t="inlineStr">
        <is>
          <t>Triggering rainfall (max 5-day)</t>
        </is>
      </c>
      <c r="R1" s="6" t="inlineStr">
        <is>
          <t>Cyclone/strong-wind frequency</t>
        </is>
      </c>
      <c r="S1" s="6" t="inlineStr">
        <is>
          <t>Extreme wind speed</t>
        </is>
      </c>
      <c r="T1" s="6" t="inlineStr">
        <is>
          <t>Seismic hazard (PGA 475-yr)</t>
        </is>
      </c>
      <c r="U1" s="6" t="inlineStr">
        <is>
          <t>Historical seismicity density</t>
        </is>
      </c>
      <c r="V1" s="6" t="inlineStr">
        <is>
          <t>Significant wave height (Hs 99th pct)</t>
        </is>
      </c>
      <c r="W1" s="6" t="inlineStr">
        <is>
          <t>Extreme onshore wind</t>
        </is>
      </c>
      <c r="X1" s="6" t="inlineStr">
        <is>
          <t>Storm-surge frequency</t>
        </is>
      </c>
      <c r="Y1" s="6" t="inlineStr">
        <is>
          <t>Shoreline retreat / erosion rate</t>
        </is>
      </c>
      <c r="Z1" s="6" t="inlineStr">
        <is>
          <t>Mangrove loss (protective buffer)</t>
        </is>
      </c>
      <c r="AA1" s="6" t="inlineStr">
        <is>
          <t>Heat-health days (&gt; 90th pct Tmax)</t>
        </is>
      </c>
      <c r="AB1" s="6" t="inlineStr">
        <is>
          <t>Flash density</t>
        </is>
      </c>
    </row>
    <row r="2">
      <c r="C2" s="5" t="inlineStr">
        <is>
          <t>Owner</t>
        </is>
      </c>
      <c r="D2" s="7" t="inlineStr">
        <is>
          <t>TMA</t>
        </is>
      </c>
      <c r="E2" s="7" t="inlineStr">
        <is>
          <t>TMA</t>
        </is>
      </c>
      <c r="F2" s="7" t="inlineStr">
        <is>
          <t>TMA</t>
        </is>
      </c>
      <c r="G2" s="7" t="inlineStr">
        <is>
          <t>MoA</t>
        </is>
      </c>
      <c r="H2" s="7" t="inlineStr">
        <is>
          <t>MoA</t>
        </is>
      </c>
      <c r="I2" s="7" t="inlineStr">
        <is>
          <t>MoA</t>
        </is>
      </c>
      <c r="J2" s="7" t="inlineStr">
        <is>
          <t>MoW</t>
        </is>
      </c>
      <c r="K2" s="7" t="inlineStr">
        <is>
          <t>TMA</t>
        </is>
      </c>
      <c r="L2" s="7" t="inlineStr">
        <is>
          <t>TMA</t>
        </is>
      </c>
      <c r="M2" s="7" t="inlineStr">
        <is>
          <t>MoW</t>
        </is>
      </c>
      <c r="N2" s="7" t="inlineStr">
        <is>
          <t>BWB</t>
        </is>
      </c>
      <c r="O2" s="7" t="inlineStr">
        <is>
          <t>PMO-DMD</t>
        </is>
      </c>
      <c r="P2" s="7" t="inlineStr">
        <is>
          <t>GST</t>
        </is>
      </c>
      <c r="Q2" s="7" t="inlineStr">
        <is>
          <t>TMA</t>
        </is>
      </c>
      <c r="R2" s="7" t="inlineStr">
        <is>
          <t>TMA</t>
        </is>
      </c>
      <c r="S2" s="7" t="inlineStr">
        <is>
          <t>TMA</t>
        </is>
      </c>
      <c r="T2" s="7" t="inlineStr">
        <is>
          <t>GST</t>
        </is>
      </c>
      <c r="U2" s="7" t="inlineStr">
        <is>
          <t>GST</t>
        </is>
      </c>
      <c r="V2" s="7" t="inlineStr">
        <is>
          <t>TMA</t>
        </is>
      </c>
      <c r="W2" s="7" t="inlineStr">
        <is>
          <t>TMA</t>
        </is>
      </c>
      <c r="X2" s="7" t="inlineStr">
        <is>
          <t>TMA</t>
        </is>
      </c>
      <c r="Y2" s="7" t="inlineStr">
        <is>
          <t>NEMC</t>
        </is>
      </c>
      <c r="Z2" s="7" t="inlineStr">
        <is>
          <t>NEMC</t>
        </is>
      </c>
      <c r="AA2" s="7" t="inlineStr">
        <is>
          <t>TMA</t>
        </is>
      </c>
      <c r="AB2" s="7" t="inlineStr">
        <is>
          <t>TMA</t>
        </is>
      </c>
    </row>
    <row r="3">
      <c r="C3" s="5" t="inlineStr">
        <is>
          <t>Component</t>
        </is>
      </c>
      <c r="D3" s="6" t="inlineStr">
        <is>
          <t>Drought</t>
        </is>
      </c>
      <c r="E3" s="6" t="inlineStr">
        <is>
          <t>Drought</t>
        </is>
      </c>
      <c r="F3" s="6" t="inlineStr">
        <is>
          <t>Drought</t>
        </is>
      </c>
      <c r="G3" s="6" t="inlineStr">
        <is>
          <t>Drought</t>
        </is>
      </c>
      <c r="H3" s="6" t="inlineStr">
        <is>
          <t>Drought</t>
        </is>
      </c>
      <c r="I3" s="6" t="inlineStr">
        <is>
          <t>Drought</t>
        </is>
      </c>
      <c r="J3" s="6" t="inlineStr">
        <is>
          <t>Drought</t>
        </is>
      </c>
      <c r="K3" s="6" t="inlineStr">
        <is>
          <t>Flood</t>
        </is>
      </c>
      <c r="L3" s="6" t="inlineStr">
        <is>
          <t>Flood</t>
        </is>
      </c>
      <c r="M3" s="6" t="inlineStr">
        <is>
          <t>Flood</t>
        </is>
      </c>
      <c r="N3" s="6" t="inlineStr">
        <is>
          <t>Flood</t>
        </is>
      </c>
      <c r="O3" s="6" t="inlineStr">
        <is>
          <t>Flood</t>
        </is>
      </c>
      <c r="P3" s="6" t="inlineStr">
        <is>
          <t>Landslide</t>
        </is>
      </c>
      <c r="Q3" s="6" t="inlineStr">
        <is>
          <t>Landslide</t>
        </is>
      </c>
      <c r="R3" s="6" t="inlineStr">
        <is>
          <t>Storms &amp; Cyclone</t>
        </is>
      </c>
      <c r="S3" s="6" t="inlineStr">
        <is>
          <t>Storms &amp; Cyclone</t>
        </is>
      </c>
      <c r="T3" s="6" t="inlineStr">
        <is>
          <t>Earthquake</t>
        </is>
      </c>
      <c r="U3" s="6" t="inlineStr">
        <is>
          <t>Earthquake</t>
        </is>
      </c>
      <c r="V3" s="6" t="inlineStr">
        <is>
          <t>Coastal hazards</t>
        </is>
      </c>
      <c r="W3" s="6" t="inlineStr">
        <is>
          <t>Coastal hazards</t>
        </is>
      </c>
      <c r="X3" s="6" t="inlineStr">
        <is>
          <t>Coastal hazards</t>
        </is>
      </c>
      <c r="Y3" s="6" t="inlineStr">
        <is>
          <t>Coastal hazards</t>
        </is>
      </c>
      <c r="Z3" s="6" t="inlineStr">
        <is>
          <t>Coastal hazards</t>
        </is>
      </c>
      <c r="AA3" s="6" t="inlineStr">
        <is>
          <t>Heatwave</t>
        </is>
      </c>
      <c r="AB3" s="6" t="inlineStr">
        <is>
          <t>Lightning</t>
        </is>
      </c>
    </row>
    <row r="4">
      <c r="C4" s="5" t="inlineStr">
        <is>
          <t>Unit</t>
        </is>
      </c>
      <c r="D4" s="6" t="inlineStr">
        <is>
          <t>index</t>
        </is>
      </c>
      <c r="E4" s="6" t="inlineStr">
        <is>
          <t>ratio</t>
        </is>
      </c>
      <c r="F4" s="6" t="inlineStr">
        <is>
          <t>ratio</t>
        </is>
      </c>
      <c r="G4" s="6" t="inlineStr">
        <is>
          <t>fraction</t>
        </is>
      </c>
      <c r="H4" s="6" t="inlineStr">
        <is>
          <t>index</t>
        </is>
      </c>
      <c r="I4" s="6" t="inlineStr">
        <is>
          <t>%</t>
        </is>
      </c>
      <c r="J4" s="6" t="inlineStr">
        <is>
          <t>%</t>
        </is>
      </c>
      <c r="K4" s="6" t="inlineStr">
        <is>
          <t>days/yr</t>
        </is>
      </c>
      <c r="L4" s="6" t="inlineStr">
        <is>
          <t>days/yr</t>
        </is>
      </c>
      <c r="M4" s="6" t="inlineStr">
        <is>
          <t>m</t>
        </is>
      </c>
      <c r="N4" s="6" t="inlineStr">
        <is>
          <t>events/decade</t>
        </is>
      </c>
      <c r="O4" s="6" t="inlineStr">
        <is>
          <t>events/decade</t>
        </is>
      </c>
      <c r="P4" s="6" t="inlineStr">
        <is>
          <t>index 0-1</t>
        </is>
      </c>
      <c r="Q4" s="6" t="inlineStr">
        <is>
          <t>mm</t>
        </is>
      </c>
      <c r="R4" s="6" t="inlineStr">
        <is>
          <t>events/decade</t>
        </is>
      </c>
      <c r="S4" s="6" t="inlineStr">
        <is>
          <t>m/s</t>
        </is>
      </c>
      <c r="T4" s="6" t="inlineStr">
        <is>
          <t>g</t>
        </is>
      </c>
      <c r="U4" s="6" t="inlineStr">
        <is>
          <t>events/100yr</t>
        </is>
      </c>
      <c r="V4" s="6" t="inlineStr">
        <is>
          <t>m</t>
        </is>
      </c>
      <c r="W4" s="6" t="inlineStr">
        <is>
          <t>m/s</t>
        </is>
      </c>
      <c r="X4" s="6" t="inlineStr">
        <is>
          <t>events/decade</t>
        </is>
      </c>
      <c r="Y4" s="6" t="inlineStr">
        <is>
          <t>m/yr</t>
        </is>
      </c>
      <c r="Z4" s="6" t="inlineStr">
        <is>
          <t>%/decade</t>
        </is>
      </c>
      <c r="AA4" s="6" t="inlineStr">
        <is>
          <t>days/yr</t>
        </is>
      </c>
      <c r="AB4" s="6" t="inlineStr">
        <is>
          <t>flashes/km2/yr</t>
        </is>
      </c>
    </row>
    <row r="5">
      <c r="C5" s="5" t="inlineStr">
        <is>
          <t>Transform</t>
        </is>
      </c>
      <c r="D5" s="6" t="inlineStr">
        <is>
          <t>None</t>
        </is>
      </c>
      <c r="E5" s="6" t="inlineStr">
        <is>
          <t>None</t>
        </is>
      </c>
      <c r="F5" s="6" t="inlineStr">
        <is>
          <t>None</t>
        </is>
      </c>
      <c r="G5" s="6" t="inlineStr">
        <is>
          <t>None</t>
        </is>
      </c>
      <c r="H5" s="6" t="inlineStr">
        <is>
          <t>None</t>
        </is>
      </c>
      <c r="I5" s="6" t="inlineStr">
        <is>
          <t>None</t>
        </is>
      </c>
      <c r="J5" s="6" t="inlineStr">
        <is>
          <t>None</t>
        </is>
      </c>
      <c r="K5" s="6" t="inlineStr">
        <is>
          <t>None</t>
        </is>
      </c>
      <c r="L5" s="6" t="inlineStr">
        <is>
          <t>None</t>
        </is>
      </c>
      <c r="M5" s="6" t="inlineStr">
        <is>
          <t>None</t>
        </is>
      </c>
      <c r="N5" s="6" t="inlineStr">
        <is>
          <t>None</t>
        </is>
      </c>
      <c r="O5" s="6" t="inlineStr">
        <is>
          <t>None</t>
        </is>
      </c>
      <c r="P5" s="6" t="inlineStr">
        <is>
          <t>None</t>
        </is>
      </c>
      <c r="Q5" s="6" t="inlineStr">
        <is>
          <t>None</t>
        </is>
      </c>
      <c r="R5" s="6" t="inlineStr">
        <is>
          <t>None</t>
        </is>
      </c>
      <c r="S5" s="6" t="inlineStr">
        <is>
          <t>None</t>
        </is>
      </c>
      <c r="T5" s="6" t="inlineStr">
        <is>
          <t>None</t>
        </is>
      </c>
      <c r="U5" s="6" t="inlineStr">
        <is>
          <t>None</t>
        </is>
      </c>
      <c r="V5" s="6" t="inlineStr">
        <is>
          <t>None</t>
        </is>
      </c>
      <c r="W5" s="6" t="inlineStr">
        <is>
          <t>None</t>
        </is>
      </c>
      <c r="X5" s="6" t="inlineStr">
        <is>
          <t>None</t>
        </is>
      </c>
      <c r="Y5" s="6" t="inlineStr">
        <is>
          <t>None</t>
        </is>
      </c>
      <c r="Z5" s="6" t="inlineStr">
        <is>
          <t>None</t>
        </is>
      </c>
      <c r="AA5" s="6" t="inlineStr">
        <is>
          <t>None</t>
        </is>
      </c>
      <c r="AB5" s="6" t="inlineStr">
        <is>
          <t>None</t>
        </is>
      </c>
    </row>
    <row r="6">
      <c r="C6" s="5" t="inlineStr">
        <is>
          <t>Ref Min</t>
        </is>
      </c>
      <c r="D6" s="6" t="n">
        <v>0</v>
      </c>
      <c r="E6" s="6" t="n">
        <v>0</v>
      </c>
      <c r="F6" s="6" t="n">
        <v>0.1</v>
      </c>
      <c r="G6" s="6" t="n">
        <v>0</v>
      </c>
      <c r="H6" s="6" t="n">
        <v>-2</v>
      </c>
      <c r="I6" s="6" t="n">
        <v>0</v>
      </c>
      <c r="J6" s="6" t="n">
        <v>0</v>
      </c>
      <c r="K6" s="6" t="n">
        <v>0</v>
      </c>
      <c r="L6" s="6" t="n">
        <v>0</v>
      </c>
      <c r="M6" s="6" t="n">
        <v>0</v>
      </c>
      <c r="N6" s="6" t="n">
        <v>0</v>
      </c>
      <c r="O6" s="6" t="n">
        <v>0</v>
      </c>
      <c r="P6" s="6" t="n">
        <v>0</v>
      </c>
      <c r="Q6" s="6" t="n">
        <v>0</v>
      </c>
      <c r="R6" s="6" t="n">
        <v>0</v>
      </c>
      <c r="S6" s="6" t="n">
        <v>10</v>
      </c>
      <c r="T6" s="6" t="n">
        <v>0</v>
      </c>
      <c r="U6" s="6" t="n">
        <v>0</v>
      </c>
      <c r="V6" s="6" t="n">
        <v>0</v>
      </c>
      <c r="W6" s="6" t="n">
        <v>10</v>
      </c>
      <c r="X6" s="6" t="n">
        <v>0</v>
      </c>
      <c r="Y6" s="6" t="n">
        <v>0</v>
      </c>
      <c r="Z6" s="6" t="n">
        <v>0</v>
      </c>
      <c r="AA6" s="6" t="n">
        <v>0</v>
      </c>
      <c r="AB6" s="6" t="n">
        <v>0</v>
      </c>
    </row>
    <row r="7">
      <c r="C7" s="5" t="inlineStr">
        <is>
          <t>Ref Max</t>
        </is>
      </c>
      <c r="D7" s="6" t="n">
        <v>3</v>
      </c>
      <c r="E7" s="6" t="n">
        <v>0.65</v>
      </c>
      <c r="F7" s="6" t="n">
        <v>0.35</v>
      </c>
      <c r="G7" s="6" t="n">
        <v>0.5</v>
      </c>
      <c r="H7" s="6" t="n">
        <v>1</v>
      </c>
      <c r="I7" s="6" t="n">
        <v>50</v>
      </c>
      <c r="J7" s="6" t="n">
        <v>100</v>
      </c>
      <c r="K7" s="6" t="n">
        <v>20</v>
      </c>
      <c r="L7" s="6" t="n">
        <v>8</v>
      </c>
      <c r="M7" s="6" t="n">
        <v>5</v>
      </c>
      <c r="N7" s="6" t="n">
        <v>10</v>
      </c>
      <c r="O7" s="6" t="n">
        <v>10</v>
      </c>
      <c r="P7" s="6" t="n">
        <v>1</v>
      </c>
      <c r="Q7" s="6" t="n">
        <v>300</v>
      </c>
      <c r="R7" s="6" t="n">
        <v>8</v>
      </c>
      <c r="S7" s="6" t="n">
        <v>35</v>
      </c>
      <c r="T7" s="6" t="n">
        <v>0.4</v>
      </c>
      <c r="U7" s="6" t="n">
        <v>50</v>
      </c>
      <c r="V7" s="6" t="n">
        <v>4</v>
      </c>
      <c r="W7" s="6" t="n">
        <v>30</v>
      </c>
      <c r="X7" s="6" t="n">
        <v>8</v>
      </c>
      <c r="Y7" s="6" t="n">
        <v>5</v>
      </c>
      <c r="Z7" s="6" t="n">
        <v>30</v>
      </c>
      <c r="AA7" s="6" t="n">
        <v>60</v>
      </c>
      <c r="AB7" s="6" t="n">
        <v>30</v>
      </c>
    </row>
    <row r="8">
      <c r="C8" s="5" t="inlineStr">
        <is>
          <t>Direction</t>
        </is>
      </c>
      <c r="D8" s="6" t="inlineStr">
        <is>
          <t>Increase Risk</t>
        </is>
      </c>
      <c r="E8" s="6" t="inlineStr">
        <is>
          <t>Decrease Risk</t>
        </is>
      </c>
      <c r="F8" s="6" t="inlineStr">
        <is>
          <t>Increase Risk</t>
        </is>
      </c>
      <c r="G8" s="6" t="inlineStr">
        <is>
          <t>Increase Risk</t>
        </is>
      </c>
      <c r="H8" s="6" t="inlineStr">
        <is>
          <t>Decrease Risk</t>
        </is>
      </c>
      <c r="I8" s="6" t="inlineStr">
        <is>
          <t>Decrease Risk</t>
        </is>
      </c>
      <c r="J8" s="6" t="inlineStr">
        <is>
          <t>Decrease Risk</t>
        </is>
      </c>
      <c r="K8" s="6" t="inlineStr">
        <is>
          <t>Increase Risk</t>
        </is>
      </c>
      <c r="L8" s="6" t="inlineStr">
        <is>
          <t>Increase Risk</t>
        </is>
      </c>
      <c r="M8" s="6" t="inlineStr">
        <is>
          <t>Increase Risk</t>
        </is>
      </c>
      <c r="N8" s="6" t="inlineStr">
        <is>
          <t>Increase Risk</t>
        </is>
      </c>
      <c r="O8" s="6" t="inlineStr">
        <is>
          <t>Increase Risk</t>
        </is>
      </c>
      <c r="P8" s="6" t="inlineStr">
        <is>
          <t>Increase Risk</t>
        </is>
      </c>
      <c r="Q8" s="6" t="inlineStr">
        <is>
          <t>Increase Risk</t>
        </is>
      </c>
      <c r="R8" s="6" t="inlineStr">
        <is>
          <t>Increase Risk</t>
        </is>
      </c>
      <c r="S8" s="6" t="inlineStr">
        <is>
          <t>Increase Risk</t>
        </is>
      </c>
      <c r="T8" s="6" t="inlineStr">
        <is>
          <t>Increase Risk</t>
        </is>
      </c>
      <c r="U8" s="6" t="inlineStr">
        <is>
          <t>Increase Risk</t>
        </is>
      </c>
      <c r="V8" s="6" t="inlineStr">
        <is>
          <t>Increase Risk</t>
        </is>
      </c>
      <c r="W8" s="6" t="inlineStr">
        <is>
          <t>Increase Risk</t>
        </is>
      </c>
      <c r="X8" s="6" t="inlineStr">
        <is>
          <t>Increase Risk</t>
        </is>
      </c>
      <c r="Y8" s="6" t="inlineStr">
        <is>
          <t>Increase Risk</t>
        </is>
      </c>
      <c r="Z8" s="6" t="inlineStr">
        <is>
          <t>Increase Risk</t>
        </is>
      </c>
      <c r="AA8" s="6" t="inlineStr">
        <is>
          <t>Increase Risk</t>
        </is>
      </c>
      <c r="AB8" s="6" t="inlineStr">
        <is>
          <t>Increase Risk</t>
        </is>
      </c>
    </row>
    <row r="9">
      <c r="C9" s="5" t="inlineStr">
        <is>
          <t>Weight</t>
        </is>
      </c>
      <c r="D9" s="6" t="n">
        <v>0.25</v>
      </c>
      <c r="E9" s="6" t="n">
        <v>0.15</v>
      </c>
      <c r="F9" s="6" t="n">
        <v>0.15</v>
      </c>
      <c r="G9" s="6" t="n">
        <v>0.2</v>
      </c>
      <c r="H9" s="6" t="n">
        <v>0.1</v>
      </c>
      <c r="I9" s="6" t="n">
        <v>0.1</v>
      </c>
      <c r="J9" s="6" t="n">
        <v>0.05</v>
      </c>
      <c r="K9" s="6" t="n">
        <v>0.3</v>
      </c>
      <c r="L9" s="6" t="n">
        <v>0.15</v>
      </c>
      <c r="M9" s="6" t="n">
        <v>0.2</v>
      </c>
      <c r="N9" s="6" t="n">
        <v>0.2</v>
      </c>
      <c r="O9" s="6" t="n">
        <v>0.15</v>
      </c>
      <c r="P9" s="6" t="n">
        <v>0.55</v>
      </c>
      <c r="Q9" s="6" t="n">
        <v>0.45</v>
      </c>
      <c r="R9" s="6" t="n">
        <v>0.6</v>
      </c>
      <c r="S9" s="6" t="n">
        <v>0.4</v>
      </c>
      <c r="T9" s="6" t="n">
        <v>0.7</v>
      </c>
      <c r="U9" s="6" t="n">
        <v>0.3</v>
      </c>
      <c r="V9" s="6" t="n">
        <v>0.25</v>
      </c>
      <c r="W9" s="6" t="n">
        <v>0.2</v>
      </c>
      <c r="X9" s="6" t="n">
        <v>0.2</v>
      </c>
      <c r="Y9" s="6" t="n">
        <v>0.2</v>
      </c>
      <c r="Z9" s="6" t="n">
        <v>0.15</v>
      </c>
      <c r="AA9" s="6" t="n">
        <v>1</v>
      </c>
      <c r="AB9" s="6" t="n">
        <v>1</v>
      </c>
    </row>
    <row r="10" ht="54" customHeight="1">
      <c r="A10" s="8" t="inlineStr">
        <is>
          <t>Region</t>
        </is>
      </c>
      <c r="B10" s="8" t="inlineStr">
        <is>
          <t>Council</t>
        </is>
      </c>
      <c r="C10" s="8" t="inlineStr">
        <is>
          <t>Code</t>
        </is>
      </c>
      <c r="D10" s="9" t="inlineStr">
        <is>
          <t>SPEI-12 drought depth</t>
        </is>
      </c>
      <c r="E10" s="9" t="inlineStr">
        <is>
          <t>Aridity (P/PET)</t>
        </is>
      </c>
      <c r="F10" s="9" t="inlineStr">
        <is>
          <t>Rainfall variability (CV)</t>
        </is>
      </c>
      <c r="G10" s="9" t="inlineStr">
        <is>
          <t>Growing-season failure frequency</t>
        </is>
      </c>
      <c r="H10" s="9" t="inlineStr">
        <is>
          <t>Vegetation/biomass anomaly (NDVI z)</t>
        </is>
      </c>
      <c r="I10" s="9" t="inlineStr">
        <is>
          <t>Soil moisture</t>
        </is>
      </c>
      <c r="J10" s="9" t="inlineStr">
        <is>
          <t>Water levels (% of normal)</t>
        </is>
      </c>
      <c r="K10" s="9" t="inlineStr">
        <is>
          <t>Extreme wet days (&gt;50 mm)</t>
        </is>
      </c>
      <c r="L10" s="9" t="inlineStr">
        <is>
          <t>Very-heavy days (&gt;100 mm)</t>
        </is>
      </c>
      <c r="M10" s="9" t="inlineStr">
        <is>
          <t>River peak above normal</t>
        </is>
      </c>
      <c r="N10" s="9" t="inlineStr">
        <is>
          <t>Basin flood records</t>
        </is>
      </c>
      <c r="O10" s="9" t="inlineStr">
        <is>
          <t>Recorded flood impact events</t>
        </is>
      </c>
      <c r="P10" s="9" t="inlineStr">
        <is>
          <t>Landslide susceptibility</t>
        </is>
      </c>
      <c r="Q10" s="9" t="inlineStr">
        <is>
          <t>Triggering rainfall (max 5-day)</t>
        </is>
      </c>
      <c r="R10" s="9" t="inlineStr">
        <is>
          <t>Cyclone/strong-wind frequency</t>
        </is>
      </c>
      <c r="S10" s="9" t="inlineStr">
        <is>
          <t>Extreme wind speed</t>
        </is>
      </c>
      <c r="T10" s="9" t="inlineStr">
        <is>
          <t>Seismic hazard (PGA 475-yr)</t>
        </is>
      </c>
      <c r="U10" s="9" t="inlineStr">
        <is>
          <t>Historical seismicity density</t>
        </is>
      </c>
      <c r="V10" s="9" t="inlineStr">
        <is>
          <t>Significant wave height (Hs 99th pct)</t>
        </is>
      </c>
      <c r="W10" s="9" t="inlineStr">
        <is>
          <t>Extreme onshore wind</t>
        </is>
      </c>
      <c r="X10" s="9" t="inlineStr">
        <is>
          <t>Storm-surge frequency</t>
        </is>
      </c>
      <c r="Y10" s="9" t="inlineStr">
        <is>
          <t>Shoreline retreat / erosion rate</t>
        </is>
      </c>
      <c r="Z10" s="9" t="inlineStr">
        <is>
          <t>Mangrove loss (protective buffer)</t>
        </is>
      </c>
      <c r="AA10" s="9" t="inlineStr">
        <is>
          <t>Heat-health days (&gt; 90th pct Tmax)</t>
        </is>
      </c>
      <c r="AB10" s="9" t="inlineStr">
        <is>
          <t>Flash density</t>
        </is>
      </c>
    </row>
    <row r="11">
      <c r="A11" t="inlineStr">
        <is>
          <t>Arusha</t>
        </is>
      </c>
      <c r="B11" t="inlineStr">
        <is>
          <t>Arusha City</t>
        </is>
      </c>
      <c r="C11" t="inlineStr">
        <is>
          <t>C015</t>
        </is>
      </c>
      <c r="D11" s="10" t="n"/>
      <c r="E11" s="10" t="n"/>
      <c r="F11" s="10" t="n"/>
      <c r="G11" s="11" t="n"/>
      <c r="H11" s="11" t="n"/>
      <c r="I11" s="11" t="n"/>
      <c r="J11" s="12" t="n"/>
      <c r="K11" s="10" t="n"/>
      <c r="L11" s="10" t="n"/>
      <c r="M11" s="12" t="n"/>
      <c r="N11" s="13" t="n"/>
      <c r="O11" s="14" t="n"/>
      <c r="P11" s="15" t="n"/>
      <c r="Q11" s="10" t="n"/>
      <c r="R11" s="10" t="n"/>
      <c r="S11" s="10" t="n"/>
      <c r="T11" s="15" t="n"/>
      <c r="U11" s="15" t="n"/>
      <c r="V11" s="10" t="n"/>
      <c r="W11" s="10" t="n"/>
      <c r="X11" s="10" t="n"/>
      <c r="Y11" s="16" t="n"/>
      <c r="Z11" s="16" t="n"/>
      <c r="AA11" s="10" t="n"/>
      <c r="AB11" s="10" t="n"/>
    </row>
    <row r="12">
      <c r="A12" t="inlineStr">
        <is>
          <t>Arusha</t>
        </is>
      </c>
      <c r="B12" t="inlineStr">
        <is>
          <t>Arusha District</t>
        </is>
      </c>
      <c r="C12" t="inlineStr">
        <is>
          <t>C011</t>
        </is>
      </c>
      <c r="D12" s="10" t="n"/>
      <c r="E12" s="10" t="n"/>
      <c r="F12" s="10" t="n"/>
      <c r="G12" s="11" t="n"/>
      <c r="H12" s="11" t="n"/>
      <c r="I12" s="11" t="n"/>
      <c r="J12" s="12" t="n"/>
      <c r="K12" s="10" t="n"/>
      <c r="L12" s="10" t="n"/>
      <c r="M12" s="12" t="n"/>
      <c r="N12" s="13" t="n"/>
      <c r="O12" s="14" t="n"/>
      <c r="P12" s="15" t="n"/>
      <c r="Q12" s="10" t="n"/>
      <c r="R12" s="10" t="n"/>
      <c r="S12" s="10" t="n"/>
      <c r="T12" s="15" t="n"/>
      <c r="U12" s="15" t="n"/>
      <c r="V12" s="10" t="n"/>
      <c r="W12" s="10" t="n"/>
      <c r="X12" s="10" t="n"/>
      <c r="Y12" s="16" t="n"/>
      <c r="Z12" s="16" t="n"/>
      <c r="AA12" s="10" t="n"/>
      <c r="AB12" s="10" t="n"/>
    </row>
    <row r="13">
      <c r="A13" t="inlineStr">
        <is>
          <t>Arusha</t>
        </is>
      </c>
      <c r="B13" t="inlineStr">
        <is>
          <t>Karatu District</t>
        </is>
      </c>
      <c r="C13" t="inlineStr">
        <is>
          <t>C013</t>
        </is>
      </c>
      <c r="D13" s="10" t="n"/>
      <c r="E13" s="10" t="n"/>
      <c r="F13" s="10" t="n"/>
      <c r="G13" s="11" t="n"/>
      <c r="H13" s="11" t="n"/>
      <c r="I13" s="11" t="n"/>
      <c r="J13" s="12" t="n"/>
      <c r="K13" s="10" t="n"/>
      <c r="L13" s="10" t="n"/>
      <c r="M13" s="12" t="n"/>
      <c r="N13" s="13" t="n"/>
      <c r="O13" s="14" t="n"/>
      <c r="P13" s="15" t="n"/>
      <c r="Q13" s="10" t="n"/>
      <c r="R13" s="10" t="n"/>
      <c r="S13" s="10" t="n"/>
      <c r="T13" s="15" t="n"/>
      <c r="U13" s="15" t="n"/>
      <c r="V13" s="10" t="n"/>
      <c r="W13" s="10" t="n"/>
      <c r="X13" s="10" t="n"/>
      <c r="Y13" s="16" t="n"/>
      <c r="Z13" s="16" t="n"/>
      <c r="AA13" s="10" t="n"/>
      <c r="AB13" s="10" t="n"/>
    </row>
    <row r="14">
      <c r="A14" t="inlineStr">
        <is>
          <t>Arusha</t>
        </is>
      </c>
      <c r="B14" t="inlineStr">
        <is>
          <t>Longido District</t>
        </is>
      </c>
      <c r="C14" t="inlineStr">
        <is>
          <t>C012</t>
        </is>
      </c>
      <c r="D14" s="10" t="n"/>
      <c r="E14" s="10" t="n"/>
      <c r="F14" s="10" t="n"/>
      <c r="G14" s="11" t="n"/>
      <c r="H14" s="11" t="n"/>
      <c r="I14" s="11" t="n"/>
      <c r="J14" s="12" t="n"/>
      <c r="K14" s="10" t="n"/>
      <c r="L14" s="10" t="n"/>
      <c r="M14" s="12" t="n"/>
      <c r="N14" s="13" t="n"/>
      <c r="O14" s="14" t="n"/>
      <c r="P14" s="15" t="n"/>
      <c r="Q14" s="10" t="n"/>
      <c r="R14" s="10" t="n"/>
      <c r="S14" s="10" t="n"/>
      <c r="T14" s="15" t="n"/>
      <c r="U14" s="15" t="n"/>
      <c r="V14" s="10" t="n"/>
      <c r="W14" s="10" t="n"/>
      <c r="X14" s="10" t="n"/>
      <c r="Y14" s="16" t="n"/>
      <c r="Z14" s="16" t="n"/>
      <c r="AA14" s="10" t="n"/>
      <c r="AB14" s="10" t="n"/>
    </row>
    <row r="15">
      <c r="A15" t="inlineStr">
        <is>
          <t>Arusha</t>
        </is>
      </c>
      <c r="B15" t="inlineStr">
        <is>
          <t>Meru District</t>
        </is>
      </c>
      <c r="C15" t="inlineStr">
        <is>
          <t>C010</t>
        </is>
      </c>
      <c r="D15" s="10" t="n"/>
      <c r="E15" s="10" t="n"/>
      <c r="F15" s="10" t="n"/>
      <c r="G15" s="11" t="n"/>
      <c r="H15" s="11" t="n"/>
      <c r="I15" s="11" t="n"/>
      <c r="J15" s="12" t="n"/>
      <c r="K15" s="10" t="n"/>
      <c r="L15" s="10" t="n"/>
      <c r="M15" s="12" t="n"/>
      <c r="N15" s="13" t="n"/>
      <c r="O15" s="14" t="n"/>
      <c r="P15" s="15" t="n"/>
      <c r="Q15" s="10" t="n"/>
      <c r="R15" s="10" t="n"/>
      <c r="S15" s="10" t="n"/>
      <c r="T15" s="15" t="n"/>
      <c r="U15" s="15" t="n"/>
      <c r="V15" s="10" t="n"/>
      <c r="W15" s="10" t="n"/>
      <c r="X15" s="10" t="n"/>
      <c r="Y15" s="16" t="n"/>
      <c r="Z15" s="16" t="n"/>
      <c r="AA15" s="10" t="n"/>
      <c r="AB15" s="10" t="n"/>
    </row>
    <row r="16">
      <c r="A16" t="inlineStr">
        <is>
          <t>Arusha</t>
        </is>
      </c>
      <c r="B16" t="inlineStr">
        <is>
          <t>Monduli District</t>
        </is>
      </c>
      <c r="C16" t="inlineStr">
        <is>
          <t>C009</t>
        </is>
      </c>
      <c r="D16" s="10" t="n"/>
      <c r="E16" s="10" t="n"/>
      <c r="F16" s="10" t="n"/>
      <c r="G16" s="11" t="n"/>
      <c r="H16" s="11" t="n"/>
      <c r="I16" s="11" t="n"/>
      <c r="J16" s="12" t="n"/>
      <c r="K16" s="10" t="n"/>
      <c r="L16" s="10" t="n"/>
      <c r="M16" s="12" t="n"/>
      <c r="N16" s="13" t="n"/>
      <c r="O16" s="14" t="n"/>
      <c r="P16" s="15" t="n"/>
      <c r="Q16" s="10" t="n"/>
      <c r="R16" s="10" t="n"/>
      <c r="S16" s="10" t="n"/>
      <c r="T16" s="15" t="n"/>
      <c r="U16" s="15" t="n"/>
      <c r="V16" s="10" t="n"/>
      <c r="W16" s="10" t="n"/>
      <c r="X16" s="10" t="n"/>
      <c r="Y16" s="16" t="n"/>
      <c r="Z16" s="16" t="n"/>
      <c r="AA16" s="10" t="n"/>
      <c r="AB16" s="10" t="n"/>
    </row>
    <row r="17">
      <c r="A17" t="inlineStr">
        <is>
          <t>Arusha</t>
        </is>
      </c>
      <c r="B17" t="inlineStr">
        <is>
          <t>Ngorongoro District</t>
        </is>
      </c>
      <c r="C17" t="inlineStr">
        <is>
          <t>C014</t>
        </is>
      </c>
      <c r="D17" s="10" t="n"/>
      <c r="E17" s="10" t="n"/>
      <c r="F17" s="10" t="n"/>
      <c r="G17" s="11" t="n"/>
      <c r="H17" s="11" t="n"/>
      <c r="I17" s="11" t="n"/>
      <c r="J17" s="12" t="n"/>
      <c r="K17" s="10" t="n"/>
      <c r="L17" s="10" t="n"/>
      <c r="M17" s="12" t="n"/>
      <c r="N17" s="13" t="n"/>
      <c r="O17" s="14" t="n"/>
      <c r="P17" s="15" t="n"/>
      <c r="Q17" s="10" t="n"/>
      <c r="R17" s="10" t="n"/>
      <c r="S17" s="10" t="n"/>
      <c r="T17" s="15" t="n"/>
      <c r="U17" s="15" t="n"/>
      <c r="V17" s="10" t="n"/>
      <c r="W17" s="10" t="n"/>
      <c r="X17" s="10" t="n"/>
      <c r="Y17" s="16" t="n"/>
      <c r="Z17" s="16" t="n"/>
      <c r="AA17" s="10" t="n"/>
      <c r="AB17" s="10" t="n"/>
    </row>
    <row r="18">
      <c r="A18" t="inlineStr">
        <is>
          <t>Dar es Salaam</t>
        </is>
      </c>
      <c r="B18" t="inlineStr">
        <is>
          <t>Dar Es Salaam City</t>
        </is>
      </c>
      <c r="C18" t="inlineStr">
        <is>
          <t>C053</t>
        </is>
      </c>
      <c r="D18" s="10" t="n"/>
      <c r="E18" s="10" t="n"/>
      <c r="F18" s="10" t="n"/>
      <c r="G18" s="11" t="n"/>
      <c r="H18" s="11" t="n"/>
      <c r="I18" s="11" t="n"/>
      <c r="J18" s="12" t="n"/>
      <c r="K18" s="10" t="n"/>
      <c r="L18" s="10" t="n"/>
      <c r="M18" s="12" t="n"/>
      <c r="N18" s="13" t="n"/>
      <c r="O18" s="14" t="n"/>
      <c r="P18" s="15" t="n"/>
      <c r="Q18" s="10" t="n"/>
      <c r="R18" s="10" t="n"/>
      <c r="S18" s="10" t="n"/>
      <c r="T18" s="15" t="n"/>
      <c r="U18" s="15" t="n"/>
      <c r="V18" s="10" t="n"/>
      <c r="W18" s="10" t="n"/>
      <c r="X18" s="10" t="n"/>
      <c r="Y18" s="16" t="n"/>
      <c r="Z18" s="16" t="n"/>
      <c r="AA18" s="10" t="n"/>
      <c r="AB18" s="10" t="n"/>
    </row>
    <row r="19">
      <c r="A19" t="inlineStr">
        <is>
          <t>Dar es Salaam</t>
        </is>
      </c>
      <c r="B19" t="inlineStr">
        <is>
          <t>Kigamboni Municipal</t>
        </is>
      </c>
      <c r="C19" t="inlineStr">
        <is>
          <t>C055</t>
        </is>
      </c>
      <c r="D19" s="10" t="n"/>
      <c r="E19" s="10" t="n"/>
      <c r="F19" s="10" t="n"/>
      <c r="G19" s="11" t="n"/>
      <c r="H19" s="11" t="n"/>
      <c r="I19" s="11" t="n"/>
      <c r="J19" s="12" t="n"/>
      <c r="K19" s="10" t="n"/>
      <c r="L19" s="10" t="n"/>
      <c r="M19" s="12" t="n"/>
      <c r="N19" s="13" t="n"/>
      <c r="O19" s="14" t="n"/>
      <c r="P19" s="15" t="n"/>
      <c r="Q19" s="10" t="n"/>
      <c r="R19" s="10" t="n"/>
      <c r="S19" s="10" t="n"/>
      <c r="T19" s="15" t="n"/>
      <c r="U19" s="15" t="n"/>
      <c r="V19" s="10" t="n"/>
      <c r="W19" s="10" t="n"/>
      <c r="X19" s="10" t="n"/>
      <c r="Y19" s="16" t="n"/>
      <c r="Z19" s="16" t="n"/>
      <c r="AA19" s="10" t="n"/>
      <c r="AB19" s="10" t="n"/>
    </row>
    <row r="20">
      <c r="A20" t="inlineStr">
        <is>
          <t>Dar es Salaam</t>
        </is>
      </c>
      <c r="B20" t="inlineStr">
        <is>
          <t>Kinondoni Municipal</t>
        </is>
      </c>
      <c r="C20" t="inlineStr">
        <is>
          <t>C052</t>
        </is>
      </c>
      <c r="D20" s="10" t="n"/>
      <c r="E20" s="10" t="n"/>
      <c r="F20" s="10" t="n"/>
      <c r="G20" s="11" t="n"/>
      <c r="H20" s="11" t="n"/>
      <c r="I20" s="11" t="n"/>
      <c r="J20" s="12" t="n"/>
      <c r="K20" s="10" t="n"/>
      <c r="L20" s="10" t="n"/>
      <c r="M20" s="12" t="n"/>
      <c r="N20" s="13" t="n"/>
      <c r="O20" s="14" t="n"/>
      <c r="P20" s="15" t="n"/>
      <c r="Q20" s="10" t="n"/>
      <c r="R20" s="10" t="n"/>
      <c r="S20" s="10" t="n"/>
      <c r="T20" s="15" t="n"/>
      <c r="U20" s="15" t="n"/>
      <c r="V20" s="10" t="n"/>
      <c r="W20" s="10" t="n"/>
      <c r="X20" s="10" t="n"/>
      <c r="Y20" s="16" t="n"/>
      <c r="Z20" s="16" t="n"/>
      <c r="AA20" s="10" t="n"/>
      <c r="AB20" s="10" t="n"/>
    </row>
    <row r="21">
      <c r="A21" t="inlineStr">
        <is>
          <t>Dar es Salaam</t>
        </is>
      </c>
      <c r="B21" t="inlineStr">
        <is>
          <t>Temeke Municipal</t>
        </is>
      </c>
      <c r="C21" t="inlineStr">
        <is>
          <t>C054</t>
        </is>
      </c>
      <c r="D21" s="10" t="n"/>
      <c r="E21" s="10" t="n"/>
      <c r="F21" s="10" t="n"/>
      <c r="G21" s="11" t="n"/>
      <c r="H21" s="11" t="n"/>
      <c r="I21" s="11" t="n"/>
      <c r="J21" s="12" t="n"/>
      <c r="K21" s="10" t="n"/>
      <c r="L21" s="10" t="n"/>
      <c r="M21" s="12" t="n"/>
      <c r="N21" s="13" t="n"/>
      <c r="O21" s="14" t="n"/>
      <c r="P21" s="15" t="n"/>
      <c r="Q21" s="10" t="n"/>
      <c r="R21" s="10" t="n"/>
      <c r="S21" s="10" t="n"/>
      <c r="T21" s="15" t="n"/>
      <c r="U21" s="15" t="n"/>
      <c r="V21" s="10" t="n"/>
      <c r="W21" s="10" t="n"/>
      <c r="X21" s="10" t="n"/>
      <c r="Y21" s="16" t="n"/>
      <c r="Z21" s="16" t="n"/>
      <c r="AA21" s="10" t="n"/>
      <c r="AB21" s="10" t="n"/>
    </row>
    <row r="22">
      <c r="A22" t="inlineStr">
        <is>
          <t>Dar es Salaam</t>
        </is>
      </c>
      <c r="B22" t="inlineStr">
        <is>
          <t>Ubungo Municipal</t>
        </is>
      </c>
      <c r="C22" t="inlineStr">
        <is>
          <t>C056</t>
        </is>
      </c>
      <c r="D22" s="10" t="n"/>
      <c r="E22" s="10" t="n"/>
      <c r="F22" s="10" t="n"/>
      <c r="G22" s="11" t="n"/>
      <c r="H22" s="11" t="n"/>
      <c r="I22" s="11" t="n"/>
      <c r="J22" s="12" t="n"/>
      <c r="K22" s="10" t="n"/>
      <c r="L22" s="10" t="n"/>
      <c r="M22" s="12" t="n"/>
      <c r="N22" s="13" t="n"/>
      <c r="O22" s="14" t="n"/>
      <c r="P22" s="15" t="n"/>
      <c r="Q22" s="10" t="n"/>
      <c r="R22" s="10" t="n"/>
      <c r="S22" s="10" t="n"/>
      <c r="T22" s="15" t="n"/>
      <c r="U22" s="15" t="n"/>
      <c r="V22" s="10" t="n"/>
      <c r="W22" s="10" t="n"/>
      <c r="X22" s="10" t="n"/>
      <c r="Y22" s="16" t="n"/>
      <c r="Z22" s="16" t="n"/>
      <c r="AA22" s="10" t="n"/>
      <c r="AB22" s="10" t="n"/>
    </row>
    <row r="23">
      <c r="A23" t="inlineStr">
        <is>
          <t>Dodoma</t>
        </is>
      </c>
      <c r="B23" t="inlineStr">
        <is>
          <t>Bahi District</t>
        </is>
      </c>
      <c r="C23" t="inlineStr">
        <is>
          <t>C007</t>
        </is>
      </c>
      <c r="D23" s="10" t="n"/>
      <c r="E23" s="10" t="n"/>
      <c r="F23" s="10" t="n"/>
      <c r="G23" s="11" t="n"/>
      <c r="H23" s="11" t="n"/>
      <c r="I23" s="11" t="n"/>
      <c r="J23" s="12" t="n"/>
      <c r="K23" s="10" t="n"/>
      <c r="L23" s="10" t="n"/>
      <c r="M23" s="12" t="n"/>
      <c r="N23" s="13" t="n"/>
      <c r="O23" s="14" t="n"/>
      <c r="P23" s="15" t="n"/>
      <c r="Q23" s="10" t="n"/>
      <c r="R23" s="10" t="n"/>
      <c r="S23" s="10" t="n"/>
      <c r="T23" s="15" t="n"/>
      <c r="U23" s="15" t="n"/>
      <c r="V23" s="10" t="n"/>
      <c r="W23" s="10" t="n"/>
      <c r="X23" s="10" t="n"/>
      <c r="Y23" s="16" t="n"/>
      <c r="Z23" s="16" t="n"/>
      <c r="AA23" s="10" t="n"/>
      <c r="AB23" s="10" t="n"/>
    </row>
    <row r="24">
      <c r="A24" t="inlineStr">
        <is>
          <t>Dodoma</t>
        </is>
      </c>
      <c r="B24" t="inlineStr">
        <is>
          <t>Chamwino District</t>
        </is>
      </c>
      <c r="C24" t="inlineStr">
        <is>
          <t>C005</t>
        </is>
      </c>
      <c r="D24" s="10" t="n"/>
      <c r="E24" s="10" t="n"/>
      <c r="F24" s="10" t="n"/>
      <c r="G24" s="11" t="n"/>
      <c r="H24" s="11" t="n"/>
      <c r="I24" s="11" t="n"/>
      <c r="J24" s="12" t="n"/>
      <c r="K24" s="10" t="n"/>
      <c r="L24" s="10" t="n"/>
      <c r="M24" s="12" t="n"/>
      <c r="N24" s="13" t="n"/>
      <c r="O24" s="14" t="n"/>
      <c r="P24" s="15" t="n"/>
      <c r="Q24" s="10" t="n"/>
      <c r="R24" s="10" t="n"/>
      <c r="S24" s="10" t="n"/>
      <c r="T24" s="15" t="n"/>
      <c r="U24" s="15" t="n"/>
      <c r="V24" s="10" t="n"/>
      <c r="W24" s="10" t="n"/>
      <c r="X24" s="10" t="n"/>
      <c r="Y24" s="16" t="n"/>
      <c r="Z24" s="16" t="n"/>
      <c r="AA24" s="10" t="n"/>
      <c r="AB24" s="10" t="n"/>
    </row>
    <row r="25">
      <c r="A25" t="inlineStr">
        <is>
          <t>Dodoma</t>
        </is>
      </c>
      <c r="B25" t="inlineStr">
        <is>
          <t>Chemba District</t>
        </is>
      </c>
      <c r="C25" t="inlineStr">
        <is>
          <t>C008</t>
        </is>
      </c>
      <c r="D25" s="10" t="n"/>
      <c r="E25" s="10" t="n"/>
      <c r="F25" s="10" t="n"/>
      <c r="G25" s="11" t="n"/>
      <c r="H25" s="11" t="n"/>
      <c r="I25" s="11" t="n"/>
      <c r="J25" s="12" t="n"/>
      <c r="K25" s="10" t="n"/>
      <c r="L25" s="10" t="n"/>
      <c r="M25" s="12" t="n"/>
      <c r="N25" s="13" t="n"/>
      <c r="O25" s="14" t="n"/>
      <c r="P25" s="15" t="n"/>
      <c r="Q25" s="10" t="n"/>
      <c r="R25" s="10" t="n"/>
      <c r="S25" s="10" t="n"/>
      <c r="T25" s="15" t="n"/>
      <c r="U25" s="15" t="n"/>
      <c r="V25" s="10" t="n"/>
      <c r="W25" s="10" t="n"/>
      <c r="X25" s="10" t="n"/>
      <c r="Y25" s="16" t="n"/>
      <c r="Z25" s="16" t="n"/>
      <c r="AA25" s="10" t="n"/>
      <c r="AB25" s="10" t="n"/>
    </row>
    <row r="26">
      <c r="A26" t="inlineStr">
        <is>
          <t>Dodoma</t>
        </is>
      </c>
      <c r="B26" t="inlineStr">
        <is>
          <t>Dodoma City</t>
        </is>
      </c>
      <c r="C26" t="inlineStr">
        <is>
          <t>C006</t>
        </is>
      </c>
      <c r="D26" s="10" t="n"/>
      <c r="E26" s="10" t="n"/>
      <c r="F26" s="10" t="n"/>
      <c r="G26" s="11" t="n"/>
      <c r="H26" s="11" t="n"/>
      <c r="I26" s="11" t="n"/>
      <c r="J26" s="12" t="n"/>
      <c r="K26" s="10" t="n"/>
      <c r="L26" s="10" t="n"/>
      <c r="M26" s="12" t="n"/>
      <c r="N26" s="13" t="n"/>
      <c r="O26" s="14" t="n"/>
      <c r="P26" s="15" t="n"/>
      <c r="Q26" s="10" t="n"/>
      <c r="R26" s="10" t="n"/>
      <c r="S26" s="10" t="n"/>
      <c r="T26" s="15" t="n"/>
      <c r="U26" s="15" t="n"/>
      <c r="V26" s="10" t="n"/>
      <c r="W26" s="10" t="n"/>
      <c r="X26" s="10" t="n"/>
      <c r="Y26" s="16" t="n"/>
      <c r="Z26" s="16" t="n"/>
      <c r="AA26" s="10" t="n"/>
      <c r="AB26" s="10" t="n"/>
    </row>
    <row r="27">
      <c r="A27" t="inlineStr">
        <is>
          <t>Dodoma</t>
        </is>
      </c>
      <c r="B27" t="inlineStr">
        <is>
          <t>Kondoa District</t>
        </is>
      </c>
      <c r="C27" t="inlineStr">
        <is>
          <t>C001</t>
        </is>
      </c>
      <c r="D27" s="10" t="n"/>
      <c r="E27" s="10" t="n"/>
      <c r="F27" s="10" t="n"/>
      <c r="G27" s="11" t="n"/>
      <c r="H27" s="11" t="n"/>
      <c r="I27" s="11" t="n"/>
      <c r="J27" s="12" t="n"/>
      <c r="K27" s="10" t="n"/>
      <c r="L27" s="10" t="n"/>
      <c r="M27" s="12" t="n"/>
      <c r="N27" s="13" t="n"/>
      <c r="O27" s="14" t="n"/>
      <c r="P27" s="15" t="n"/>
      <c r="Q27" s="10" t="n"/>
      <c r="R27" s="10" t="n"/>
      <c r="S27" s="10" t="n"/>
      <c r="T27" s="15" t="n"/>
      <c r="U27" s="15" t="n"/>
      <c r="V27" s="10" t="n"/>
      <c r="W27" s="10" t="n"/>
      <c r="X27" s="10" t="n"/>
      <c r="Y27" s="16" t="n"/>
      <c r="Z27" s="16" t="n"/>
      <c r="AA27" s="10" t="n"/>
      <c r="AB27" s="10" t="n"/>
    </row>
    <row r="28">
      <c r="A28" t="inlineStr">
        <is>
          <t>Dodoma</t>
        </is>
      </c>
      <c r="B28" t="inlineStr">
        <is>
          <t>Kondoa Town</t>
        </is>
      </c>
      <c r="C28" t="inlineStr">
        <is>
          <t>C002</t>
        </is>
      </c>
      <c r="D28" s="10" t="n"/>
      <c r="E28" s="10" t="n"/>
      <c r="F28" s="10" t="n"/>
      <c r="G28" s="11" t="n"/>
      <c r="H28" s="11" t="n"/>
      <c r="I28" s="11" t="n"/>
      <c r="J28" s="12" t="n"/>
      <c r="K28" s="10" t="n"/>
      <c r="L28" s="10" t="n"/>
      <c r="M28" s="12" t="n"/>
      <c r="N28" s="13" t="n"/>
      <c r="O28" s="14" t="n"/>
      <c r="P28" s="15" t="n"/>
      <c r="Q28" s="10" t="n"/>
      <c r="R28" s="10" t="n"/>
      <c r="S28" s="10" t="n"/>
      <c r="T28" s="15" t="n"/>
      <c r="U28" s="15" t="n"/>
      <c r="V28" s="10" t="n"/>
      <c r="W28" s="10" t="n"/>
      <c r="X28" s="10" t="n"/>
      <c r="Y28" s="16" t="n"/>
      <c r="Z28" s="16" t="n"/>
      <c r="AA28" s="10" t="n"/>
      <c r="AB28" s="10" t="n"/>
    </row>
    <row r="29">
      <c r="A29" t="inlineStr">
        <is>
          <t>Dodoma</t>
        </is>
      </c>
      <c r="B29" t="inlineStr">
        <is>
          <t>Kongwa District</t>
        </is>
      </c>
      <c r="C29" t="inlineStr">
        <is>
          <t>C004</t>
        </is>
      </c>
      <c r="D29" s="10" t="n"/>
      <c r="E29" s="10" t="n"/>
      <c r="F29" s="10" t="n"/>
      <c r="G29" s="11" t="n"/>
      <c r="H29" s="11" t="n"/>
      <c r="I29" s="11" t="n"/>
      <c r="J29" s="12" t="n"/>
      <c r="K29" s="10" t="n"/>
      <c r="L29" s="10" t="n"/>
      <c r="M29" s="12" t="n"/>
      <c r="N29" s="13" t="n"/>
      <c r="O29" s="14" t="n"/>
      <c r="P29" s="15" t="n"/>
      <c r="Q29" s="10" t="n"/>
      <c r="R29" s="10" t="n"/>
      <c r="S29" s="10" t="n"/>
      <c r="T29" s="15" t="n"/>
      <c r="U29" s="15" t="n"/>
      <c r="V29" s="10" t="n"/>
      <c r="W29" s="10" t="n"/>
      <c r="X29" s="10" t="n"/>
      <c r="Y29" s="16" t="n"/>
      <c r="Z29" s="16" t="n"/>
      <c r="AA29" s="10" t="n"/>
      <c r="AB29" s="10" t="n"/>
    </row>
    <row r="30">
      <c r="A30" t="inlineStr">
        <is>
          <t>Dodoma</t>
        </is>
      </c>
      <c r="B30" t="inlineStr">
        <is>
          <t>Mpwapwa District</t>
        </is>
      </c>
      <c r="C30" t="inlineStr">
        <is>
          <t>C003</t>
        </is>
      </c>
      <c r="D30" s="10" t="n"/>
      <c r="E30" s="10" t="n"/>
      <c r="F30" s="10" t="n"/>
      <c r="G30" s="11" t="n"/>
      <c r="H30" s="11" t="n"/>
      <c r="I30" s="11" t="n"/>
      <c r="J30" s="12" t="n"/>
      <c r="K30" s="10" t="n"/>
      <c r="L30" s="10" t="n"/>
      <c r="M30" s="12" t="n"/>
      <c r="N30" s="13" t="n"/>
      <c r="O30" s="14" t="n"/>
      <c r="P30" s="15" t="n"/>
      <c r="Q30" s="10" t="n"/>
      <c r="R30" s="10" t="n"/>
      <c r="S30" s="10" t="n"/>
      <c r="T30" s="15" t="n"/>
      <c r="U30" s="15" t="n"/>
      <c r="V30" s="10" t="n"/>
      <c r="W30" s="10" t="n"/>
      <c r="X30" s="10" t="n"/>
      <c r="Y30" s="16" t="n"/>
      <c r="Z30" s="16" t="n"/>
      <c r="AA30" s="10" t="n"/>
      <c r="AB30" s="10" t="n"/>
    </row>
    <row r="31">
      <c r="A31" t="inlineStr">
        <is>
          <t>Geita</t>
        </is>
      </c>
      <c r="B31" t="inlineStr">
        <is>
          <t>Bukombe District</t>
        </is>
      </c>
      <c r="C31" t="inlineStr">
        <is>
          <t>C178</t>
        </is>
      </c>
      <c r="D31" s="10" t="n"/>
      <c r="E31" s="10" t="n"/>
      <c r="F31" s="10" t="n"/>
      <c r="G31" s="11" t="n"/>
      <c r="H31" s="11" t="n"/>
      <c r="I31" s="11" t="n"/>
      <c r="J31" s="12" t="n"/>
      <c r="K31" s="10" t="n"/>
      <c r="L31" s="10" t="n"/>
      <c r="M31" s="12" t="n"/>
      <c r="N31" s="13" t="n"/>
      <c r="O31" s="14" t="n"/>
      <c r="P31" s="15" t="n"/>
      <c r="Q31" s="10" t="n"/>
      <c r="R31" s="10" t="n"/>
      <c r="S31" s="10" t="n"/>
      <c r="T31" s="15" t="n"/>
      <c r="U31" s="15" t="n"/>
      <c r="V31" s="10" t="n"/>
      <c r="W31" s="10" t="n"/>
      <c r="X31" s="10" t="n"/>
      <c r="Y31" s="16" t="n"/>
      <c r="Z31" s="16" t="n"/>
      <c r="AA31" s="10" t="n"/>
      <c r="AB31" s="10" t="n"/>
    </row>
    <row r="32">
      <c r="A32" t="inlineStr">
        <is>
          <t>Geita</t>
        </is>
      </c>
      <c r="B32" t="inlineStr">
        <is>
          <t>Chato District</t>
        </is>
      </c>
      <c r="C32" t="inlineStr">
        <is>
          <t>C179</t>
        </is>
      </c>
      <c r="D32" s="10" t="n"/>
      <c r="E32" s="10" t="n"/>
      <c r="F32" s="10" t="n"/>
      <c r="G32" s="11" t="n"/>
      <c r="H32" s="11" t="n"/>
      <c r="I32" s="11" t="n"/>
      <c r="J32" s="12" t="n"/>
      <c r="K32" s="10" t="n"/>
      <c r="L32" s="10" t="n"/>
      <c r="M32" s="12" t="n"/>
      <c r="N32" s="13" t="n"/>
      <c r="O32" s="14" t="n"/>
      <c r="P32" s="15" t="n"/>
      <c r="Q32" s="10" t="n"/>
      <c r="R32" s="10" t="n"/>
      <c r="S32" s="10" t="n"/>
      <c r="T32" s="15" t="n"/>
      <c r="U32" s="15" t="n"/>
      <c r="V32" s="10" t="n"/>
      <c r="W32" s="10" t="n"/>
      <c r="X32" s="10" t="n"/>
      <c r="Y32" s="16" t="n"/>
      <c r="Z32" s="16" t="n"/>
      <c r="AA32" s="10" t="n"/>
      <c r="AB32" s="10" t="n"/>
    </row>
    <row r="33">
      <c r="A33" t="inlineStr">
        <is>
          <t>Geita</t>
        </is>
      </c>
      <c r="B33" t="inlineStr">
        <is>
          <t>Geita District</t>
        </is>
      </c>
      <c r="C33" t="inlineStr">
        <is>
          <t>C174</t>
        </is>
      </c>
      <c r="D33" s="10" t="n"/>
      <c r="E33" s="10" t="n"/>
      <c r="F33" s="10" t="n"/>
      <c r="G33" s="11" t="n"/>
      <c r="H33" s="11" t="n"/>
      <c r="I33" s="11" t="n"/>
      <c r="J33" s="12" t="n"/>
      <c r="K33" s="10" t="n"/>
      <c r="L33" s="10" t="n"/>
      <c r="M33" s="12" t="n"/>
      <c r="N33" s="13" t="n"/>
      <c r="O33" s="14" t="n"/>
      <c r="P33" s="15" t="n"/>
      <c r="Q33" s="10" t="n"/>
      <c r="R33" s="10" t="n"/>
      <c r="S33" s="10" t="n"/>
      <c r="T33" s="15" t="n"/>
      <c r="U33" s="15" t="n"/>
      <c r="V33" s="10" t="n"/>
      <c r="W33" s="10" t="n"/>
      <c r="X33" s="10" t="n"/>
      <c r="Y33" s="16" t="n"/>
      <c r="Z33" s="16" t="n"/>
      <c r="AA33" s="10" t="n"/>
      <c r="AB33" s="10" t="n"/>
    </row>
    <row r="34">
      <c r="A34" t="inlineStr">
        <is>
          <t>Geita</t>
        </is>
      </c>
      <c r="B34" t="inlineStr">
        <is>
          <t>Geita Town</t>
        </is>
      </c>
      <c r="C34" t="inlineStr">
        <is>
          <t>C175</t>
        </is>
      </c>
      <c r="D34" s="10" t="n"/>
      <c r="E34" s="10" t="n"/>
      <c r="F34" s="10" t="n"/>
      <c r="G34" s="11" t="n"/>
      <c r="H34" s="11" t="n"/>
      <c r="I34" s="11" t="n"/>
      <c r="J34" s="12" t="n"/>
      <c r="K34" s="10" t="n"/>
      <c r="L34" s="10" t="n"/>
      <c r="M34" s="12" t="n"/>
      <c r="N34" s="13" t="n"/>
      <c r="O34" s="14" t="n"/>
      <c r="P34" s="15" t="n"/>
      <c r="Q34" s="10" t="n"/>
      <c r="R34" s="10" t="n"/>
      <c r="S34" s="10" t="n"/>
      <c r="T34" s="15" t="n"/>
      <c r="U34" s="15" t="n"/>
      <c r="V34" s="10" t="n"/>
      <c r="W34" s="10" t="n"/>
      <c r="X34" s="10" t="n"/>
      <c r="Y34" s="16" t="n"/>
      <c r="Z34" s="16" t="n"/>
      <c r="AA34" s="10" t="n"/>
      <c r="AB34" s="10" t="n"/>
    </row>
    <row r="35">
      <c r="A35" t="inlineStr">
        <is>
          <t>Geita</t>
        </is>
      </c>
      <c r="B35" t="inlineStr">
        <is>
          <t>Halmashuari Ya Wilaya Ya Mbogwe District</t>
        </is>
      </c>
      <c r="C35" t="inlineStr">
        <is>
          <t>C177</t>
        </is>
      </c>
      <c r="D35" s="10" t="n"/>
      <c r="E35" s="10" t="n"/>
      <c r="F35" s="10" t="n"/>
      <c r="G35" s="11" t="n"/>
      <c r="H35" s="11" t="n"/>
      <c r="I35" s="11" t="n"/>
      <c r="J35" s="12" t="n"/>
      <c r="K35" s="10" t="n"/>
      <c r="L35" s="10" t="n"/>
      <c r="M35" s="12" t="n"/>
      <c r="N35" s="13" t="n"/>
      <c r="O35" s="14" t="n"/>
      <c r="P35" s="15" t="n"/>
      <c r="Q35" s="10" t="n"/>
      <c r="R35" s="10" t="n"/>
      <c r="S35" s="10" t="n"/>
      <c r="T35" s="15" t="n"/>
      <c r="U35" s="15" t="n"/>
      <c r="V35" s="10" t="n"/>
      <c r="W35" s="10" t="n"/>
      <c r="X35" s="10" t="n"/>
      <c r="Y35" s="16" t="n"/>
      <c r="Z35" s="16" t="n"/>
      <c r="AA35" s="10" t="n"/>
      <c r="AB35" s="10" t="n"/>
    </row>
    <row r="36">
      <c r="A36" t="inlineStr">
        <is>
          <t>Geita</t>
        </is>
      </c>
      <c r="B36" t="inlineStr">
        <is>
          <t>Nyang'Hwale District</t>
        </is>
      </c>
      <c r="C36" t="inlineStr">
        <is>
          <t>C176</t>
        </is>
      </c>
      <c r="D36" s="10" t="n"/>
      <c r="E36" s="10" t="n"/>
      <c r="F36" s="10" t="n"/>
      <c r="G36" s="11" t="n"/>
      <c r="H36" s="11" t="n"/>
      <c r="I36" s="11" t="n"/>
      <c r="J36" s="12" t="n"/>
      <c r="K36" s="10" t="n"/>
      <c r="L36" s="10" t="n"/>
      <c r="M36" s="12" t="n"/>
      <c r="N36" s="13" t="n"/>
      <c r="O36" s="14" t="n"/>
      <c r="P36" s="15" t="n"/>
      <c r="Q36" s="10" t="n"/>
      <c r="R36" s="10" t="n"/>
      <c r="S36" s="10" t="n"/>
      <c r="T36" s="15" t="n"/>
      <c r="U36" s="15" t="n"/>
      <c r="V36" s="10" t="n"/>
      <c r="W36" s="10" t="n"/>
      <c r="X36" s="10" t="n"/>
      <c r="Y36" s="16" t="n"/>
      <c r="Z36" s="16" t="n"/>
      <c r="AA36" s="10" t="n"/>
      <c r="AB36" s="10" t="n"/>
    </row>
    <row r="37">
      <c r="A37" t="inlineStr">
        <is>
          <t>Iringa</t>
        </is>
      </c>
      <c r="B37" t="inlineStr">
        <is>
          <t>Iringa District</t>
        </is>
      </c>
      <c r="C37" t="inlineStr">
        <is>
          <t>C080</t>
        </is>
      </c>
      <c r="D37" s="10" t="n"/>
      <c r="E37" s="10" t="n"/>
      <c r="F37" s="10" t="n"/>
      <c r="G37" s="11" t="n"/>
      <c r="H37" s="11" t="n"/>
      <c r="I37" s="11" t="n"/>
      <c r="J37" s="12" t="n"/>
      <c r="K37" s="10" t="n"/>
      <c r="L37" s="10" t="n"/>
      <c r="M37" s="12" t="n"/>
      <c r="N37" s="13" t="n"/>
      <c r="O37" s="14" t="n"/>
      <c r="P37" s="15" t="n"/>
      <c r="Q37" s="10" t="n"/>
      <c r="R37" s="10" t="n"/>
      <c r="S37" s="10" t="n"/>
      <c r="T37" s="15" t="n"/>
      <c r="U37" s="15" t="n"/>
      <c r="V37" s="10" t="n"/>
      <c r="W37" s="10" t="n"/>
      <c r="X37" s="10" t="n"/>
      <c r="Y37" s="16" t="n"/>
      <c r="Z37" s="16" t="n"/>
      <c r="AA37" s="10" t="n"/>
      <c r="AB37" s="10" t="n"/>
    </row>
    <row r="38">
      <c r="A38" t="inlineStr">
        <is>
          <t>Iringa</t>
        </is>
      </c>
      <c r="B38" t="inlineStr">
        <is>
          <t>Iringa Municipal</t>
        </is>
      </c>
      <c r="C38" t="inlineStr">
        <is>
          <t>C081</t>
        </is>
      </c>
      <c r="D38" s="10" t="n"/>
      <c r="E38" s="10" t="n"/>
      <c r="F38" s="10" t="n"/>
      <c r="G38" s="11" t="n"/>
      <c r="H38" s="11" t="n"/>
      <c r="I38" s="11" t="n"/>
      <c r="J38" s="12" t="n"/>
      <c r="K38" s="10" t="n"/>
      <c r="L38" s="10" t="n"/>
      <c r="M38" s="12" t="n"/>
      <c r="N38" s="13" t="n"/>
      <c r="O38" s="14" t="n"/>
      <c r="P38" s="15" t="n"/>
      <c r="Q38" s="10" t="n"/>
      <c r="R38" s="10" t="n"/>
      <c r="S38" s="10" t="n"/>
      <c r="T38" s="15" t="n"/>
      <c r="U38" s="15" t="n"/>
      <c r="V38" s="10" t="n"/>
      <c r="W38" s="10" t="n"/>
      <c r="X38" s="10" t="n"/>
      <c r="Y38" s="16" t="n"/>
      <c r="Z38" s="16" t="n"/>
      <c r="AA38" s="10" t="n"/>
      <c r="AB38" s="10" t="n"/>
    </row>
    <row r="39">
      <c r="A39" t="inlineStr">
        <is>
          <t>Iringa</t>
        </is>
      </c>
      <c r="B39" t="inlineStr">
        <is>
          <t>Kilolo District</t>
        </is>
      </c>
      <c r="C39" t="inlineStr">
        <is>
          <t>C084</t>
        </is>
      </c>
      <c r="D39" s="10" t="n"/>
      <c r="E39" s="10" t="n"/>
      <c r="F39" s="10" t="n"/>
      <c r="G39" s="11" t="n"/>
      <c r="H39" s="11" t="n"/>
      <c r="I39" s="11" t="n"/>
      <c r="J39" s="12" t="n"/>
      <c r="K39" s="10" t="n"/>
      <c r="L39" s="10" t="n"/>
      <c r="M39" s="12" t="n"/>
      <c r="N39" s="13" t="n"/>
      <c r="O39" s="14" t="n"/>
      <c r="P39" s="15" t="n"/>
      <c r="Q39" s="10" t="n"/>
      <c r="R39" s="10" t="n"/>
      <c r="S39" s="10" t="n"/>
      <c r="T39" s="15" t="n"/>
      <c r="U39" s="15" t="n"/>
      <c r="V39" s="10" t="n"/>
      <c r="W39" s="10" t="n"/>
      <c r="X39" s="10" t="n"/>
      <c r="Y39" s="16" t="n"/>
      <c r="Z39" s="16" t="n"/>
      <c r="AA39" s="10" t="n"/>
      <c r="AB39" s="10" t="n"/>
    </row>
    <row r="40">
      <c r="A40" t="inlineStr">
        <is>
          <t>Iringa</t>
        </is>
      </c>
      <c r="B40" t="inlineStr">
        <is>
          <t>Mafinga Town</t>
        </is>
      </c>
      <c r="C40" t="inlineStr">
        <is>
          <t>C082</t>
        </is>
      </c>
      <c r="D40" s="10" t="n"/>
      <c r="E40" s="10" t="n"/>
      <c r="F40" s="10" t="n"/>
      <c r="G40" s="11" t="n"/>
      <c r="H40" s="11" t="n"/>
      <c r="I40" s="11" t="n"/>
      <c r="J40" s="12" t="n"/>
      <c r="K40" s="10" t="n"/>
      <c r="L40" s="10" t="n"/>
      <c r="M40" s="12" t="n"/>
      <c r="N40" s="13" t="n"/>
      <c r="O40" s="14" t="n"/>
      <c r="P40" s="15" t="n"/>
      <c r="Q40" s="10" t="n"/>
      <c r="R40" s="10" t="n"/>
      <c r="S40" s="10" t="n"/>
      <c r="T40" s="15" t="n"/>
      <c r="U40" s="15" t="n"/>
      <c r="V40" s="10" t="n"/>
      <c r="W40" s="10" t="n"/>
      <c r="X40" s="10" t="n"/>
      <c r="Y40" s="16" t="n"/>
      <c r="Z40" s="16" t="n"/>
      <c r="AA40" s="10" t="n"/>
      <c r="AB40" s="10" t="n"/>
    </row>
    <row r="41">
      <c r="A41" t="inlineStr">
        <is>
          <t>Iringa</t>
        </is>
      </c>
      <c r="B41" t="inlineStr">
        <is>
          <t>Mufindi District</t>
        </is>
      </c>
      <c r="C41" t="inlineStr">
        <is>
          <t>C083</t>
        </is>
      </c>
      <c r="D41" s="10" t="n"/>
      <c r="E41" s="10" t="n"/>
      <c r="F41" s="10" t="n"/>
      <c r="G41" s="11" t="n"/>
      <c r="H41" s="11" t="n"/>
      <c r="I41" s="11" t="n"/>
      <c r="J41" s="12" t="n"/>
      <c r="K41" s="10" t="n"/>
      <c r="L41" s="10" t="n"/>
      <c r="M41" s="12" t="n"/>
      <c r="N41" s="13" t="n"/>
      <c r="O41" s="14" t="n"/>
      <c r="P41" s="15" t="n"/>
      <c r="Q41" s="10" t="n"/>
      <c r="R41" s="10" t="n"/>
      <c r="S41" s="10" t="n"/>
      <c r="T41" s="15" t="n"/>
      <c r="U41" s="15" t="n"/>
      <c r="V41" s="10" t="n"/>
      <c r="W41" s="10" t="n"/>
      <c r="X41" s="10" t="n"/>
      <c r="Y41" s="16" t="n"/>
      <c r="Z41" s="16" t="n"/>
      <c r="AA41" s="10" t="n"/>
      <c r="AB41" s="10" t="n"/>
    </row>
    <row r="42">
      <c r="A42" t="inlineStr">
        <is>
          <t>Kagera</t>
        </is>
      </c>
      <c r="B42" t="inlineStr">
        <is>
          <t>Biharamulo District</t>
        </is>
      </c>
      <c r="C42" t="inlineStr">
        <is>
          <t>C129</t>
        </is>
      </c>
      <c r="D42" s="10" t="n"/>
      <c r="E42" s="10" t="n"/>
      <c r="F42" s="10" t="n"/>
      <c r="G42" s="11" t="n"/>
      <c r="H42" s="11" t="n"/>
      <c r="I42" s="11" t="n"/>
      <c r="J42" s="12" t="n"/>
      <c r="K42" s="10" t="n"/>
      <c r="L42" s="10" t="n"/>
      <c r="M42" s="12" t="n"/>
      <c r="N42" s="13" t="n"/>
      <c r="O42" s="14" t="n"/>
      <c r="P42" s="15" t="n"/>
      <c r="Q42" s="10" t="n"/>
      <c r="R42" s="10" t="n"/>
      <c r="S42" s="10" t="n"/>
      <c r="T42" s="15" t="n"/>
      <c r="U42" s="15" t="n"/>
      <c r="V42" s="10" t="n"/>
      <c r="W42" s="10" t="n"/>
      <c r="X42" s="10" t="n"/>
      <c r="Y42" s="16" t="n"/>
      <c r="Z42" s="16" t="n"/>
      <c r="AA42" s="10" t="n"/>
      <c r="AB42" s="10" t="n"/>
    </row>
    <row r="43">
      <c r="A43" t="inlineStr">
        <is>
          <t>Kagera</t>
        </is>
      </c>
      <c r="B43" t="inlineStr">
        <is>
          <t>Bukoba District</t>
        </is>
      </c>
      <c r="C43" t="inlineStr">
        <is>
          <t>C126</t>
        </is>
      </c>
      <c r="D43" s="10" t="n"/>
      <c r="E43" s="10" t="n"/>
      <c r="F43" s="10" t="n"/>
      <c r="G43" s="11" t="n"/>
      <c r="H43" s="11" t="n"/>
      <c r="I43" s="11" t="n"/>
      <c r="J43" s="12" t="n"/>
      <c r="K43" s="10" t="n"/>
      <c r="L43" s="10" t="n"/>
      <c r="M43" s="12" t="n"/>
      <c r="N43" s="13" t="n"/>
      <c r="O43" s="14" t="n"/>
      <c r="P43" s="15" t="n"/>
      <c r="Q43" s="10" t="n"/>
      <c r="R43" s="10" t="n"/>
      <c r="S43" s="10" t="n"/>
      <c r="T43" s="15" t="n"/>
      <c r="U43" s="15" t="n"/>
      <c r="V43" s="10" t="n"/>
      <c r="W43" s="10" t="n"/>
      <c r="X43" s="10" t="n"/>
      <c r="Y43" s="16" t="n"/>
      <c r="Z43" s="16" t="n"/>
      <c r="AA43" s="10" t="n"/>
      <c r="AB43" s="10" t="n"/>
    </row>
    <row r="44">
      <c r="A44" t="inlineStr">
        <is>
          <t>Kagera</t>
        </is>
      </c>
      <c r="B44" t="inlineStr">
        <is>
          <t>Bukoba Municipal</t>
        </is>
      </c>
      <c r="C44" t="inlineStr">
        <is>
          <t>C127</t>
        </is>
      </c>
      <c r="D44" s="10" t="n"/>
      <c r="E44" s="10" t="n"/>
      <c r="F44" s="10" t="n"/>
      <c r="G44" s="11" t="n"/>
      <c r="H44" s="11" t="n"/>
      <c r="I44" s="11" t="n"/>
      <c r="J44" s="12" t="n"/>
      <c r="K44" s="10" t="n"/>
      <c r="L44" s="10" t="n"/>
      <c r="M44" s="12" t="n"/>
      <c r="N44" s="13" t="n"/>
      <c r="O44" s="14" t="n"/>
      <c r="P44" s="15" t="n"/>
      <c r="Q44" s="10" t="n"/>
      <c r="R44" s="10" t="n"/>
      <c r="S44" s="10" t="n"/>
      <c r="T44" s="15" t="n"/>
      <c r="U44" s="15" t="n"/>
      <c r="V44" s="10" t="n"/>
      <c r="W44" s="10" t="n"/>
      <c r="X44" s="10" t="n"/>
      <c r="Y44" s="16" t="n"/>
      <c r="Z44" s="16" t="n"/>
      <c r="AA44" s="10" t="n"/>
      <c r="AB44" s="10" t="n"/>
    </row>
    <row r="45">
      <c r="A45" t="inlineStr">
        <is>
          <t>Kagera</t>
        </is>
      </c>
      <c r="B45" t="inlineStr">
        <is>
          <t>Karagwe District</t>
        </is>
      </c>
      <c r="C45" t="inlineStr">
        <is>
          <t>C125</t>
        </is>
      </c>
      <c r="D45" s="10" t="n"/>
      <c r="E45" s="10" t="n"/>
      <c r="F45" s="10" t="n"/>
      <c r="G45" s="11" t="n"/>
      <c r="H45" s="11" t="n"/>
      <c r="I45" s="11" t="n"/>
      <c r="J45" s="12" t="n"/>
      <c r="K45" s="10" t="n"/>
      <c r="L45" s="10" t="n"/>
      <c r="M45" s="12" t="n"/>
      <c r="N45" s="13" t="n"/>
      <c r="O45" s="14" t="n"/>
      <c r="P45" s="15" t="n"/>
      <c r="Q45" s="10" t="n"/>
      <c r="R45" s="10" t="n"/>
      <c r="S45" s="10" t="n"/>
      <c r="T45" s="15" t="n"/>
      <c r="U45" s="15" t="n"/>
      <c r="V45" s="10" t="n"/>
      <c r="W45" s="10" t="n"/>
      <c r="X45" s="10" t="n"/>
      <c r="Y45" s="16" t="n"/>
      <c r="Z45" s="16" t="n"/>
      <c r="AA45" s="10" t="n"/>
      <c r="AB45" s="10" t="n"/>
    </row>
    <row r="46">
      <c r="A46" t="inlineStr">
        <is>
          <t>Kagera</t>
        </is>
      </c>
      <c r="B46" t="inlineStr">
        <is>
          <t>Kyerwa District</t>
        </is>
      </c>
      <c r="C46" t="inlineStr">
        <is>
          <t>C131</t>
        </is>
      </c>
      <c r="D46" s="10" t="n"/>
      <c r="E46" s="10" t="n"/>
      <c r="F46" s="10" t="n"/>
      <c r="G46" s="11" t="n"/>
      <c r="H46" s="11" t="n"/>
      <c r="I46" s="11" t="n"/>
      <c r="J46" s="12" t="n"/>
      <c r="K46" s="10" t="n"/>
      <c r="L46" s="10" t="n"/>
      <c r="M46" s="12" t="n"/>
      <c r="N46" s="13" t="n"/>
      <c r="O46" s="14" t="n"/>
      <c r="P46" s="15" t="n"/>
      <c r="Q46" s="10" t="n"/>
      <c r="R46" s="10" t="n"/>
      <c r="S46" s="10" t="n"/>
      <c r="T46" s="15" t="n"/>
      <c r="U46" s="15" t="n"/>
      <c r="V46" s="10" t="n"/>
      <c r="W46" s="10" t="n"/>
      <c r="X46" s="10" t="n"/>
      <c r="Y46" s="16" t="n"/>
      <c r="Z46" s="16" t="n"/>
      <c r="AA46" s="10" t="n"/>
      <c r="AB46" s="10" t="n"/>
    </row>
    <row r="47">
      <c r="A47" t="inlineStr">
        <is>
          <t>Kagera</t>
        </is>
      </c>
      <c r="B47" t="inlineStr">
        <is>
          <t>Missenyi District</t>
        </is>
      </c>
      <c r="C47" t="inlineStr">
        <is>
          <t>C132</t>
        </is>
      </c>
      <c r="D47" s="10" t="n"/>
      <c r="E47" s="10" t="n"/>
      <c r="F47" s="10" t="n"/>
      <c r="G47" s="11" t="n"/>
      <c r="H47" s="11" t="n"/>
      <c r="I47" s="11" t="n"/>
      <c r="J47" s="12" t="n"/>
      <c r="K47" s="10" t="n"/>
      <c r="L47" s="10" t="n"/>
      <c r="M47" s="12" t="n"/>
      <c r="N47" s="13" t="n"/>
      <c r="O47" s="14" t="n"/>
      <c r="P47" s="15" t="n"/>
      <c r="Q47" s="10" t="n"/>
      <c r="R47" s="10" t="n"/>
      <c r="S47" s="10" t="n"/>
      <c r="T47" s="15" t="n"/>
      <c r="U47" s="15" t="n"/>
      <c r="V47" s="10" t="n"/>
      <c r="W47" s="10" t="n"/>
      <c r="X47" s="10" t="n"/>
      <c r="Y47" s="16" t="n"/>
      <c r="Z47" s="16" t="n"/>
      <c r="AA47" s="10" t="n"/>
      <c r="AB47" s="10" t="n"/>
    </row>
    <row r="48">
      <c r="A48" t="inlineStr">
        <is>
          <t>Kagera</t>
        </is>
      </c>
      <c r="B48" t="inlineStr">
        <is>
          <t>Muleba District</t>
        </is>
      </c>
      <c r="C48" t="inlineStr">
        <is>
          <t>C128</t>
        </is>
      </c>
      <c r="D48" s="10" t="n"/>
      <c r="E48" s="10" t="n"/>
      <c r="F48" s="10" t="n"/>
      <c r="G48" s="11" t="n"/>
      <c r="H48" s="11" t="n"/>
      <c r="I48" s="11" t="n"/>
      <c r="J48" s="12" t="n"/>
      <c r="K48" s="10" t="n"/>
      <c r="L48" s="10" t="n"/>
      <c r="M48" s="12" t="n"/>
      <c r="N48" s="13" t="n"/>
      <c r="O48" s="14" t="n"/>
      <c r="P48" s="15" t="n"/>
      <c r="Q48" s="10" t="n"/>
      <c r="R48" s="10" t="n"/>
      <c r="S48" s="10" t="n"/>
      <c r="T48" s="15" t="n"/>
      <c r="U48" s="15" t="n"/>
      <c r="V48" s="10" t="n"/>
      <c r="W48" s="10" t="n"/>
      <c r="X48" s="10" t="n"/>
      <c r="Y48" s="16" t="n"/>
      <c r="Z48" s="16" t="n"/>
      <c r="AA48" s="10" t="n"/>
      <c r="AB48" s="10" t="n"/>
    </row>
    <row r="49">
      <c r="A49" t="inlineStr">
        <is>
          <t>Kagera</t>
        </is>
      </c>
      <c r="B49" t="inlineStr">
        <is>
          <t>Ngara District</t>
        </is>
      </c>
      <c r="C49" t="inlineStr">
        <is>
          <t>C130</t>
        </is>
      </c>
      <c r="D49" s="10" t="n"/>
      <c r="E49" s="10" t="n"/>
      <c r="F49" s="10" t="n"/>
      <c r="G49" s="11" t="n"/>
      <c r="H49" s="11" t="n"/>
      <c r="I49" s="11" t="n"/>
      <c r="J49" s="12" t="n"/>
      <c r="K49" s="10" t="n"/>
      <c r="L49" s="10" t="n"/>
      <c r="M49" s="12" t="n"/>
      <c r="N49" s="13" t="n"/>
      <c r="O49" s="14" t="n"/>
      <c r="P49" s="15" t="n"/>
      <c r="Q49" s="10" t="n"/>
      <c r="R49" s="10" t="n"/>
      <c r="S49" s="10" t="n"/>
      <c r="T49" s="15" t="n"/>
      <c r="U49" s="15" t="n"/>
      <c r="V49" s="10" t="n"/>
      <c r="W49" s="10" t="n"/>
      <c r="X49" s="10" t="n"/>
      <c r="Y49" s="16" t="n"/>
      <c r="Z49" s="16" t="n"/>
      <c r="AA49" s="10" t="n"/>
      <c r="AB49" s="10" t="n"/>
    </row>
    <row r="50">
      <c r="A50" t="inlineStr">
        <is>
          <t>Kaskazini Pemba</t>
        </is>
      </c>
      <c r="B50" t="inlineStr">
        <is>
          <t>Micheweni District</t>
        </is>
      </c>
      <c r="C50" t="inlineStr">
        <is>
          <t>C193</t>
        </is>
      </c>
      <c r="D50" s="10" t="n"/>
      <c r="E50" s="10" t="n"/>
      <c r="F50" s="10" t="n"/>
      <c r="G50" s="11" t="n"/>
      <c r="H50" s="11" t="n"/>
      <c r="I50" s="11" t="n"/>
      <c r="J50" s="12" t="n"/>
      <c r="K50" s="10" t="n"/>
      <c r="L50" s="10" t="n"/>
      <c r="M50" s="12" t="n"/>
      <c r="N50" s="13" t="n"/>
      <c r="O50" s="14" t="n"/>
      <c r="P50" s="15" t="n"/>
      <c r="Q50" s="10" t="n"/>
      <c r="R50" s="10" t="n"/>
      <c r="S50" s="10" t="n"/>
      <c r="T50" s="15" t="n"/>
      <c r="U50" s="15" t="n"/>
      <c r="V50" s="10" t="n"/>
      <c r="W50" s="10" t="n"/>
      <c r="X50" s="10" t="n"/>
      <c r="Y50" s="16" t="n"/>
      <c r="Z50" s="16" t="n"/>
      <c r="AA50" s="10" t="n"/>
      <c r="AB50" s="10" t="n"/>
    </row>
    <row r="51">
      <c r="A51" t="inlineStr">
        <is>
          <t>Kaskazini Pemba</t>
        </is>
      </c>
      <c r="B51" t="inlineStr">
        <is>
          <t>Wete Town</t>
        </is>
      </c>
      <c r="C51" t="inlineStr">
        <is>
          <t>C192</t>
        </is>
      </c>
      <c r="D51" s="10" t="n"/>
      <c r="E51" s="10" t="n"/>
      <c r="F51" s="10" t="n"/>
      <c r="G51" s="11" t="n"/>
      <c r="H51" s="11" t="n"/>
      <c r="I51" s="11" t="n"/>
      <c r="J51" s="12" t="n"/>
      <c r="K51" s="10" t="n"/>
      <c r="L51" s="10" t="n"/>
      <c r="M51" s="12" t="n"/>
      <c r="N51" s="13" t="n"/>
      <c r="O51" s="14" t="n"/>
      <c r="P51" s="15" t="n"/>
      <c r="Q51" s="10" t="n"/>
      <c r="R51" s="10" t="n"/>
      <c r="S51" s="10" t="n"/>
      <c r="T51" s="15" t="n"/>
      <c r="U51" s="15" t="n"/>
      <c r="V51" s="10" t="n"/>
      <c r="W51" s="10" t="n"/>
      <c r="X51" s="10" t="n"/>
      <c r="Y51" s="16" t="n"/>
      <c r="Z51" s="16" t="n"/>
      <c r="AA51" s="10" t="n"/>
      <c r="AB51" s="10" t="n"/>
    </row>
    <row r="52">
      <c r="A52" t="inlineStr">
        <is>
          <t>Kaskazini Unguja</t>
        </is>
      </c>
      <c r="B52" t="inlineStr">
        <is>
          <t>Kaskazini A Town</t>
        </is>
      </c>
      <c r="C52" t="inlineStr">
        <is>
          <t>C185</t>
        </is>
      </c>
      <c r="D52" s="10" t="n"/>
      <c r="E52" s="10" t="n"/>
      <c r="F52" s="10" t="n"/>
      <c r="G52" s="11" t="n"/>
      <c r="H52" s="11" t="n"/>
      <c r="I52" s="11" t="n"/>
      <c r="J52" s="12" t="n"/>
      <c r="K52" s="10" t="n"/>
      <c r="L52" s="10" t="n"/>
      <c r="M52" s="12" t="n"/>
      <c r="N52" s="13" t="n"/>
      <c r="O52" s="14" t="n"/>
      <c r="P52" s="15" t="n"/>
      <c r="Q52" s="10" t="n"/>
      <c r="R52" s="10" t="n"/>
      <c r="S52" s="10" t="n"/>
      <c r="T52" s="15" t="n"/>
      <c r="U52" s="15" t="n"/>
      <c r="V52" s="10" t="n"/>
      <c r="W52" s="10" t="n"/>
      <c r="X52" s="10" t="n"/>
      <c r="Y52" s="16" t="n"/>
      <c r="Z52" s="16" t="n"/>
      <c r="AA52" s="10" t="n"/>
      <c r="AB52" s="10" t="n"/>
    </row>
    <row r="53">
      <c r="A53" t="inlineStr">
        <is>
          <t>Kaskazini Unguja</t>
        </is>
      </c>
      <c r="B53" t="inlineStr">
        <is>
          <t>Kaskazini B Town</t>
        </is>
      </c>
      <c r="C53" t="inlineStr">
        <is>
          <t>C186</t>
        </is>
      </c>
      <c r="D53" s="10" t="n"/>
      <c r="E53" s="10" t="n"/>
      <c r="F53" s="10" t="n"/>
      <c r="G53" s="11" t="n"/>
      <c r="H53" s="11" t="n"/>
      <c r="I53" s="11" t="n"/>
      <c r="J53" s="12" t="n"/>
      <c r="K53" s="10" t="n"/>
      <c r="L53" s="10" t="n"/>
      <c r="M53" s="12" t="n"/>
      <c r="N53" s="13" t="n"/>
      <c r="O53" s="14" t="n"/>
      <c r="P53" s="15" t="n"/>
      <c r="Q53" s="10" t="n"/>
      <c r="R53" s="10" t="n"/>
      <c r="S53" s="10" t="n"/>
      <c r="T53" s="15" t="n"/>
      <c r="U53" s="15" t="n"/>
      <c r="V53" s="10" t="n"/>
      <c r="W53" s="10" t="n"/>
      <c r="X53" s="10" t="n"/>
      <c r="Y53" s="16" t="n"/>
      <c r="Z53" s="16" t="n"/>
      <c r="AA53" s="10" t="n"/>
      <c r="AB53" s="10" t="n"/>
    </row>
    <row r="54">
      <c r="A54" t="inlineStr">
        <is>
          <t>Katavi</t>
        </is>
      </c>
      <c r="B54" t="inlineStr">
        <is>
          <t>Mlele District</t>
        </is>
      </c>
      <c r="C54" t="inlineStr">
        <is>
          <t>C166</t>
        </is>
      </c>
      <c r="D54" s="10" t="n"/>
      <c r="E54" s="10" t="n"/>
      <c r="F54" s="10" t="n"/>
      <c r="G54" s="11" t="n"/>
      <c r="H54" s="11" t="n"/>
      <c r="I54" s="11" t="n"/>
      <c r="J54" s="12" t="n"/>
      <c r="K54" s="10" t="n"/>
      <c r="L54" s="10" t="n"/>
      <c r="M54" s="12" t="n"/>
      <c r="N54" s="13" t="n"/>
      <c r="O54" s="14" t="n"/>
      <c r="P54" s="15" t="n"/>
      <c r="Q54" s="10" t="n"/>
      <c r="R54" s="10" t="n"/>
      <c r="S54" s="10" t="n"/>
      <c r="T54" s="15" t="n"/>
      <c r="U54" s="15" t="n"/>
      <c r="V54" s="10" t="n"/>
      <c r="W54" s="10" t="n"/>
      <c r="X54" s="10" t="n"/>
      <c r="Y54" s="16" t="n"/>
      <c r="Z54" s="16" t="n"/>
      <c r="AA54" s="10" t="n"/>
      <c r="AB54" s="10" t="n"/>
    </row>
    <row r="55">
      <c r="A55" t="inlineStr">
        <is>
          <t>Katavi</t>
        </is>
      </c>
      <c r="B55" t="inlineStr">
        <is>
          <t>Mpanda Municipal</t>
        </is>
      </c>
      <c r="C55" t="inlineStr">
        <is>
          <t>C163</t>
        </is>
      </c>
      <c r="D55" s="10" t="n"/>
      <c r="E55" s="10" t="n"/>
      <c r="F55" s="10" t="n"/>
      <c r="G55" s="11" t="n"/>
      <c r="H55" s="11" t="n"/>
      <c r="I55" s="11" t="n"/>
      <c r="J55" s="12" t="n"/>
      <c r="K55" s="10" t="n"/>
      <c r="L55" s="10" t="n"/>
      <c r="M55" s="12" t="n"/>
      <c r="N55" s="13" t="n"/>
      <c r="O55" s="14" t="n"/>
      <c r="P55" s="15" t="n"/>
      <c r="Q55" s="10" t="n"/>
      <c r="R55" s="10" t="n"/>
      <c r="S55" s="10" t="n"/>
      <c r="T55" s="15" t="n"/>
      <c r="U55" s="15" t="n"/>
      <c r="V55" s="10" t="n"/>
      <c r="W55" s="10" t="n"/>
      <c r="X55" s="10" t="n"/>
      <c r="Y55" s="16" t="n"/>
      <c r="Z55" s="16" t="n"/>
      <c r="AA55" s="10" t="n"/>
      <c r="AB55" s="10" t="n"/>
    </row>
    <row r="56">
      <c r="A56" t="inlineStr">
        <is>
          <t>Katavi</t>
        </is>
      </c>
      <c r="B56" t="inlineStr">
        <is>
          <t>Mpimbwe District</t>
        </is>
      </c>
      <c r="C56" t="inlineStr">
        <is>
          <t>C167</t>
        </is>
      </c>
      <c r="D56" s="10" t="n"/>
      <c r="E56" s="10" t="n"/>
      <c r="F56" s="10" t="n"/>
      <c r="G56" s="11" t="n"/>
      <c r="H56" s="11" t="n"/>
      <c r="I56" s="11" t="n"/>
      <c r="J56" s="12" t="n"/>
      <c r="K56" s="10" t="n"/>
      <c r="L56" s="10" t="n"/>
      <c r="M56" s="12" t="n"/>
      <c r="N56" s="13" t="n"/>
      <c r="O56" s="14" t="n"/>
      <c r="P56" s="15" t="n"/>
      <c r="Q56" s="10" t="n"/>
      <c r="R56" s="10" t="n"/>
      <c r="S56" s="10" t="n"/>
      <c r="T56" s="15" t="n"/>
      <c r="U56" s="15" t="n"/>
      <c r="V56" s="10" t="n"/>
      <c r="W56" s="10" t="n"/>
      <c r="X56" s="10" t="n"/>
      <c r="Y56" s="16" t="n"/>
      <c r="Z56" s="16" t="n"/>
      <c r="AA56" s="10" t="n"/>
      <c r="AB56" s="10" t="n"/>
    </row>
    <row r="57">
      <c r="A57" t="inlineStr">
        <is>
          <t>Katavi</t>
        </is>
      </c>
      <c r="B57" t="inlineStr">
        <is>
          <t>Nsimbo District</t>
        </is>
      </c>
      <c r="C57" t="inlineStr">
        <is>
          <t>C164</t>
        </is>
      </c>
      <c r="D57" s="10" t="n"/>
      <c r="E57" s="10" t="n"/>
      <c r="F57" s="10" t="n"/>
      <c r="G57" s="11" t="n"/>
      <c r="H57" s="11" t="n"/>
      <c r="I57" s="11" t="n"/>
      <c r="J57" s="12" t="n"/>
      <c r="K57" s="10" t="n"/>
      <c r="L57" s="10" t="n"/>
      <c r="M57" s="12" t="n"/>
      <c r="N57" s="13" t="n"/>
      <c r="O57" s="14" t="n"/>
      <c r="P57" s="15" t="n"/>
      <c r="Q57" s="10" t="n"/>
      <c r="R57" s="10" t="n"/>
      <c r="S57" s="10" t="n"/>
      <c r="T57" s="15" t="n"/>
      <c r="U57" s="15" t="n"/>
      <c r="V57" s="10" t="n"/>
      <c r="W57" s="10" t="n"/>
      <c r="X57" s="10" t="n"/>
      <c r="Y57" s="16" t="n"/>
      <c r="Z57" s="16" t="n"/>
      <c r="AA57" s="10" t="n"/>
      <c r="AB57" s="10" t="n"/>
    </row>
    <row r="58">
      <c r="A58" t="inlineStr">
        <is>
          <t>Katavi</t>
        </is>
      </c>
      <c r="B58" t="inlineStr">
        <is>
          <t>Tanganyika District</t>
        </is>
      </c>
      <c r="C58" t="inlineStr">
        <is>
          <t>C165</t>
        </is>
      </c>
      <c r="D58" s="10" t="n"/>
      <c r="E58" s="10" t="n"/>
      <c r="F58" s="10" t="n"/>
      <c r="G58" s="11" t="n"/>
      <c r="H58" s="11" t="n"/>
      <c r="I58" s="11" t="n"/>
      <c r="J58" s="12" t="n"/>
      <c r="K58" s="10" t="n"/>
      <c r="L58" s="10" t="n"/>
      <c r="M58" s="12" t="n"/>
      <c r="N58" s="13" t="n"/>
      <c r="O58" s="14" t="n"/>
      <c r="P58" s="15" t="n"/>
      <c r="Q58" s="10" t="n"/>
      <c r="R58" s="10" t="n"/>
      <c r="S58" s="10" t="n"/>
      <c r="T58" s="15" t="n"/>
      <c r="U58" s="15" t="n"/>
      <c r="V58" s="10" t="n"/>
      <c r="W58" s="10" t="n"/>
      <c r="X58" s="10" t="n"/>
      <c r="Y58" s="16" t="n"/>
      <c r="Z58" s="16" t="n"/>
      <c r="AA58" s="10" t="n"/>
      <c r="AB58" s="10" t="n"/>
    </row>
    <row r="59">
      <c r="A59" t="inlineStr">
        <is>
          <t>Kigoma</t>
        </is>
      </c>
      <c r="B59" t="inlineStr">
        <is>
          <t>Buhigwe District</t>
        </is>
      </c>
      <c r="C59" t="inlineStr">
        <is>
          <t>C117</t>
        </is>
      </c>
      <c r="D59" s="10" t="n"/>
      <c r="E59" s="10" t="n"/>
      <c r="F59" s="10" t="n"/>
      <c r="G59" s="11" t="n"/>
      <c r="H59" s="11" t="n"/>
      <c r="I59" s="11" t="n"/>
      <c r="J59" s="12" t="n"/>
      <c r="K59" s="10" t="n"/>
      <c r="L59" s="10" t="n"/>
      <c r="M59" s="12" t="n"/>
      <c r="N59" s="13" t="n"/>
      <c r="O59" s="14" t="n"/>
      <c r="P59" s="15" t="n"/>
      <c r="Q59" s="10" t="n"/>
      <c r="R59" s="10" t="n"/>
      <c r="S59" s="10" t="n"/>
      <c r="T59" s="15" t="n"/>
      <c r="U59" s="15" t="n"/>
      <c r="V59" s="10" t="n"/>
      <c r="W59" s="10" t="n"/>
      <c r="X59" s="10" t="n"/>
      <c r="Y59" s="16" t="n"/>
      <c r="Z59" s="16" t="n"/>
      <c r="AA59" s="10" t="n"/>
      <c r="AB59" s="10" t="n"/>
    </row>
    <row r="60">
      <c r="A60" t="inlineStr">
        <is>
          <t>Kigoma</t>
        </is>
      </c>
      <c r="B60" t="inlineStr">
        <is>
          <t>Kakonko District</t>
        </is>
      </c>
      <c r="C60" t="inlineStr">
        <is>
          <t>C118</t>
        </is>
      </c>
      <c r="D60" s="10" t="n"/>
      <c r="E60" s="10" t="n"/>
      <c r="F60" s="10" t="n"/>
      <c r="G60" s="11" t="n"/>
      <c r="H60" s="11" t="n"/>
      <c r="I60" s="11" t="n"/>
      <c r="J60" s="12" t="n"/>
      <c r="K60" s="10" t="n"/>
      <c r="L60" s="10" t="n"/>
      <c r="M60" s="12" t="n"/>
      <c r="N60" s="13" t="n"/>
      <c r="O60" s="14" t="n"/>
      <c r="P60" s="15" t="n"/>
      <c r="Q60" s="10" t="n"/>
      <c r="R60" s="10" t="n"/>
      <c r="S60" s="10" t="n"/>
      <c r="T60" s="15" t="n"/>
      <c r="U60" s="15" t="n"/>
      <c r="V60" s="10" t="n"/>
      <c r="W60" s="10" t="n"/>
      <c r="X60" s="10" t="n"/>
      <c r="Y60" s="16" t="n"/>
      <c r="Z60" s="16" t="n"/>
      <c r="AA60" s="10" t="n"/>
      <c r="AB60" s="10" t="n"/>
    </row>
    <row r="61">
      <c r="A61" t="inlineStr">
        <is>
          <t>Kigoma</t>
        </is>
      </c>
      <c r="B61" t="inlineStr">
        <is>
          <t>Kasulu District</t>
        </is>
      </c>
      <c r="C61" t="inlineStr">
        <is>
          <t>C112</t>
        </is>
      </c>
      <c r="D61" s="10" t="n"/>
      <c r="E61" s="10" t="n"/>
      <c r="F61" s="10" t="n"/>
      <c r="G61" s="11" t="n"/>
      <c r="H61" s="11" t="n"/>
      <c r="I61" s="11" t="n"/>
      <c r="J61" s="12" t="n"/>
      <c r="K61" s="10" t="n"/>
      <c r="L61" s="10" t="n"/>
      <c r="M61" s="12" t="n"/>
      <c r="N61" s="13" t="n"/>
      <c r="O61" s="14" t="n"/>
      <c r="P61" s="15" t="n"/>
      <c r="Q61" s="10" t="n"/>
      <c r="R61" s="10" t="n"/>
      <c r="S61" s="10" t="n"/>
      <c r="T61" s="15" t="n"/>
      <c r="U61" s="15" t="n"/>
      <c r="V61" s="10" t="n"/>
      <c r="W61" s="10" t="n"/>
      <c r="X61" s="10" t="n"/>
      <c r="Y61" s="16" t="n"/>
      <c r="Z61" s="16" t="n"/>
      <c r="AA61" s="10" t="n"/>
      <c r="AB61" s="10" t="n"/>
    </row>
    <row r="62">
      <c r="A62" t="inlineStr">
        <is>
          <t>Kigoma</t>
        </is>
      </c>
      <c r="B62" t="inlineStr">
        <is>
          <t>Kasulu Town</t>
        </is>
      </c>
      <c r="C62" t="inlineStr">
        <is>
          <t>C113</t>
        </is>
      </c>
      <c r="D62" s="10" t="n"/>
      <c r="E62" s="10" t="n"/>
      <c r="F62" s="10" t="n"/>
      <c r="G62" s="11" t="n"/>
      <c r="H62" s="11" t="n"/>
      <c r="I62" s="11" t="n"/>
      <c r="J62" s="12" t="n"/>
      <c r="K62" s="10" t="n"/>
      <c r="L62" s="10" t="n"/>
      <c r="M62" s="12" t="n"/>
      <c r="N62" s="13" t="n"/>
      <c r="O62" s="14" t="n"/>
      <c r="P62" s="15" t="n"/>
      <c r="Q62" s="10" t="n"/>
      <c r="R62" s="10" t="n"/>
      <c r="S62" s="10" t="n"/>
      <c r="T62" s="15" t="n"/>
      <c r="U62" s="15" t="n"/>
      <c r="V62" s="10" t="n"/>
      <c r="W62" s="10" t="n"/>
      <c r="X62" s="10" t="n"/>
      <c r="Y62" s="16" t="n"/>
      <c r="Z62" s="16" t="n"/>
      <c r="AA62" s="10" t="n"/>
      <c r="AB62" s="10" t="n"/>
    </row>
    <row r="63">
      <c r="A63" t="inlineStr">
        <is>
          <t>Kigoma</t>
        </is>
      </c>
      <c r="B63" t="inlineStr">
        <is>
          <t>Kibondo District</t>
        </is>
      </c>
      <c r="C63" t="inlineStr">
        <is>
          <t>C111</t>
        </is>
      </c>
      <c r="D63" s="10" t="n"/>
      <c r="E63" s="10" t="n"/>
      <c r="F63" s="10" t="n"/>
      <c r="G63" s="11" t="n"/>
      <c r="H63" s="11" t="n"/>
      <c r="I63" s="11" t="n"/>
      <c r="J63" s="12" t="n"/>
      <c r="K63" s="10" t="n"/>
      <c r="L63" s="10" t="n"/>
      <c r="M63" s="12" t="n"/>
      <c r="N63" s="13" t="n"/>
      <c r="O63" s="14" t="n"/>
      <c r="P63" s="15" t="n"/>
      <c r="Q63" s="10" t="n"/>
      <c r="R63" s="10" t="n"/>
      <c r="S63" s="10" t="n"/>
      <c r="T63" s="15" t="n"/>
      <c r="U63" s="15" t="n"/>
      <c r="V63" s="10" t="n"/>
      <c r="W63" s="10" t="n"/>
      <c r="X63" s="10" t="n"/>
      <c r="Y63" s="16" t="n"/>
      <c r="Z63" s="16" t="n"/>
      <c r="AA63" s="10" t="n"/>
      <c r="AB63" s="10" t="n"/>
    </row>
    <row r="64">
      <c r="A64" t="inlineStr">
        <is>
          <t>Kigoma</t>
        </is>
      </c>
      <c r="B64" t="inlineStr">
        <is>
          <t>Kigoma District</t>
        </is>
      </c>
      <c r="C64" t="inlineStr">
        <is>
          <t>C114</t>
        </is>
      </c>
      <c r="D64" s="10" t="n"/>
      <c r="E64" s="10" t="n"/>
      <c r="F64" s="10" t="n"/>
      <c r="G64" s="11" t="n"/>
      <c r="H64" s="11" t="n"/>
      <c r="I64" s="11" t="n"/>
      <c r="J64" s="12" t="n"/>
      <c r="K64" s="10" t="n"/>
      <c r="L64" s="10" t="n"/>
      <c r="M64" s="12" t="n"/>
      <c r="N64" s="13" t="n"/>
      <c r="O64" s="14" t="n"/>
      <c r="P64" s="15" t="n"/>
      <c r="Q64" s="10" t="n"/>
      <c r="R64" s="10" t="n"/>
      <c r="S64" s="10" t="n"/>
      <c r="T64" s="15" t="n"/>
      <c r="U64" s="15" t="n"/>
      <c r="V64" s="10" t="n"/>
      <c r="W64" s="10" t="n"/>
      <c r="X64" s="10" t="n"/>
      <c r="Y64" s="16" t="n"/>
      <c r="Z64" s="16" t="n"/>
      <c r="AA64" s="10" t="n"/>
      <c r="AB64" s="10" t="n"/>
    </row>
    <row r="65">
      <c r="A65" t="inlineStr">
        <is>
          <t>Kigoma</t>
        </is>
      </c>
      <c r="B65" t="inlineStr">
        <is>
          <t>Kigoma Ujiji City</t>
        </is>
      </c>
      <c r="C65" t="inlineStr">
        <is>
          <t>C115</t>
        </is>
      </c>
      <c r="D65" s="10" t="n"/>
      <c r="E65" s="10" t="n"/>
      <c r="F65" s="10" t="n"/>
      <c r="G65" s="11" t="n"/>
      <c r="H65" s="11" t="n"/>
      <c r="I65" s="11" t="n"/>
      <c r="J65" s="12" t="n"/>
      <c r="K65" s="10" t="n"/>
      <c r="L65" s="10" t="n"/>
      <c r="M65" s="12" t="n"/>
      <c r="N65" s="13" t="n"/>
      <c r="O65" s="14" t="n"/>
      <c r="P65" s="15" t="n"/>
      <c r="Q65" s="10" t="n"/>
      <c r="R65" s="10" t="n"/>
      <c r="S65" s="10" t="n"/>
      <c r="T65" s="15" t="n"/>
      <c r="U65" s="15" t="n"/>
      <c r="V65" s="10" t="n"/>
      <c r="W65" s="10" t="n"/>
      <c r="X65" s="10" t="n"/>
      <c r="Y65" s="16" t="n"/>
      <c r="Z65" s="16" t="n"/>
      <c r="AA65" s="10" t="n"/>
      <c r="AB65" s="10" t="n"/>
    </row>
    <row r="66">
      <c r="A66" t="inlineStr">
        <is>
          <t>Kigoma</t>
        </is>
      </c>
      <c r="B66" t="inlineStr">
        <is>
          <t>Uvinza District</t>
        </is>
      </c>
      <c r="C66" t="inlineStr">
        <is>
          <t>C116</t>
        </is>
      </c>
      <c r="D66" s="10" t="n"/>
      <c r="E66" s="10" t="n"/>
      <c r="F66" s="10" t="n"/>
      <c r="G66" s="11" t="n"/>
      <c r="H66" s="11" t="n"/>
      <c r="I66" s="11" t="n"/>
      <c r="J66" s="12" t="n"/>
      <c r="K66" s="10" t="n"/>
      <c r="L66" s="10" t="n"/>
      <c r="M66" s="12" t="n"/>
      <c r="N66" s="13" t="n"/>
      <c r="O66" s="14" t="n"/>
      <c r="P66" s="15" t="n"/>
      <c r="Q66" s="10" t="n"/>
      <c r="R66" s="10" t="n"/>
      <c r="S66" s="10" t="n"/>
      <c r="T66" s="15" t="n"/>
      <c r="U66" s="15" t="n"/>
      <c r="V66" s="10" t="n"/>
      <c r="W66" s="10" t="n"/>
      <c r="X66" s="10" t="n"/>
      <c r="Y66" s="16" t="n"/>
      <c r="Z66" s="16" t="n"/>
      <c r="AA66" s="10" t="n"/>
      <c r="AB66" s="10" t="n"/>
    </row>
    <row r="67">
      <c r="A67" t="inlineStr">
        <is>
          <t>Kilimanjaro</t>
        </is>
      </c>
      <c r="B67" t="inlineStr">
        <is>
          <t>Hai District</t>
        </is>
      </c>
      <c r="C67" t="inlineStr">
        <is>
          <t>C021</t>
        </is>
      </c>
      <c r="D67" s="10" t="n"/>
      <c r="E67" s="10" t="n"/>
      <c r="F67" s="10" t="n"/>
      <c r="G67" s="11" t="n"/>
      <c r="H67" s="11" t="n"/>
      <c r="I67" s="11" t="n"/>
      <c r="J67" s="12" t="n"/>
      <c r="K67" s="10" t="n"/>
      <c r="L67" s="10" t="n"/>
      <c r="M67" s="12" t="n"/>
      <c r="N67" s="13" t="n"/>
      <c r="O67" s="14" t="n"/>
      <c r="P67" s="15" t="n"/>
      <c r="Q67" s="10" t="n"/>
      <c r="R67" s="10" t="n"/>
      <c r="S67" s="10" t="n"/>
      <c r="T67" s="15" t="n"/>
      <c r="U67" s="15" t="n"/>
      <c r="V67" s="10" t="n"/>
      <c r="W67" s="10" t="n"/>
      <c r="X67" s="10" t="n"/>
      <c r="Y67" s="16" t="n"/>
      <c r="Z67" s="16" t="n"/>
      <c r="AA67" s="10" t="n"/>
      <c r="AB67" s="10" t="n"/>
    </row>
    <row r="68">
      <c r="A68" t="inlineStr">
        <is>
          <t>Kilimanjaro</t>
        </is>
      </c>
      <c r="B68" t="inlineStr">
        <is>
          <t>Moshi District</t>
        </is>
      </c>
      <c r="C68" t="inlineStr">
        <is>
          <t>C020</t>
        </is>
      </c>
      <c r="D68" s="10" t="n"/>
      <c r="E68" s="10" t="n"/>
      <c r="F68" s="10" t="n"/>
      <c r="G68" s="11" t="n"/>
      <c r="H68" s="11" t="n"/>
      <c r="I68" s="11" t="n"/>
      <c r="J68" s="12" t="n"/>
      <c r="K68" s="10" t="n"/>
      <c r="L68" s="10" t="n"/>
      <c r="M68" s="12" t="n"/>
      <c r="N68" s="13" t="n"/>
      <c r="O68" s="14" t="n"/>
      <c r="P68" s="15" t="n"/>
      <c r="Q68" s="10" t="n"/>
      <c r="R68" s="10" t="n"/>
      <c r="S68" s="10" t="n"/>
      <c r="T68" s="15" t="n"/>
      <c r="U68" s="15" t="n"/>
      <c r="V68" s="10" t="n"/>
      <c r="W68" s="10" t="n"/>
      <c r="X68" s="10" t="n"/>
      <c r="Y68" s="16" t="n"/>
      <c r="Z68" s="16" t="n"/>
      <c r="AA68" s="10" t="n"/>
      <c r="AB68" s="10" t="n"/>
    </row>
    <row r="69">
      <c r="A69" t="inlineStr">
        <is>
          <t>Kilimanjaro</t>
        </is>
      </c>
      <c r="B69" t="inlineStr">
        <is>
          <t>Moshi Municipal</t>
        </is>
      </c>
      <c r="C69" t="inlineStr">
        <is>
          <t>C019</t>
        </is>
      </c>
      <c r="D69" s="10" t="n"/>
      <c r="E69" s="10" t="n"/>
      <c r="F69" s="10" t="n"/>
      <c r="G69" s="11" t="n"/>
      <c r="H69" s="11" t="n"/>
      <c r="I69" s="11" t="n"/>
      <c r="J69" s="12" t="n"/>
      <c r="K69" s="10" t="n"/>
      <c r="L69" s="10" t="n"/>
      <c r="M69" s="12" t="n"/>
      <c r="N69" s="13" t="n"/>
      <c r="O69" s="14" t="n"/>
      <c r="P69" s="15" t="n"/>
      <c r="Q69" s="10" t="n"/>
      <c r="R69" s="10" t="n"/>
      <c r="S69" s="10" t="n"/>
      <c r="T69" s="15" t="n"/>
      <c r="U69" s="15" t="n"/>
      <c r="V69" s="10" t="n"/>
      <c r="W69" s="10" t="n"/>
      <c r="X69" s="10" t="n"/>
      <c r="Y69" s="16" t="n"/>
      <c r="Z69" s="16" t="n"/>
      <c r="AA69" s="10" t="n"/>
      <c r="AB69" s="10" t="n"/>
    </row>
    <row r="70">
      <c r="A70" t="inlineStr">
        <is>
          <t>Kilimanjaro</t>
        </is>
      </c>
      <c r="B70" t="inlineStr">
        <is>
          <t>Mwanga District</t>
        </is>
      </c>
      <c r="C70" t="inlineStr">
        <is>
          <t>C017</t>
        </is>
      </c>
      <c r="D70" s="10" t="n"/>
      <c r="E70" s="10" t="n"/>
      <c r="F70" s="10" t="n"/>
      <c r="G70" s="11" t="n"/>
      <c r="H70" s="11" t="n"/>
      <c r="I70" s="11" t="n"/>
      <c r="J70" s="12" t="n"/>
      <c r="K70" s="10" t="n"/>
      <c r="L70" s="10" t="n"/>
      <c r="M70" s="12" t="n"/>
      <c r="N70" s="13" t="n"/>
      <c r="O70" s="14" t="n"/>
      <c r="P70" s="15" t="n"/>
      <c r="Q70" s="10" t="n"/>
      <c r="R70" s="10" t="n"/>
      <c r="S70" s="10" t="n"/>
      <c r="T70" s="15" t="n"/>
      <c r="U70" s="15" t="n"/>
      <c r="V70" s="10" t="n"/>
      <c r="W70" s="10" t="n"/>
      <c r="X70" s="10" t="n"/>
      <c r="Y70" s="16" t="n"/>
      <c r="Z70" s="16" t="n"/>
      <c r="AA70" s="10" t="n"/>
      <c r="AB70" s="10" t="n"/>
    </row>
    <row r="71">
      <c r="A71" t="inlineStr">
        <is>
          <t>Kilimanjaro</t>
        </is>
      </c>
      <c r="B71" t="inlineStr">
        <is>
          <t>Rombo District</t>
        </is>
      </c>
      <c r="C71" t="inlineStr">
        <is>
          <t>C016</t>
        </is>
      </c>
      <c r="D71" s="10" t="n"/>
      <c r="E71" s="10" t="n"/>
      <c r="F71" s="10" t="n"/>
      <c r="G71" s="11" t="n"/>
      <c r="H71" s="11" t="n"/>
      <c r="I71" s="11" t="n"/>
      <c r="J71" s="12" t="n"/>
      <c r="K71" s="10" t="n"/>
      <c r="L71" s="10" t="n"/>
      <c r="M71" s="12" t="n"/>
      <c r="N71" s="13" t="n"/>
      <c r="O71" s="14" t="n"/>
      <c r="P71" s="15" t="n"/>
      <c r="Q71" s="10" t="n"/>
      <c r="R71" s="10" t="n"/>
      <c r="S71" s="10" t="n"/>
      <c r="T71" s="15" t="n"/>
      <c r="U71" s="15" t="n"/>
      <c r="V71" s="10" t="n"/>
      <c r="W71" s="10" t="n"/>
      <c r="X71" s="10" t="n"/>
      <c r="Y71" s="16" t="n"/>
      <c r="Z71" s="16" t="n"/>
      <c r="AA71" s="10" t="n"/>
      <c r="AB71" s="10" t="n"/>
    </row>
    <row r="72">
      <c r="A72" t="inlineStr">
        <is>
          <t>Kilimanjaro</t>
        </is>
      </c>
      <c r="B72" t="inlineStr">
        <is>
          <t>Same District</t>
        </is>
      </c>
      <c r="C72" t="inlineStr">
        <is>
          <t>C018</t>
        </is>
      </c>
      <c r="D72" s="10" t="n"/>
      <c r="E72" s="10" t="n"/>
      <c r="F72" s="10" t="n"/>
      <c r="G72" s="11" t="n"/>
      <c r="H72" s="11" t="n"/>
      <c r="I72" s="11" t="n"/>
      <c r="J72" s="12" t="n"/>
      <c r="K72" s="10" t="n"/>
      <c r="L72" s="10" t="n"/>
      <c r="M72" s="12" t="n"/>
      <c r="N72" s="13" t="n"/>
      <c r="O72" s="14" t="n"/>
      <c r="P72" s="15" t="n"/>
      <c r="Q72" s="10" t="n"/>
      <c r="R72" s="10" t="n"/>
      <c r="S72" s="10" t="n"/>
      <c r="T72" s="15" t="n"/>
      <c r="U72" s="15" t="n"/>
      <c r="V72" s="10" t="n"/>
      <c r="W72" s="10" t="n"/>
      <c r="X72" s="10" t="n"/>
      <c r="Y72" s="16" t="n"/>
      <c r="Z72" s="16" t="n"/>
      <c r="AA72" s="10" t="n"/>
      <c r="AB72" s="10" t="n"/>
    </row>
    <row r="73">
      <c r="A73" t="inlineStr">
        <is>
          <t>Kilimanjaro</t>
        </is>
      </c>
      <c r="B73" t="inlineStr">
        <is>
          <t>Siha District</t>
        </is>
      </c>
      <c r="C73" t="inlineStr">
        <is>
          <t>C022</t>
        </is>
      </c>
      <c r="D73" s="10" t="n"/>
      <c r="E73" s="10" t="n"/>
      <c r="F73" s="10" t="n"/>
      <c r="G73" s="11" t="n"/>
      <c r="H73" s="11" t="n"/>
      <c r="I73" s="11" t="n"/>
      <c r="J73" s="12" t="n"/>
      <c r="K73" s="10" t="n"/>
      <c r="L73" s="10" t="n"/>
      <c r="M73" s="12" t="n"/>
      <c r="N73" s="13" t="n"/>
      <c r="O73" s="14" t="n"/>
      <c r="P73" s="15" t="n"/>
      <c r="Q73" s="10" t="n"/>
      <c r="R73" s="10" t="n"/>
      <c r="S73" s="10" t="n"/>
      <c r="T73" s="15" t="n"/>
      <c r="U73" s="15" t="n"/>
      <c r="V73" s="10" t="n"/>
      <c r="W73" s="10" t="n"/>
      <c r="X73" s="10" t="n"/>
      <c r="Y73" s="16" t="n"/>
      <c r="Z73" s="16" t="n"/>
      <c r="AA73" s="10" t="n"/>
      <c r="AB73" s="10" t="n"/>
    </row>
    <row r="74">
      <c r="A74" t="inlineStr">
        <is>
          <t>Kusini Pemba</t>
        </is>
      </c>
      <c r="B74" t="inlineStr">
        <is>
          <t>Chake Chake Town</t>
        </is>
      </c>
      <c r="C74" t="inlineStr">
        <is>
          <t>C194</t>
        </is>
      </c>
      <c r="D74" s="10" t="n"/>
      <c r="E74" s="10" t="n"/>
      <c r="F74" s="10" t="n"/>
      <c r="G74" s="11" t="n"/>
      <c r="H74" s="11" t="n"/>
      <c r="I74" s="11" t="n"/>
      <c r="J74" s="12" t="n"/>
      <c r="K74" s="10" t="n"/>
      <c r="L74" s="10" t="n"/>
      <c r="M74" s="12" t="n"/>
      <c r="N74" s="13" t="n"/>
      <c r="O74" s="14" t="n"/>
      <c r="P74" s="15" t="n"/>
      <c r="Q74" s="10" t="n"/>
      <c r="R74" s="10" t="n"/>
      <c r="S74" s="10" t="n"/>
      <c r="T74" s="15" t="n"/>
      <c r="U74" s="15" t="n"/>
      <c r="V74" s="10" t="n"/>
      <c r="W74" s="10" t="n"/>
      <c r="X74" s="10" t="n"/>
      <c r="Y74" s="16" t="n"/>
      <c r="Z74" s="16" t="n"/>
      <c r="AA74" s="10" t="n"/>
      <c r="AB74" s="10" t="n"/>
    </row>
    <row r="75">
      <c r="A75" t="inlineStr">
        <is>
          <t>Kusini Pemba</t>
        </is>
      </c>
      <c r="B75" t="inlineStr">
        <is>
          <t>Mkoani Town</t>
        </is>
      </c>
      <c r="C75" t="inlineStr">
        <is>
          <t>C195</t>
        </is>
      </c>
      <c r="D75" s="10" t="n"/>
      <c r="E75" s="10" t="n"/>
      <c r="F75" s="10" t="n"/>
      <c r="G75" s="11" t="n"/>
      <c r="H75" s="11" t="n"/>
      <c r="I75" s="11" t="n"/>
      <c r="J75" s="12" t="n"/>
      <c r="K75" s="10" t="n"/>
      <c r="L75" s="10" t="n"/>
      <c r="M75" s="12" t="n"/>
      <c r="N75" s="13" t="n"/>
      <c r="O75" s="14" t="n"/>
      <c r="P75" s="15" t="n"/>
      <c r="Q75" s="10" t="n"/>
      <c r="R75" s="10" t="n"/>
      <c r="S75" s="10" t="n"/>
      <c r="T75" s="15" t="n"/>
      <c r="U75" s="15" t="n"/>
      <c r="V75" s="10" t="n"/>
      <c r="W75" s="10" t="n"/>
      <c r="X75" s="10" t="n"/>
      <c r="Y75" s="16" t="n"/>
      <c r="Z75" s="16" t="n"/>
      <c r="AA75" s="10" t="n"/>
      <c r="AB75" s="10" t="n"/>
    </row>
    <row r="76">
      <c r="A76" t="inlineStr">
        <is>
          <t>Kusini Unguja</t>
        </is>
      </c>
      <c r="B76" t="inlineStr">
        <is>
          <t>Kati Town</t>
        </is>
      </c>
      <c r="C76" t="inlineStr">
        <is>
          <t>C187</t>
        </is>
      </c>
      <c r="D76" s="10" t="n"/>
      <c r="E76" s="10" t="n"/>
      <c r="F76" s="10" t="n"/>
      <c r="G76" s="11" t="n"/>
      <c r="H76" s="11" t="n"/>
      <c r="I76" s="11" t="n"/>
      <c r="J76" s="12" t="n"/>
      <c r="K76" s="10" t="n"/>
      <c r="L76" s="10" t="n"/>
      <c r="M76" s="12" t="n"/>
      <c r="N76" s="13" t="n"/>
      <c r="O76" s="14" t="n"/>
      <c r="P76" s="15" t="n"/>
      <c r="Q76" s="10" t="n"/>
      <c r="R76" s="10" t="n"/>
      <c r="S76" s="10" t="n"/>
      <c r="T76" s="15" t="n"/>
      <c r="U76" s="15" t="n"/>
      <c r="V76" s="10" t="n"/>
      <c r="W76" s="10" t="n"/>
      <c r="X76" s="10" t="n"/>
      <c r="Y76" s="16" t="n"/>
      <c r="Z76" s="16" t="n"/>
      <c r="AA76" s="10" t="n"/>
      <c r="AB76" s="10" t="n"/>
    </row>
    <row r="77">
      <c r="A77" t="inlineStr">
        <is>
          <t>Kusini Unguja</t>
        </is>
      </c>
      <c r="B77" t="inlineStr">
        <is>
          <t>Kusini District</t>
        </is>
      </c>
      <c r="C77" t="inlineStr">
        <is>
          <t>C188</t>
        </is>
      </c>
      <c r="D77" s="10" t="n"/>
      <c r="E77" s="10" t="n"/>
      <c r="F77" s="10" t="n"/>
      <c r="G77" s="11" t="n"/>
      <c r="H77" s="11" t="n"/>
      <c r="I77" s="11" t="n"/>
      <c r="J77" s="12" t="n"/>
      <c r="K77" s="10" t="n"/>
      <c r="L77" s="10" t="n"/>
      <c r="M77" s="12" t="n"/>
      <c r="N77" s="13" t="n"/>
      <c r="O77" s="14" t="n"/>
      <c r="P77" s="15" t="n"/>
      <c r="Q77" s="10" t="n"/>
      <c r="R77" s="10" t="n"/>
      <c r="S77" s="10" t="n"/>
      <c r="T77" s="15" t="n"/>
      <c r="U77" s="15" t="n"/>
      <c r="V77" s="10" t="n"/>
      <c r="W77" s="10" t="n"/>
      <c r="X77" s="10" t="n"/>
      <c r="Y77" s="16" t="n"/>
      <c r="Z77" s="16" t="n"/>
      <c r="AA77" s="10" t="n"/>
      <c r="AB77" s="10" t="n"/>
    </row>
    <row r="78">
      <c r="A78" t="inlineStr">
        <is>
          <t>Lindi</t>
        </is>
      </c>
      <c r="B78" t="inlineStr">
        <is>
          <t>Kilwa District</t>
        </is>
      </c>
      <c r="C78" t="inlineStr">
        <is>
          <t>C057</t>
        </is>
      </c>
      <c r="D78" s="10" t="n"/>
      <c r="E78" s="10" t="n"/>
      <c r="F78" s="10" t="n"/>
      <c r="G78" s="11" t="n"/>
      <c r="H78" s="11" t="n"/>
      <c r="I78" s="11" t="n"/>
      <c r="J78" s="12" t="n"/>
      <c r="K78" s="10" t="n"/>
      <c r="L78" s="10" t="n"/>
      <c r="M78" s="12" t="n"/>
      <c r="N78" s="13" t="n"/>
      <c r="O78" s="14" t="n"/>
      <c r="P78" s="15" t="n"/>
      <c r="Q78" s="10" t="n"/>
      <c r="R78" s="10" t="n"/>
      <c r="S78" s="10" t="n"/>
      <c r="T78" s="15" t="n"/>
      <c r="U78" s="15" t="n"/>
      <c r="V78" s="10" t="n"/>
      <c r="W78" s="10" t="n"/>
      <c r="X78" s="10" t="n"/>
      <c r="Y78" s="16" t="n"/>
      <c r="Z78" s="16" t="n"/>
      <c r="AA78" s="10" t="n"/>
      <c r="AB78" s="10" t="n"/>
    </row>
    <row r="79">
      <c r="A79" t="inlineStr">
        <is>
          <t>Lindi</t>
        </is>
      </c>
      <c r="B79" t="inlineStr">
        <is>
          <t>Lindi Municipal</t>
        </is>
      </c>
      <c r="C79" t="inlineStr">
        <is>
          <t>C059</t>
        </is>
      </c>
      <c r="D79" s="10" t="n"/>
      <c r="E79" s="10" t="n"/>
      <c r="F79" s="10" t="n"/>
      <c r="G79" s="11" t="n"/>
      <c r="H79" s="11" t="n"/>
      <c r="I79" s="11" t="n"/>
      <c r="J79" s="12" t="n"/>
      <c r="K79" s="10" t="n"/>
      <c r="L79" s="10" t="n"/>
      <c r="M79" s="12" t="n"/>
      <c r="N79" s="13" t="n"/>
      <c r="O79" s="14" t="n"/>
      <c r="P79" s="15" t="n"/>
      <c r="Q79" s="10" t="n"/>
      <c r="R79" s="10" t="n"/>
      <c r="S79" s="10" t="n"/>
      <c r="T79" s="15" t="n"/>
      <c r="U79" s="15" t="n"/>
      <c r="V79" s="10" t="n"/>
      <c r="W79" s="10" t="n"/>
      <c r="X79" s="10" t="n"/>
      <c r="Y79" s="16" t="n"/>
      <c r="Z79" s="16" t="n"/>
      <c r="AA79" s="10" t="n"/>
      <c r="AB79" s="10" t="n"/>
    </row>
    <row r="80">
      <c r="A80" t="inlineStr">
        <is>
          <t>Lindi</t>
        </is>
      </c>
      <c r="B80" t="inlineStr">
        <is>
          <t>Liwale District</t>
        </is>
      </c>
      <c r="C80" t="inlineStr">
        <is>
          <t>C061</t>
        </is>
      </c>
      <c r="D80" s="10" t="n"/>
      <c r="E80" s="10" t="n"/>
      <c r="F80" s="10" t="n"/>
      <c r="G80" s="11" t="n"/>
      <c r="H80" s="11" t="n"/>
      <c r="I80" s="11" t="n"/>
      <c r="J80" s="12" t="n"/>
      <c r="K80" s="10" t="n"/>
      <c r="L80" s="10" t="n"/>
      <c r="M80" s="12" t="n"/>
      <c r="N80" s="13" t="n"/>
      <c r="O80" s="14" t="n"/>
      <c r="P80" s="15" t="n"/>
      <c r="Q80" s="10" t="n"/>
      <c r="R80" s="10" t="n"/>
      <c r="S80" s="10" t="n"/>
      <c r="T80" s="15" t="n"/>
      <c r="U80" s="15" t="n"/>
      <c r="V80" s="10" t="n"/>
      <c r="W80" s="10" t="n"/>
      <c r="X80" s="10" t="n"/>
      <c r="Y80" s="16" t="n"/>
      <c r="Z80" s="16" t="n"/>
      <c r="AA80" s="10" t="n"/>
      <c r="AB80" s="10" t="n"/>
    </row>
    <row r="81">
      <c r="A81" t="inlineStr">
        <is>
          <t>Lindi</t>
        </is>
      </c>
      <c r="B81" t="inlineStr">
        <is>
          <t>Mtama District</t>
        </is>
      </c>
      <c r="C81" t="inlineStr">
        <is>
          <t>C058</t>
        </is>
      </c>
      <c r="D81" s="10" t="n"/>
      <c r="E81" s="10" t="n"/>
      <c r="F81" s="10" t="n"/>
      <c r="G81" s="11" t="n"/>
      <c r="H81" s="11" t="n"/>
      <c r="I81" s="11" t="n"/>
      <c r="J81" s="12" t="n"/>
      <c r="K81" s="10" t="n"/>
      <c r="L81" s="10" t="n"/>
      <c r="M81" s="12" t="n"/>
      <c r="N81" s="13" t="n"/>
      <c r="O81" s="14" t="n"/>
      <c r="P81" s="15" t="n"/>
      <c r="Q81" s="10" t="n"/>
      <c r="R81" s="10" t="n"/>
      <c r="S81" s="10" t="n"/>
      <c r="T81" s="15" t="n"/>
      <c r="U81" s="15" t="n"/>
      <c r="V81" s="10" t="n"/>
      <c r="W81" s="10" t="n"/>
      <c r="X81" s="10" t="n"/>
      <c r="Y81" s="16" t="n"/>
      <c r="Z81" s="16" t="n"/>
      <c r="AA81" s="10" t="n"/>
      <c r="AB81" s="10" t="n"/>
    </row>
    <row r="82">
      <c r="A82" t="inlineStr">
        <is>
          <t>Lindi</t>
        </is>
      </c>
      <c r="B82" t="inlineStr">
        <is>
          <t>Nachingwea District</t>
        </is>
      </c>
      <c r="C82" t="inlineStr">
        <is>
          <t>C060</t>
        </is>
      </c>
      <c r="D82" s="10" t="n"/>
      <c r="E82" s="10" t="n"/>
      <c r="F82" s="10" t="n"/>
      <c r="G82" s="11" t="n"/>
      <c r="H82" s="11" t="n"/>
      <c r="I82" s="11" t="n"/>
      <c r="J82" s="12" t="n"/>
      <c r="K82" s="10" t="n"/>
      <c r="L82" s="10" t="n"/>
      <c r="M82" s="12" t="n"/>
      <c r="N82" s="13" t="n"/>
      <c r="O82" s="14" t="n"/>
      <c r="P82" s="15" t="n"/>
      <c r="Q82" s="10" t="n"/>
      <c r="R82" s="10" t="n"/>
      <c r="S82" s="10" t="n"/>
      <c r="T82" s="15" t="n"/>
      <c r="U82" s="15" t="n"/>
      <c r="V82" s="10" t="n"/>
      <c r="W82" s="10" t="n"/>
      <c r="X82" s="10" t="n"/>
      <c r="Y82" s="16" t="n"/>
      <c r="Z82" s="16" t="n"/>
      <c r="AA82" s="10" t="n"/>
      <c r="AB82" s="10" t="n"/>
    </row>
    <row r="83">
      <c r="A83" t="inlineStr">
        <is>
          <t>Lindi</t>
        </is>
      </c>
      <c r="B83" t="inlineStr">
        <is>
          <t>Ruangwa District</t>
        </is>
      </c>
      <c r="C83" t="inlineStr">
        <is>
          <t>C062</t>
        </is>
      </c>
      <c r="D83" s="10" t="n"/>
      <c r="E83" s="10" t="n"/>
      <c r="F83" s="10" t="n"/>
      <c r="G83" s="11" t="n"/>
      <c r="H83" s="11" t="n"/>
      <c r="I83" s="11" t="n"/>
      <c r="J83" s="12" t="n"/>
      <c r="K83" s="10" t="n"/>
      <c r="L83" s="10" t="n"/>
      <c r="M83" s="12" t="n"/>
      <c r="N83" s="13" t="n"/>
      <c r="O83" s="14" t="n"/>
      <c r="P83" s="15" t="n"/>
      <c r="Q83" s="10" t="n"/>
      <c r="R83" s="10" t="n"/>
      <c r="S83" s="10" t="n"/>
      <c r="T83" s="15" t="n"/>
      <c r="U83" s="15" t="n"/>
      <c r="V83" s="10" t="n"/>
      <c r="W83" s="10" t="n"/>
      <c r="X83" s="10" t="n"/>
      <c r="Y83" s="16" t="n"/>
      <c r="Z83" s="16" t="n"/>
      <c r="AA83" s="10" t="n"/>
      <c r="AB83" s="10" t="n"/>
    </row>
    <row r="84">
      <c r="A84" t="inlineStr">
        <is>
          <t>Manyara</t>
        </is>
      </c>
      <c r="B84" t="inlineStr">
        <is>
          <t>Babati District</t>
        </is>
      </c>
      <c r="C84" t="inlineStr">
        <is>
          <t>C150</t>
        </is>
      </c>
      <c r="D84" s="10" t="n"/>
      <c r="E84" s="10" t="n"/>
      <c r="F84" s="10" t="n"/>
      <c r="G84" s="11" t="n"/>
      <c r="H84" s="11" t="n"/>
      <c r="I84" s="11" t="n"/>
      <c r="J84" s="12" t="n"/>
      <c r="K84" s="10" t="n"/>
      <c r="L84" s="10" t="n"/>
      <c r="M84" s="12" t="n"/>
      <c r="N84" s="13" t="n"/>
      <c r="O84" s="14" t="n"/>
      <c r="P84" s="15" t="n"/>
      <c r="Q84" s="10" t="n"/>
      <c r="R84" s="10" t="n"/>
      <c r="S84" s="10" t="n"/>
      <c r="T84" s="15" t="n"/>
      <c r="U84" s="15" t="n"/>
      <c r="V84" s="10" t="n"/>
      <c r="W84" s="10" t="n"/>
      <c r="X84" s="10" t="n"/>
      <c r="Y84" s="16" t="n"/>
      <c r="Z84" s="16" t="n"/>
      <c r="AA84" s="10" t="n"/>
      <c r="AB84" s="10" t="n"/>
    </row>
    <row r="85">
      <c r="A85" t="inlineStr">
        <is>
          <t>Manyara</t>
        </is>
      </c>
      <c r="B85" t="inlineStr">
        <is>
          <t>Babati Town</t>
        </is>
      </c>
      <c r="C85" t="inlineStr">
        <is>
          <t>C151</t>
        </is>
      </c>
      <c r="D85" s="10" t="n"/>
      <c r="E85" s="10" t="n"/>
      <c r="F85" s="10" t="n"/>
      <c r="G85" s="11" t="n"/>
      <c r="H85" s="11" t="n"/>
      <c r="I85" s="11" t="n"/>
      <c r="J85" s="12" t="n"/>
      <c r="K85" s="10" t="n"/>
      <c r="L85" s="10" t="n"/>
      <c r="M85" s="12" t="n"/>
      <c r="N85" s="13" t="n"/>
      <c r="O85" s="14" t="n"/>
      <c r="P85" s="15" t="n"/>
      <c r="Q85" s="10" t="n"/>
      <c r="R85" s="10" t="n"/>
      <c r="S85" s="10" t="n"/>
      <c r="T85" s="15" t="n"/>
      <c r="U85" s="15" t="n"/>
      <c r="V85" s="10" t="n"/>
      <c r="W85" s="10" t="n"/>
      <c r="X85" s="10" t="n"/>
      <c r="Y85" s="16" t="n"/>
      <c r="Z85" s="16" t="n"/>
      <c r="AA85" s="10" t="n"/>
      <c r="AB85" s="10" t="n"/>
    </row>
    <row r="86">
      <c r="A86" t="inlineStr">
        <is>
          <t>Manyara</t>
        </is>
      </c>
      <c r="B86" t="inlineStr">
        <is>
          <t>Hanang District</t>
        </is>
      </c>
      <c r="C86" t="inlineStr">
        <is>
          <t>C152</t>
        </is>
      </c>
      <c r="D86" s="10" t="n"/>
      <c r="E86" s="10" t="n"/>
      <c r="F86" s="10" t="n"/>
      <c r="G86" s="11" t="n"/>
      <c r="H86" s="11" t="n"/>
      <c r="I86" s="11" t="n"/>
      <c r="J86" s="12" t="n"/>
      <c r="K86" s="10" t="n"/>
      <c r="L86" s="10" t="n"/>
      <c r="M86" s="12" t="n"/>
      <c r="N86" s="13" t="n"/>
      <c r="O86" s="14" t="n"/>
      <c r="P86" s="15" t="n"/>
      <c r="Q86" s="10" t="n"/>
      <c r="R86" s="10" t="n"/>
      <c r="S86" s="10" t="n"/>
      <c r="T86" s="15" t="n"/>
      <c r="U86" s="15" t="n"/>
      <c r="V86" s="10" t="n"/>
      <c r="W86" s="10" t="n"/>
      <c r="X86" s="10" t="n"/>
      <c r="Y86" s="16" t="n"/>
      <c r="Z86" s="16" t="n"/>
      <c r="AA86" s="10" t="n"/>
      <c r="AB86" s="10" t="n"/>
    </row>
    <row r="87">
      <c r="A87" t="inlineStr">
        <is>
          <t>Manyara</t>
        </is>
      </c>
      <c r="B87" t="inlineStr">
        <is>
          <t>Kiteto District</t>
        </is>
      </c>
      <c r="C87" t="inlineStr">
        <is>
          <t>C156</t>
        </is>
      </c>
      <c r="D87" s="10" t="n"/>
      <c r="E87" s="10" t="n"/>
      <c r="F87" s="10" t="n"/>
      <c r="G87" s="11" t="n"/>
      <c r="H87" s="11" t="n"/>
      <c r="I87" s="11" t="n"/>
      <c r="J87" s="12" t="n"/>
      <c r="K87" s="10" t="n"/>
      <c r="L87" s="10" t="n"/>
      <c r="M87" s="12" t="n"/>
      <c r="N87" s="13" t="n"/>
      <c r="O87" s="14" t="n"/>
      <c r="P87" s="15" t="n"/>
      <c r="Q87" s="10" t="n"/>
      <c r="R87" s="10" t="n"/>
      <c r="S87" s="10" t="n"/>
      <c r="T87" s="15" t="n"/>
      <c r="U87" s="15" t="n"/>
      <c r="V87" s="10" t="n"/>
      <c r="W87" s="10" t="n"/>
      <c r="X87" s="10" t="n"/>
      <c r="Y87" s="16" t="n"/>
      <c r="Z87" s="16" t="n"/>
      <c r="AA87" s="10" t="n"/>
      <c r="AB87" s="10" t="n"/>
    </row>
    <row r="88">
      <c r="A88" t="inlineStr">
        <is>
          <t>Manyara</t>
        </is>
      </c>
      <c r="B88" t="inlineStr">
        <is>
          <t>Mbulu District</t>
        </is>
      </c>
      <c r="C88" t="inlineStr">
        <is>
          <t>C153</t>
        </is>
      </c>
      <c r="D88" s="10" t="n"/>
      <c r="E88" s="10" t="n"/>
      <c r="F88" s="10" t="n"/>
      <c r="G88" s="11" t="n"/>
      <c r="H88" s="11" t="n"/>
      <c r="I88" s="11" t="n"/>
      <c r="J88" s="12" t="n"/>
      <c r="K88" s="10" t="n"/>
      <c r="L88" s="10" t="n"/>
      <c r="M88" s="12" t="n"/>
      <c r="N88" s="13" t="n"/>
      <c r="O88" s="14" t="n"/>
      <c r="P88" s="15" t="n"/>
      <c r="Q88" s="10" t="n"/>
      <c r="R88" s="10" t="n"/>
      <c r="S88" s="10" t="n"/>
      <c r="T88" s="15" t="n"/>
      <c r="U88" s="15" t="n"/>
      <c r="V88" s="10" t="n"/>
      <c r="W88" s="10" t="n"/>
      <c r="X88" s="10" t="n"/>
      <c r="Y88" s="16" t="n"/>
      <c r="Z88" s="16" t="n"/>
      <c r="AA88" s="10" t="n"/>
      <c r="AB88" s="10" t="n"/>
    </row>
    <row r="89">
      <c r="A89" t="inlineStr">
        <is>
          <t>Manyara</t>
        </is>
      </c>
      <c r="B89" t="inlineStr">
        <is>
          <t>Mbulu Town</t>
        </is>
      </c>
      <c r="C89" t="inlineStr">
        <is>
          <t>C154</t>
        </is>
      </c>
      <c r="D89" s="10" t="n"/>
      <c r="E89" s="10" t="n"/>
      <c r="F89" s="10" t="n"/>
      <c r="G89" s="11" t="n"/>
      <c r="H89" s="11" t="n"/>
      <c r="I89" s="11" t="n"/>
      <c r="J89" s="12" t="n"/>
      <c r="K89" s="10" t="n"/>
      <c r="L89" s="10" t="n"/>
      <c r="M89" s="12" t="n"/>
      <c r="N89" s="13" t="n"/>
      <c r="O89" s="14" t="n"/>
      <c r="P89" s="15" t="n"/>
      <c r="Q89" s="10" t="n"/>
      <c r="R89" s="10" t="n"/>
      <c r="S89" s="10" t="n"/>
      <c r="T89" s="15" t="n"/>
      <c r="U89" s="15" t="n"/>
      <c r="V89" s="10" t="n"/>
      <c r="W89" s="10" t="n"/>
      <c r="X89" s="10" t="n"/>
      <c r="Y89" s="16" t="n"/>
      <c r="Z89" s="16" t="n"/>
      <c r="AA89" s="10" t="n"/>
      <c r="AB89" s="10" t="n"/>
    </row>
    <row r="90">
      <c r="A90" t="inlineStr">
        <is>
          <t>Manyara</t>
        </is>
      </c>
      <c r="B90" t="inlineStr">
        <is>
          <t>Simanjiro District</t>
        </is>
      </c>
      <c r="C90" t="inlineStr">
        <is>
          <t>C155</t>
        </is>
      </c>
      <c r="D90" s="10" t="n"/>
      <c r="E90" s="10" t="n"/>
      <c r="F90" s="10" t="n"/>
      <c r="G90" s="11" t="n"/>
      <c r="H90" s="11" t="n"/>
      <c r="I90" s="11" t="n"/>
      <c r="J90" s="12" t="n"/>
      <c r="K90" s="10" t="n"/>
      <c r="L90" s="10" t="n"/>
      <c r="M90" s="12" t="n"/>
      <c r="N90" s="13" t="n"/>
      <c r="O90" s="14" t="n"/>
      <c r="P90" s="15" t="n"/>
      <c r="Q90" s="10" t="n"/>
      <c r="R90" s="10" t="n"/>
      <c r="S90" s="10" t="n"/>
      <c r="T90" s="15" t="n"/>
      <c r="U90" s="15" t="n"/>
      <c r="V90" s="10" t="n"/>
      <c r="W90" s="10" t="n"/>
      <c r="X90" s="10" t="n"/>
      <c r="Y90" s="16" t="n"/>
      <c r="Z90" s="16" t="n"/>
      <c r="AA90" s="10" t="n"/>
      <c r="AB90" s="10" t="n"/>
    </row>
    <row r="91">
      <c r="A91" t="inlineStr">
        <is>
          <t>Mara</t>
        </is>
      </c>
      <c r="B91" t="inlineStr">
        <is>
          <t>Bunda District</t>
        </is>
      </c>
      <c r="C91" t="inlineStr">
        <is>
          <t>C146</t>
        </is>
      </c>
      <c r="D91" s="10" t="n"/>
      <c r="E91" s="10" t="n"/>
      <c r="F91" s="10" t="n"/>
      <c r="G91" s="11" t="n"/>
      <c r="H91" s="11" t="n"/>
      <c r="I91" s="11" t="n"/>
      <c r="J91" s="12" t="n"/>
      <c r="K91" s="10" t="n"/>
      <c r="L91" s="10" t="n"/>
      <c r="M91" s="12" t="n"/>
      <c r="N91" s="13" t="n"/>
      <c r="O91" s="14" t="n"/>
      <c r="P91" s="15" t="n"/>
      <c r="Q91" s="10" t="n"/>
      <c r="R91" s="10" t="n"/>
      <c r="S91" s="10" t="n"/>
      <c r="T91" s="15" t="n"/>
      <c r="U91" s="15" t="n"/>
      <c r="V91" s="10" t="n"/>
      <c r="W91" s="10" t="n"/>
      <c r="X91" s="10" t="n"/>
      <c r="Y91" s="16" t="n"/>
      <c r="Z91" s="16" t="n"/>
      <c r="AA91" s="10" t="n"/>
      <c r="AB91" s="10" t="n"/>
    </row>
    <row r="92">
      <c r="A92" t="inlineStr">
        <is>
          <t>Mara</t>
        </is>
      </c>
      <c r="B92" t="inlineStr">
        <is>
          <t>Bunda Town</t>
        </is>
      </c>
      <c r="C92" t="inlineStr">
        <is>
          <t>C147</t>
        </is>
      </c>
      <c r="D92" s="10" t="n"/>
      <c r="E92" s="10" t="n"/>
      <c r="F92" s="10" t="n"/>
      <c r="G92" s="11" t="n"/>
      <c r="H92" s="11" t="n"/>
      <c r="I92" s="11" t="n"/>
      <c r="J92" s="12" t="n"/>
      <c r="K92" s="10" t="n"/>
      <c r="L92" s="10" t="n"/>
      <c r="M92" s="12" t="n"/>
      <c r="N92" s="13" t="n"/>
      <c r="O92" s="14" t="n"/>
      <c r="P92" s="15" t="n"/>
      <c r="Q92" s="10" t="n"/>
      <c r="R92" s="10" t="n"/>
      <c r="S92" s="10" t="n"/>
      <c r="T92" s="15" t="n"/>
      <c r="U92" s="15" t="n"/>
      <c r="V92" s="10" t="n"/>
      <c r="W92" s="10" t="n"/>
      <c r="X92" s="10" t="n"/>
      <c r="Y92" s="16" t="n"/>
      <c r="Z92" s="16" t="n"/>
      <c r="AA92" s="10" t="n"/>
      <c r="AB92" s="10" t="n"/>
    </row>
    <row r="93">
      <c r="A93" t="inlineStr">
        <is>
          <t>Mara</t>
        </is>
      </c>
      <c r="B93" t="inlineStr">
        <is>
          <t>Butiama District</t>
        </is>
      </c>
      <c r="C93" t="inlineStr">
        <is>
          <t>C148</t>
        </is>
      </c>
      <c r="D93" s="10" t="n"/>
      <c r="E93" s="10" t="n"/>
      <c r="F93" s="10" t="n"/>
      <c r="G93" s="11" t="n"/>
      <c r="H93" s="11" t="n"/>
      <c r="I93" s="11" t="n"/>
      <c r="J93" s="12" t="n"/>
      <c r="K93" s="10" t="n"/>
      <c r="L93" s="10" t="n"/>
      <c r="M93" s="12" t="n"/>
      <c r="N93" s="13" t="n"/>
      <c r="O93" s="14" t="n"/>
      <c r="P93" s="15" t="n"/>
      <c r="Q93" s="10" t="n"/>
      <c r="R93" s="10" t="n"/>
      <c r="S93" s="10" t="n"/>
      <c r="T93" s="15" t="n"/>
      <c r="U93" s="15" t="n"/>
      <c r="V93" s="10" t="n"/>
      <c r="W93" s="10" t="n"/>
      <c r="X93" s="10" t="n"/>
      <c r="Y93" s="16" t="n"/>
      <c r="Z93" s="16" t="n"/>
      <c r="AA93" s="10" t="n"/>
      <c r="AB93" s="10" t="n"/>
    </row>
    <row r="94">
      <c r="A94" t="inlineStr">
        <is>
          <t>Mara</t>
        </is>
      </c>
      <c r="B94" t="inlineStr">
        <is>
          <t>Musoma District</t>
        </is>
      </c>
      <c r="C94" t="inlineStr">
        <is>
          <t>C144</t>
        </is>
      </c>
      <c r="D94" s="10" t="n"/>
      <c r="E94" s="10" t="n"/>
      <c r="F94" s="10" t="n"/>
      <c r="G94" s="11" t="n"/>
      <c r="H94" s="11" t="n"/>
      <c r="I94" s="11" t="n"/>
      <c r="J94" s="12" t="n"/>
      <c r="K94" s="10" t="n"/>
      <c r="L94" s="10" t="n"/>
      <c r="M94" s="12" t="n"/>
      <c r="N94" s="13" t="n"/>
      <c r="O94" s="14" t="n"/>
      <c r="P94" s="15" t="n"/>
      <c r="Q94" s="10" t="n"/>
      <c r="R94" s="10" t="n"/>
      <c r="S94" s="10" t="n"/>
      <c r="T94" s="15" t="n"/>
      <c r="U94" s="15" t="n"/>
      <c r="V94" s="10" t="n"/>
      <c r="W94" s="10" t="n"/>
      <c r="X94" s="10" t="n"/>
      <c r="Y94" s="16" t="n"/>
      <c r="Z94" s="16" t="n"/>
      <c r="AA94" s="10" t="n"/>
      <c r="AB94" s="10" t="n"/>
    </row>
    <row r="95">
      <c r="A95" t="inlineStr">
        <is>
          <t>Mara</t>
        </is>
      </c>
      <c r="B95" t="inlineStr">
        <is>
          <t>Musoma Municipal</t>
        </is>
      </c>
      <c r="C95" t="inlineStr">
        <is>
          <t>C145</t>
        </is>
      </c>
      <c r="D95" s="10" t="n"/>
      <c r="E95" s="10" t="n"/>
      <c r="F95" s="10" t="n"/>
      <c r="G95" s="11" t="n"/>
      <c r="H95" s="11" t="n"/>
      <c r="I95" s="11" t="n"/>
      <c r="J95" s="12" t="n"/>
      <c r="K95" s="10" t="n"/>
      <c r="L95" s="10" t="n"/>
      <c r="M95" s="12" t="n"/>
      <c r="N95" s="13" t="n"/>
      <c r="O95" s="14" t="n"/>
      <c r="P95" s="15" t="n"/>
      <c r="Q95" s="10" t="n"/>
      <c r="R95" s="10" t="n"/>
      <c r="S95" s="10" t="n"/>
      <c r="T95" s="15" t="n"/>
      <c r="U95" s="15" t="n"/>
      <c r="V95" s="10" t="n"/>
      <c r="W95" s="10" t="n"/>
      <c r="X95" s="10" t="n"/>
      <c r="Y95" s="16" t="n"/>
      <c r="Z95" s="16" t="n"/>
      <c r="AA95" s="10" t="n"/>
      <c r="AB95" s="10" t="n"/>
    </row>
    <row r="96">
      <c r="A96" t="inlineStr">
        <is>
          <t>Mara</t>
        </is>
      </c>
      <c r="B96" t="inlineStr">
        <is>
          <t>Rorya District</t>
        </is>
      </c>
      <c r="C96" t="inlineStr">
        <is>
          <t>C149</t>
        </is>
      </c>
      <c r="D96" s="10" t="n"/>
      <c r="E96" s="10" t="n"/>
      <c r="F96" s="10" t="n"/>
      <c r="G96" s="11" t="n"/>
      <c r="H96" s="11" t="n"/>
      <c r="I96" s="11" t="n"/>
      <c r="J96" s="12" t="n"/>
      <c r="K96" s="10" t="n"/>
      <c r="L96" s="10" t="n"/>
      <c r="M96" s="12" t="n"/>
      <c r="N96" s="13" t="n"/>
      <c r="O96" s="14" t="n"/>
      <c r="P96" s="15" t="n"/>
      <c r="Q96" s="10" t="n"/>
      <c r="R96" s="10" t="n"/>
      <c r="S96" s="10" t="n"/>
      <c r="T96" s="15" t="n"/>
      <c r="U96" s="15" t="n"/>
      <c r="V96" s="10" t="n"/>
      <c r="W96" s="10" t="n"/>
      <c r="X96" s="10" t="n"/>
      <c r="Y96" s="16" t="n"/>
      <c r="Z96" s="16" t="n"/>
      <c r="AA96" s="10" t="n"/>
      <c r="AB96" s="10" t="n"/>
    </row>
    <row r="97">
      <c r="A97" t="inlineStr">
        <is>
          <t>Mara</t>
        </is>
      </c>
      <c r="B97" t="inlineStr">
        <is>
          <t>Serengeti District</t>
        </is>
      </c>
      <c r="C97" t="inlineStr">
        <is>
          <t>C143</t>
        </is>
      </c>
      <c r="D97" s="10" t="n"/>
      <c r="E97" s="10" t="n"/>
      <c r="F97" s="10" t="n"/>
      <c r="G97" s="11" t="n"/>
      <c r="H97" s="11" t="n"/>
      <c r="I97" s="11" t="n"/>
      <c r="J97" s="12" t="n"/>
      <c r="K97" s="10" t="n"/>
      <c r="L97" s="10" t="n"/>
      <c r="M97" s="12" t="n"/>
      <c r="N97" s="13" t="n"/>
      <c r="O97" s="14" t="n"/>
      <c r="P97" s="15" t="n"/>
      <c r="Q97" s="10" t="n"/>
      <c r="R97" s="10" t="n"/>
      <c r="S97" s="10" t="n"/>
      <c r="T97" s="15" t="n"/>
      <c r="U97" s="15" t="n"/>
      <c r="V97" s="10" t="n"/>
      <c r="W97" s="10" t="n"/>
      <c r="X97" s="10" t="n"/>
      <c r="Y97" s="16" t="n"/>
      <c r="Z97" s="16" t="n"/>
      <c r="AA97" s="10" t="n"/>
      <c r="AB97" s="10" t="n"/>
    </row>
    <row r="98">
      <c r="A98" t="inlineStr">
        <is>
          <t>Mara</t>
        </is>
      </c>
      <c r="B98" t="inlineStr">
        <is>
          <t>Tarime District</t>
        </is>
      </c>
      <c r="C98" t="inlineStr">
        <is>
          <t>C141</t>
        </is>
      </c>
      <c r="D98" s="10" t="n"/>
      <c r="E98" s="10" t="n"/>
      <c r="F98" s="10" t="n"/>
      <c r="G98" s="11" t="n"/>
      <c r="H98" s="11" t="n"/>
      <c r="I98" s="11" t="n"/>
      <c r="J98" s="12" t="n"/>
      <c r="K98" s="10" t="n"/>
      <c r="L98" s="10" t="n"/>
      <c r="M98" s="12" t="n"/>
      <c r="N98" s="13" t="n"/>
      <c r="O98" s="14" t="n"/>
      <c r="P98" s="15" t="n"/>
      <c r="Q98" s="10" t="n"/>
      <c r="R98" s="10" t="n"/>
      <c r="S98" s="10" t="n"/>
      <c r="T98" s="15" t="n"/>
      <c r="U98" s="15" t="n"/>
      <c r="V98" s="10" t="n"/>
      <c r="W98" s="10" t="n"/>
      <c r="X98" s="10" t="n"/>
      <c r="Y98" s="16" t="n"/>
      <c r="Z98" s="16" t="n"/>
      <c r="AA98" s="10" t="n"/>
      <c r="AB98" s="10" t="n"/>
    </row>
    <row r="99">
      <c r="A99" t="inlineStr">
        <is>
          <t>Mara</t>
        </is>
      </c>
      <c r="B99" t="inlineStr">
        <is>
          <t>Tarime Town</t>
        </is>
      </c>
      <c r="C99" t="inlineStr">
        <is>
          <t>C142</t>
        </is>
      </c>
      <c r="D99" s="10" t="n"/>
      <c r="E99" s="10" t="n"/>
      <c r="F99" s="10" t="n"/>
      <c r="G99" s="11" t="n"/>
      <c r="H99" s="11" t="n"/>
      <c r="I99" s="11" t="n"/>
      <c r="J99" s="12" t="n"/>
      <c r="K99" s="10" t="n"/>
      <c r="L99" s="10" t="n"/>
      <c r="M99" s="12" t="n"/>
      <c r="N99" s="13" t="n"/>
      <c r="O99" s="14" t="n"/>
      <c r="P99" s="15" t="n"/>
      <c r="Q99" s="10" t="n"/>
      <c r="R99" s="10" t="n"/>
      <c r="S99" s="10" t="n"/>
      <c r="T99" s="15" t="n"/>
      <c r="U99" s="15" t="n"/>
      <c r="V99" s="10" t="n"/>
      <c r="W99" s="10" t="n"/>
      <c r="X99" s="10" t="n"/>
      <c r="Y99" s="16" t="n"/>
      <c r="Z99" s="16" t="n"/>
      <c r="AA99" s="10" t="n"/>
      <c r="AB99" s="10" t="n"/>
    </row>
    <row r="100">
      <c r="A100" t="inlineStr">
        <is>
          <t>Mbeya</t>
        </is>
      </c>
      <c r="B100" t="inlineStr">
        <is>
          <t>Busokelo District</t>
        </is>
      </c>
      <c r="C100" t="inlineStr">
        <is>
          <t>C090</t>
        </is>
      </c>
      <c r="D100" s="10" t="n"/>
      <c r="E100" s="10" t="n"/>
      <c r="F100" s="10" t="n"/>
      <c r="G100" s="11" t="n"/>
      <c r="H100" s="11" t="n"/>
      <c r="I100" s="11" t="n"/>
      <c r="J100" s="12" t="n"/>
      <c r="K100" s="10" t="n"/>
      <c r="L100" s="10" t="n"/>
      <c r="M100" s="12" t="n"/>
      <c r="N100" s="13" t="n"/>
      <c r="O100" s="14" t="n"/>
      <c r="P100" s="15" t="n"/>
      <c r="Q100" s="10" t="n"/>
      <c r="R100" s="10" t="n"/>
      <c r="S100" s="10" t="n"/>
      <c r="T100" s="15" t="n"/>
      <c r="U100" s="15" t="n"/>
      <c r="V100" s="10" t="n"/>
      <c r="W100" s="10" t="n"/>
      <c r="X100" s="10" t="n"/>
      <c r="Y100" s="16" t="n"/>
      <c r="Z100" s="16" t="n"/>
      <c r="AA100" s="10" t="n"/>
      <c r="AB100" s="10" t="n"/>
    </row>
    <row r="101">
      <c r="A101" t="inlineStr">
        <is>
          <t>Mbeya</t>
        </is>
      </c>
      <c r="B101" t="inlineStr">
        <is>
          <t>Chunya District</t>
        </is>
      </c>
      <c r="C101" t="inlineStr">
        <is>
          <t>C085</t>
        </is>
      </c>
      <c r="D101" s="10" t="n"/>
      <c r="E101" s="10" t="n"/>
      <c r="F101" s="10" t="n"/>
      <c r="G101" s="11" t="n"/>
      <c r="H101" s="11" t="n"/>
      <c r="I101" s="11" t="n"/>
      <c r="J101" s="12" t="n"/>
      <c r="K101" s="10" t="n"/>
      <c r="L101" s="10" t="n"/>
      <c r="M101" s="12" t="n"/>
      <c r="N101" s="13" t="n"/>
      <c r="O101" s="14" t="n"/>
      <c r="P101" s="15" t="n"/>
      <c r="Q101" s="10" t="n"/>
      <c r="R101" s="10" t="n"/>
      <c r="S101" s="10" t="n"/>
      <c r="T101" s="15" t="n"/>
      <c r="U101" s="15" t="n"/>
      <c r="V101" s="10" t="n"/>
      <c r="W101" s="10" t="n"/>
      <c r="X101" s="10" t="n"/>
      <c r="Y101" s="16" t="n"/>
      <c r="Z101" s="16" t="n"/>
      <c r="AA101" s="10" t="n"/>
      <c r="AB101" s="10" t="n"/>
    </row>
    <row r="102">
      <c r="A102" t="inlineStr">
        <is>
          <t>Mbeya</t>
        </is>
      </c>
      <c r="B102" t="inlineStr">
        <is>
          <t>Kyela District</t>
        </is>
      </c>
      <c r="C102" t="inlineStr">
        <is>
          <t>C088</t>
        </is>
      </c>
      <c r="D102" s="10" t="n"/>
      <c r="E102" s="10" t="n"/>
      <c r="F102" s="10" t="n"/>
      <c r="G102" s="11" t="n"/>
      <c r="H102" s="11" t="n"/>
      <c r="I102" s="11" t="n"/>
      <c r="J102" s="12" t="n"/>
      <c r="K102" s="10" t="n"/>
      <c r="L102" s="10" t="n"/>
      <c r="M102" s="12" t="n"/>
      <c r="N102" s="13" t="n"/>
      <c r="O102" s="14" t="n"/>
      <c r="P102" s="15" t="n"/>
      <c r="Q102" s="10" t="n"/>
      <c r="R102" s="10" t="n"/>
      <c r="S102" s="10" t="n"/>
      <c r="T102" s="15" t="n"/>
      <c r="U102" s="15" t="n"/>
      <c r="V102" s="10" t="n"/>
      <c r="W102" s="10" t="n"/>
      <c r="X102" s="10" t="n"/>
      <c r="Y102" s="16" t="n"/>
      <c r="Z102" s="16" t="n"/>
      <c r="AA102" s="10" t="n"/>
      <c r="AB102" s="10" t="n"/>
    </row>
    <row r="103">
      <c r="A103" t="inlineStr">
        <is>
          <t>Mbeya</t>
        </is>
      </c>
      <c r="B103" t="inlineStr">
        <is>
          <t>Mbarali District</t>
        </is>
      </c>
      <c r="C103" t="inlineStr">
        <is>
          <t>C091</t>
        </is>
      </c>
      <c r="D103" s="10" t="n"/>
      <c r="E103" s="10" t="n"/>
      <c r="F103" s="10" t="n"/>
      <c r="G103" s="11" t="n"/>
      <c r="H103" s="11" t="n"/>
      <c r="I103" s="11" t="n"/>
      <c r="J103" s="12" t="n"/>
      <c r="K103" s="10" t="n"/>
      <c r="L103" s="10" t="n"/>
      <c r="M103" s="12" t="n"/>
      <c r="N103" s="13" t="n"/>
      <c r="O103" s="14" t="n"/>
      <c r="P103" s="15" t="n"/>
      <c r="Q103" s="10" t="n"/>
      <c r="R103" s="10" t="n"/>
      <c r="S103" s="10" t="n"/>
      <c r="T103" s="15" t="n"/>
      <c r="U103" s="15" t="n"/>
      <c r="V103" s="10" t="n"/>
      <c r="W103" s="10" t="n"/>
      <c r="X103" s="10" t="n"/>
      <c r="Y103" s="16" t="n"/>
      <c r="Z103" s="16" t="n"/>
      <c r="AA103" s="10" t="n"/>
      <c r="AB103" s="10" t="n"/>
    </row>
    <row r="104">
      <c r="A104" t="inlineStr">
        <is>
          <t>Mbeya</t>
        </is>
      </c>
      <c r="B104" t="inlineStr">
        <is>
          <t>Mbeya City</t>
        </is>
      </c>
      <c r="C104" t="inlineStr">
        <is>
          <t>C087</t>
        </is>
      </c>
      <c r="D104" s="10" t="n"/>
      <c r="E104" s="10" t="n"/>
      <c r="F104" s="10" t="n"/>
      <c r="G104" s="11" t="n"/>
      <c r="H104" s="11" t="n"/>
      <c r="I104" s="11" t="n"/>
      <c r="J104" s="12" t="n"/>
      <c r="K104" s="10" t="n"/>
      <c r="L104" s="10" t="n"/>
      <c r="M104" s="12" t="n"/>
      <c r="N104" s="13" t="n"/>
      <c r="O104" s="14" t="n"/>
      <c r="P104" s="15" t="n"/>
      <c r="Q104" s="10" t="n"/>
      <c r="R104" s="10" t="n"/>
      <c r="S104" s="10" t="n"/>
      <c r="T104" s="15" t="n"/>
      <c r="U104" s="15" t="n"/>
      <c r="V104" s="10" t="n"/>
      <c r="W104" s="10" t="n"/>
      <c r="X104" s="10" t="n"/>
      <c r="Y104" s="16" t="n"/>
      <c r="Z104" s="16" t="n"/>
      <c r="AA104" s="10" t="n"/>
      <c r="AB104" s="10" t="n"/>
    </row>
    <row r="105">
      <c r="A105" t="inlineStr">
        <is>
          <t>Mbeya</t>
        </is>
      </c>
      <c r="B105" t="inlineStr">
        <is>
          <t>Mbeya District</t>
        </is>
      </c>
      <c r="C105" t="inlineStr">
        <is>
          <t>C086</t>
        </is>
      </c>
      <c r="D105" s="10" t="n"/>
      <c r="E105" s="10" t="n"/>
      <c r="F105" s="10" t="n"/>
      <c r="G105" s="11" t="n"/>
      <c r="H105" s="11" t="n"/>
      <c r="I105" s="11" t="n"/>
      <c r="J105" s="12" t="n"/>
      <c r="K105" s="10" t="n"/>
      <c r="L105" s="10" t="n"/>
      <c r="M105" s="12" t="n"/>
      <c r="N105" s="13" t="n"/>
      <c r="O105" s="14" t="n"/>
      <c r="P105" s="15" t="n"/>
      <c r="Q105" s="10" t="n"/>
      <c r="R105" s="10" t="n"/>
      <c r="S105" s="10" t="n"/>
      <c r="T105" s="15" t="n"/>
      <c r="U105" s="15" t="n"/>
      <c r="V105" s="10" t="n"/>
      <c r="W105" s="10" t="n"/>
      <c r="X105" s="10" t="n"/>
      <c r="Y105" s="16" t="n"/>
      <c r="Z105" s="16" t="n"/>
      <c r="AA105" s="10" t="n"/>
      <c r="AB105" s="10" t="n"/>
    </row>
    <row r="106">
      <c r="A106" t="inlineStr">
        <is>
          <t>Mbeya</t>
        </is>
      </c>
      <c r="B106" t="inlineStr">
        <is>
          <t>Rungwe District</t>
        </is>
      </c>
      <c r="C106" t="inlineStr">
        <is>
          <t>C089</t>
        </is>
      </c>
      <c r="D106" s="10" t="n"/>
      <c r="E106" s="10" t="n"/>
      <c r="F106" s="10" t="n"/>
      <c r="G106" s="11" t="n"/>
      <c r="H106" s="11" t="n"/>
      <c r="I106" s="11" t="n"/>
      <c r="J106" s="12" t="n"/>
      <c r="K106" s="10" t="n"/>
      <c r="L106" s="10" t="n"/>
      <c r="M106" s="12" t="n"/>
      <c r="N106" s="13" t="n"/>
      <c r="O106" s="14" t="n"/>
      <c r="P106" s="15" t="n"/>
      <c r="Q106" s="10" t="n"/>
      <c r="R106" s="10" t="n"/>
      <c r="S106" s="10" t="n"/>
      <c r="T106" s="15" t="n"/>
      <c r="U106" s="15" t="n"/>
      <c r="V106" s="10" t="n"/>
      <c r="W106" s="10" t="n"/>
      <c r="X106" s="10" t="n"/>
      <c r="Y106" s="16" t="n"/>
      <c r="Z106" s="16" t="n"/>
      <c r="AA106" s="10" t="n"/>
      <c r="AB106" s="10" t="n"/>
    </row>
    <row r="107">
      <c r="A107" t="inlineStr">
        <is>
          <t>Mjini Magharibi</t>
        </is>
      </c>
      <c r="B107" t="inlineStr">
        <is>
          <t>Magharibi A Municipal</t>
        </is>
      </c>
      <c r="C107" t="inlineStr">
        <is>
          <t>C190</t>
        </is>
      </c>
      <c r="D107" s="10" t="n"/>
      <c r="E107" s="10" t="n"/>
      <c r="F107" s="10" t="n"/>
      <c r="G107" s="11" t="n"/>
      <c r="H107" s="11" t="n"/>
      <c r="I107" s="11" t="n"/>
      <c r="J107" s="12" t="n"/>
      <c r="K107" s="10" t="n"/>
      <c r="L107" s="10" t="n"/>
      <c r="M107" s="12" t="n"/>
      <c r="N107" s="13" t="n"/>
      <c r="O107" s="14" t="n"/>
      <c r="P107" s="15" t="n"/>
      <c r="Q107" s="10" t="n"/>
      <c r="R107" s="10" t="n"/>
      <c r="S107" s="10" t="n"/>
      <c r="T107" s="15" t="n"/>
      <c r="U107" s="15" t="n"/>
      <c r="V107" s="10" t="n"/>
      <c r="W107" s="10" t="n"/>
      <c r="X107" s="10" t="n"/>
      <c r="Y107" s="16" t="n"/>
      <c r="Z107" s="16" t="n"/>
      <c r="AA107" s="10" t="n"/>
      <c r="AB107" s="10" t="n"/>
    </row>
    <row r="108">
      <c r="A108" t="inlineStr">
        <is>
          <t>Mjini Magharibi</t>
        </is>
      </c>
      <c r="B108" t="inlineStr">
        <is>
          <t>Magharibi B Municipal</t>
        </is>
      </c>
      <c r="C108" t="inlineStr">
        <is>
          <t>C191</t>
        </is>
      </c>
      <c r="D108" s="10" t="n"/>
      <c r="E108" s="10" t="n"/>
      <c r="F108" s="10" t="n"/>
      <c r="G108" s="11" t="n"/>
      <c r="H108" s="11" t="n"/>
      <c r="I108" s="11" t="n"/>
      <c r="J108" s="12" t="n"/>
      <c r="K108" s="10" t="n"/>
      <c r="L108" s="10" t="n"/>
      <c r="M108" s="12" t="n"/>
      <c r="N108" s="13" t="n"/>
      <c r="O108" s="14" t="n"/>
      <c r="P108" s="15" t="n"/>
      <c r="Q108" s="10" t="n"/>
      <c r="R108" s="10" t="n"/>
      <c r="S108" s="10" t="n"/>
      <c r="T108" s="15" t="n"/>
      <c r="U108" s="15" t="n"/>
      <c r="V108" s="10" t="n"/>
      <c r="W108" s="10" t="n"/>
      <c r="X108" s="10" t="n"/>
      <c r="Y108" s="16" t="n"/>
      <c r="Z108" s="16" t="n"/>
      <c r="AA108" s="10" t="n"/>
      <c r="AB108" s="10" t="n"/>
    </row>
    <row r="109">
      <c r="A109" t="inlineStr">
        <is>
          <t>Mjini Magharibi</t>
        </is>
      </c>
      <c r="B109" t="inlineStr">
        <is>
          <t>Mjini Municipal</t>
        </is>
      </c>
      <c r="C109" t="inlineStr">
        <is>
          <t>C189</t>
        </is>
      </c>
      <c r="D109" s="10" t="n"/>
      <c r="E109" s="10" t="n"/>
      <c r="F109" s="10" t="n"/>
      <c r="G109" s="11" t="n"/>
      <c r="H109" s="11" t="n"/>
      <c r="I109" s="11" t="n"/>
      <c r="J109" s="12" t="n"/>
      <c r="K109" s="10" t="n"/>
      <c r="L109" s="10" t="n"/>
      <c r="M109" s="12" t="n"/>
      <c r="N109" s="13" t="n"/>
      <c r="O109" s="14" t="n"/>
      <c r="P109" s="15" t="n"/>
      <c r="Q109" s="10" t="n"/>
      <c r="R109" s="10" t="n"/>
      <c r="S109" s="10" t="n"/>
      <c r="T109" s="15" t="n"/>
      <c r="U109" s="15" t="n"/>
      <c r="V109" s="10" t="n"/>
      <c r="W109" s="10" t="n"/>
      <c r="X109" s="10" t="n"/>
      <c r="Y109" s="16" t="n"/>
      <c r="Z109" s="16" t="n"/>
      <c r="AA109" s="10" t="n"/>
      <c r="AB109" s="10" t="n"/>
    </row>
    <row r="110">
      <c r="A110" t="inlineStr">
        <is>
          <t>Morogoro</t>
        </is>
      </c>
      <c r="B110" t="inlineStr">
        <is>
          <t>Gairo District</t>
        </is>
      </c>
      <c r="C110" t="inlineStr">
        <is>
          <t>C042</t>
        </is>
      </c>
      <c r="D110" s="10" t="n"/>
      <c r="E110" s="10" t="n"/>
      <c r="F110" s="10" t="n"/>
      <c r="G110" s="11" t="n"/>
      <c r="H110" s="11" t="n"/>
      <c r="I110" s="11" t="n"/>
      <c r="J110" s="12" t="n"/>
      <c r="K110" s="10" t="n"/>
      <c r="L110" s="10" t="n"/>
      <c r="M110" s="12" t="n"/>
      <c r="N110" s="13" t="n"/>
      <c r="O110" s="14" t="n"/>
      <c r="P110" s="15" t="n"/>
      <c r="Q110" s="10" t="n"/>
      <c r="R110" s="10" t="n"/>
      <c r="S110" s="10" t="n"/>
      <c r="T110" s="15" t="n"/>
      <c r="U110" s="15" t="n"/>
      <c r="V110" s="10" t="n"/>
      <c r="W110" s="10" t="n"/>
      <c r="X110" s="10" t="n"/>
      <c r="Y110" s="16" t="n"/>
      <c r="Z110" s="16" t="n"/>
      <c r="AA110" s="10" t="n"/>
      <c r="AB110" s="10" t="n"/>
    </row>
    <row r="111">
      <c r="A111" t="inlineStr">
        <is>
          <t>Morogoro</t>
        </is>
      </c>
      <c r="B111" t="inlineStr">
        <is>
          <t>Ifakara Town</t>
        </is>
      </c>
      <c r="C111" t="inlineStr">
        <is>
          <t>C038</t>
        </is>
      </c>
      <c r="D111" s="10" t="n"/>
      <c r="E111" s="10" t="n"/>
      <c r="F111" s="10" t="n"/>
      <c r="G111" s="11" t="n"/>
      <c r="H111" s="11" t="n"/>
      <c r="I111" s="11" t="n"/>
      <c r="J111" s="12" t="n"/>
      <c r="K111" s="10" t="n"/>
      <c r="L111" s="10" t="n"/>
      <c r="M111" s="12" t="n"/>
      <c r="N111" s="13" t="n"/>
      <c r="O111" s="14" t="n"/>
      <c r="P111" s="15" t="n"/>
      <c r="Q111" s="10" t="n"/>
      <c r="R111" s="10" t="n"/>
      <c r="S111" s="10" t="n"/>
      <c r="T111" s="15" t="n"/>
      <c r="U111" s="15" t="n"/>
      <c r="V111" s="10" t="n"/>
      <c r="W111" s="10" t="n"/>
      <c r="X111" s="10" t="n"/>
      <c r="Y111" s="16" t="n"/>
      <c r="Z111" s="16" t="n"/>
      <c r="AA111" s="10" t="n"/>
      <c r="AB111" s="10" t="n"/>
    </row>
    <row r="112">
      <c r="A112" t="inlineStr">
        <is>
          <t>Morogoro</t>
        </is>
      </c>
      <c r="B112" t="inlineStr">
        <is>
          <t>Kilosa District</t>
        </is>
      </c>
      <c r="C112" t="inlineStr">
        <is>
          <t>C034</t>
        </is>
      </c>
      <c r="D112" s="10" t="n"/>
      <c r="E112" s="10" t="n"/>
      <c r="F112" s="10" t="n"/>
      <c r="G112" s="11" t="n"/>
      <c r="H112" s="11" t="n"/>
      <c r="I112" s="11" t="n"/>
      <c r="J112" s="12" t="n"/>
      <c r="K112" s="10" t="n"/>
      <c r="L112" s="10" t="n"/>
      <c r="M112" s="12" t="n"/>
      <c r="N112" s="13" t="n"/>
      <c r="O112" s="14" t="n"/>
      <c r="P112" s="15" t="n"/>
      <c r="Q112" s="10" t="n"/>
      <c r="R112" s="10" t="n"/>
      <c r="S112" s="10" t="n"/>
      <c r="T112" s="15" t="n"/>
      <c r="U112" s="15" t="n"/>
      <c r="V112" s="10" t="n"/>
      <c r="W112" s="10" t="n"/>
      <c r="X112" s="10" t="n"/>
      <c r="Y112" s="16" t="n"/>
      <c r="Z112" s="16" t="n"/>
      <c r="AA112" s="10" t="n"/>
      <c r="AB112" s="10" t="n"/>
    </row>
    <row r="113">
      <c r="A113" t="inlineStr">
        <is>
          <t>Morogoro</t>
        </is>
      </c>
      <c r="B113" t="inlineStr">
        <is>
          <t>Malinyi District</t>
        </is>
      </c>
      <c r="C113" t="inlineStr">
        <is>
          <t>C040</t>
        </is>
      </c>
      <c r="D113" s="10" t="n"/>
      <c r="E113" s="10" t="n"/>
      <c r="F113" s="10" t="n"/>
      <c r="G113" s="11" t="n"/>
      <c r="H113" s="11" t="n"/>
      <c r="I113" s="11" t="n"/>
      <c r="J113" s="12" t="n"/>
      <c r="K113" s="10" t="n"/>
      <c r="L113" s="10" t="n"/>
      <c r="M113" s="12" t="n"/>
      <c r="N113" s="13" t="n"/>
      <c r="O113" s="14" t="n"/>
      <c r="P113" s="15" t="n"/>
      <c r="Q113" s="10" t="n"/>
      <c r="R113" s="10" t="n"/>
      <c r="S113" s="10" t="n"/>
      <c r="T113" s="15" t="n"/>
      <c r="U113" s="15" t="n"/>
      <c r="V113" s="10" t="n"/>
      <c r="W113" s="10" t="n"/>
      <c r="X113" s="10" t="n"/>
      <c r="Y113" s="16" t="n"/>
      <c r="Z113" s="16" t="n"/>
      <c r="AA113" s="10" t="n"/>
      <c r="AB113" s="10" t="n"/>
    </row>
    <row r="114">
      <c r="A114" t="inlineStr">
        <is>
          <t>Morogoro</t>
        </is>
      </c>
      <c r="B114" t="inlineStr">
        <is>
          <t>Mlimba District</t>
        </is>
      </c>
      <c r="C114" t="inlineStr">
        <is>
          <t>C037</t>
        </is>
      </c>
      <c r="D114" s="10" t="n"/>
      <c r="E114" s="10" t="n"/>
      <c r="F114" s="10" t="n"/>
      <c r="G114" s="11" t="n"/>
      <c r="H114" s="11" t="n"/>
      <c r="I114" s="11" t="n"/>
      <c r="J114" s="12" t="n"/>
      <c r="K114" s="10" t="n"/>
      <c r="L114" s="10" t="n"/>
      <c r="M114" s="12" t="n"/>
      <c r="N114" s="13" t="n"/>
      <c r="O114" s="14" t="n"/>
      <c r="P114" s="15" t="n"/>
      <c r="Q114" s="10" t="n"/>
      <c r="R114" s="10" t="n"/>
      <c r="S114" s="10" t="n"/>
      <c r="T114" s="15" t="n"/>
      <c r="U114" s="15" t="n"/>
      <c r="V114" s="10" t="n"/>
      <c r="W114" s="10" t="n"/>
      <c r="X114" s="10" t="n"/>
      <c r="Y114" s="16" t="n"/>
      <c r="Z114" s="16" t="n"/>
      <c r="AA114" s="10" t="n"/>
      <c r="AB114" s="10" t="n"/>
    </row>
    <row r="115">
      <c r="A115" t="inlineStr">
        <is>
          <t>Morogoro</t>
        </is>
      </c>
      <c r="B115" t="inlineStr">
        <is>
          <t>Morogoro District</t>
        </is>
      </c>
      <c r="C115" t="inlineStr">
        <is>
          <t>C035</t>
        </is>
      </c>
      <c r="D115" s="10" t="n"/>
      <c r="E115" s="10" t="n"/>
      <c r="F115" s="10" t="n"/>
      <c r="G115" s="11" t="n"/>
      <c r="H115" s="11" t="n"/>
      <c r="I115" s="11" t="n"/>
      <c r="J115" s="12" t="n"/>
      <c r="K115" s="10" t="n"/>
      <c r="L115" s="10" t="n"/>
      <c r="M115" s="12" t="n"/>
      <c r="N115" s="13" t="n"/>
      <c r="O115" s="14" t="n"/>
      <c r="P115" s="15" t="n"/>
      <c r="Q115" s="10" t="n"/>
      <c r="R115" s="10" t="n"/>
      <c r="S115" s="10" t="n"/>
      <c r="T115" s="15" t="n"/>
      <c r="U115" s="15" t="n"/>
      <c r="V115" s="10" t="n"/>
      <c r="W115" s="10" t="n"/>
      <c r="X115" s="10" t="n"/>
      <c r="Y115" s="16" t="n"/>
      <c r="Z115" s="16" t="n"/>
      <c r="AA115" s="10" t="n"/>
      <c r="AB115" s="10" t="n"/>
    </row>
    <row r="116">
      <c r="A116" t="inlineStr">
        <is>
          <t>Morogoro</t>
        </is>
      </c>
      <c r="B116" t="inlineStr">
        <is>
          <t>Morogoro Municipal</t>
        </is>
      </c>
      <c r="C116" t="inlineStr">
        <is>
          <t>C036</t>
        </is>
      </c>
      <c r="D116" s="10" t="n"/>
      <c r="E116" s="10" t="n"/>
      <c r="F116" s="10" t="n"/>
      <c r="G116" s="11" t="n"/>
      <c r="H116" s="11" t="n"/>
      <c r="I116" s="11" t="n"/>
      <c r="J116" s="12" t="n"/>
      <c r="K116" s="10" t="n"/>
      <c r="L116" s="10" t="n"/>
      <c r="M116" s="12" t="n"/>
      <c r="N116" s="13" t="n"/>
      <c r="O116" s="14" t="n"/>
      <c r="P116" s="15" t="n"/>
      <c r="Q116" s="10" t="n"/>
      <c r="R116" s="10" t="n"/>
      <c r="S116" s="10" t="n"/>
      <c r="T116" s="15" t="n"/>
      <c r="U116" s="15" t="n"/>
      <c r="V116" s="10" t="n"/>
      <c r="W116" s="10" t="n"/>
      <c r="X116" s="10" t="n"/>
      <c r="Y116" s="16" t="n"/>
      <c r="Z116" s="16" t="n"/>
      <c r="AA116" s="10" t="n"/>
      <c r="AB116" s="10" t="n"/>
    </row>
    <row r="117">
      <c r="A117" t="inlineStr">
        <is>
          <t>Morogoro</t>
        </is>
      </c>
      <c r="B117" t="inlineStr">
        <is>
          <t>Mvomero District</t>
        </is>
      </c>
      <c r="C117" t="inlineStr">
        <is>
          <t>C041</t>
        </is>
      </c>
      <c r="D117" s="10" t="n"/>
      <c r="E117" s="10" t="n"/>
      <c r="F117" s="10" t="n"/>
      <c r="G117" s="11" t="n"/>
      <c r="H117" s="11" t="n"/>
      <c r="I117" s="11" t="n"/>
      <c r="J117" s="12" t="n"/>
      <c r="K117" s="10" t="n"/>
      <c r="L117" s="10" t="n"/>
      <c r="M117" s="12" t="n"/>
      <c r="N117" s="13" t="n"/>
      <c r="O117" s="14" t="n"/>
      <c r="P117" s="15" t="n"/>
      <c r="Q117" s="10" t="n"/>
      <c r="R117" s="10" t="n"/>
      <c r="S117" s="10" t="n"/>
      <c r="T117" s="15" t="n"/>
      <c r="U117" s="15" t="n"/>
      <c r="V117" s="10" t="n"/>
      <c r="W117" s="10" t="n"/>
      <c r="X117" s="10" t="n"/>
      <c r="Y117" s="16" t="n"/>
      <c r="Z117" s="16" t="n"/>
      <c r="AA117" s="10" t="n"/>
      <c r="AB117" s="10" t="n"/>
    </row>
    <row r="118">
      <c r="A118" t="inlineStr">
        <is>
          <t>Morogoro</t>
        </is>
      </c>
      <c r="B118" t="inlineStr">
        <is>
          <t>Ulanga District</t>
        </is>
      </c>
      <c r="C118" t="inlineStr">
        <is>
          <t>C039</t>
        </is>
      </c>
      <c r="D118" s="10" t="n"/>
      <c r="E118" s="10" t="n"/>
      <c r="F118" s="10" t="n"/>
      <c r="G118" s="11" t="n"/>
      <c r="H118" s="11" t="n"/>
      <c r="I118" s="11" t="n"/>
      <c r="J118" s="12" t="n"/>
      <c r="K118" s="10" t="n"/>
      <c r="L118" s="10" t="n"/>
      <c r="M118" s="12" t="n"/>
      <c r="N118" s="13" t="n"/>
      <c r="O118" s="14" t="n"/>
      <c r="P118" s="15" t="n"/>
      <c r="Q118" s="10" t="n"/>
      <c r="R118" s="10" t="n"/>
      <c r="S118" s="10" t="n"/>
      <c r="T118" s="15" t="n"/>
      <c r="U118" s="15" t="n"/>
      <c r="V118" s="10" t="n"/>
      <c r="W118" s="10" t="n"/>
      <c r="X118" s="10" t="n"/>
      <c r="Y118" s="16" t="n"/>
      <c r="Z118" s="16" t="n"/>
      <c r="AA118" s="10" t="n"/>
      <c r="AB118" s="10" t="n"/>
    </row>
    <row r="119">
      <c r="A119" t="inlineStr">
        <is>
          <t>Mtwara</t>
        </is>
      </c>
      <c r="B119" t="inlineStr">
        <is>
          <t>Masasi District</t>
        </is>
      </c>
      <c r="C119" t="inlineStr">
        <is>
          <t>C068</t>
        </is>
      </c>
      <c r="D119" s="10" t="n"/>
      <c r="E119" s="10" t="n"/>
      <c r="F119" s="10" t="n"/>
      <c r="G119" s="11" t="n"/>
      <c r="H119" s="11" t="n"/>
      <c r="I119" s="11" t="n"/>
      <c r="J119" s="12" t="n"/>
      <c r="K119" s="10" t="n"/>
      <c r="L119" s="10" t="n"/>
      <c r="M119" s="12" t="n"/>
      <c r="N119" s="13" t="n"/>
      <c r="O119" s="14" t="n"/>
      <c r="P119" s="15" t="n"/>
      <c r="Q119" s="10" t="n"/>
      <c r="R119" s="10" t="n"/>
      <c r="S119" s="10" t="n"/>
      <c r="T119" s="15" t="n"/>
      <c r="U119" s="15" t="n"/>
      <c r="V119" s="10" t="n"/>
      <c r="W119" s="10" t="n"/>
      <c r="X119" s="10" t="n"/>
      <c r="Y119" s="16" t="n"/>
      <c r="Z119" s="16" t="n"/>
      <c r="AA119" s="10" t="n"/>
      <c r="AB119" s="10" t="n"/>
    </row>
    <row r="120">
      <c r="A120" t="inlineStr">
        <is>
          <t>Mtwara</t>
        </is>
      </c>
      <c r="B120" t="inlineStr">
        <is>
          <t>Masasi Town</t>
        </is>
      </c>
      <c r="C120" t="inlineStr">
        <is>
          <t>C069</t>
        </is>
      </c>
      <c r="D120" s="10" t="n"/>
      <c r="E120" s="10" t="n"/>
      <c r="F120" s="10" t="n"/>
      <c r="G120" s="11" t="n"/>
      <c r="H120" s="11" t="n"/>
      <c r="I120" s="11" t="n"/>
      <c r="J120" s="12" t="n"/>
      <c r="K120" s="10" t="n"/>
      <c r="L120" s="10" t="n"/>
      <c r="M120" s="12" t="n"/>
      <c r="N120" s="13" t="n"/>
      <c r="O120" s="14" t="n"/>
      <c r="P120" s="15" t="n"/>
      <c r="Q120" s="10" t="n"/>
      <c r="R120" s="10" t="n"/>
      <c r="S120" s="10" t="n"/>
      <c r="T120" s="15" t="n"/>
      <c r="U120" s="15" t="n"/>
      <c r="V120" s="10" t="n"/>
      <c r="W120" s="10" t="n"/>
      <c r="X120" s="10" t="n"/>
      <c r="Y120" s="16" t="n"/>
      <c r="Z120" s="16" t="n"/>
      <c r="AA120" s="10" t="n"/>
      <c r="AB120" s="10" t="n"/>
    </row>
    <row r="121">
      <c r="A121" t="inlineStr">
        <is>
          <t>Mtwara</t>
        </is>
      </c>
      <c r="B121" t="inlineStr">
        <is>
          <t>Mtwara District</t>
        </is>
      </c>
      <c r="C121" t="inlineStr">
        <is>
          <t>C063</t>
        </is>
      </c>
      <c r="D121" s="10" t="n"/>
      <c r="E121" s="10" t="n"/>
      <c r="F121" s="10" t="n"/>
      <c r="G121" s="11" t="n"/>
      <c r="H121" s="11" t="n"/>
      <c r="I121" s="11" t="n"/>
      <c r="J121" s="12" t="n"/>
      <c r="K121" s="10" t="n"/>
      <c r="L121" s="10" t="n"/>
      <c r="M121" s="12" t="n"/>
      <c r="N121" s="13" t="n"/>
      <c r="O121" s="14" t="n"/>
      <c r="P121" s="15" t="n"/>
      <c r="Q121" s="10" t="n"/>
      <c r="R121" s="10" t="n"/>
      <c r="S121" s="10" t="n"/>
      <c r="T121" s="15" t="n"/>
      <c r="U121" s="15" t="n"/>
      <c r="V121" s="10" t="n"/>
      <c r="W121" s="10" t="n"/>
      <c r="X121" s="10" t="n"/>
      <c r="Y121" s="16" t="n"/>
      <c r="Z121" s="16" t="n"/>
      <c r="AA121" s="10" t="n"/>
      <c r="AB121" s="10" t="n"/>
    </row>
    <row r="122">
      <c r="A122" t="inlineStr">
        <is>
          <t>Mtwara</t>
        </is>
      </c>
      <c r="B122" t="inlineStr">
        <is>
          <t>Mtwara Mikindani Municipal</t>
        </is>
      </c>
      <c r="C122" t="inlineStr">
        <is>
          <t>C065</t>
        </is>
      </c>
      <c r="D122" s="10" t="n"/>
      <c r="E122" s="10" t="n"/>
      <c r="F122" s="10" t="n"/>
      <c r="G122" s="11" t="n"/>
      <c r="H122" s="11" t="n"/>
      <c r="I122" s="11" t="n"/>
      <c r="J122" s="12" t="n"/>
      <c r="K122" s="10" t="n"/>
      <c r="L122" s="10" t="n"/>
      <c r="M122" s="12" t="n"/>
      <c r="N122" s="13" t="n"/>
      <c r="O122" s="14" t="n"/>
      <c r="P122" s="15" t="n"/>
      <c r="Q122" s="10" t="n"/>
      <c r="R122" s="10" t="n"/>
      <c r="S122" s="10" t="n"/>
      <c r="T122" s="15" t="n"/>
      <c r="U122" s="15" t="n"/>
      <c r="V122" s="10" t="n"/>
      <c r="W122" s="10" t="n"/>
      <c r="X122" s="10" t="n"/>
      <c r="Y122" s="16" t="n"/>
      <c r="Z122" s="16" t="n"/>
      <c r="AA122" s="10" t="n"/>
      <c r="AB122" s="10" t="n"/>
    </row>
    <row r="123">
      <c r="A123" t="inlineStr">
        <is>
          <t>Mtwara</t>
        </is>
      </c>
      <c r="B123" t="inlineStr">
        <is>
          <t>Nanyamba Town</t>
        </is>
      </c>
      <c r="C123" t="inlineStr">
        <is>
          <t>C064</t>
        </is>
      </c>
      <c r="D123" s="10" t="n"/>
      <c r="E123" s="10" t="n"/>
      <c r="F123" s="10" t="n"/>
      <c r="G123" s="11" t="n"/>
      <c r="H123" s="11" t="n"/>
      <c r="I123" s="11" t="n"/>
      <c r="J123" s="12" t="n"/>
      <c r="K123" s="10" t="n"/>
      <c r="L123" s="10" t="n"/>
      <c r="M123" s="12" t="n"/>
      <c r="N123" s="13" t="n"/>
      <c r="O123" s="14" t="n"/>
      <c r="P123" s="15" t="n"/>
      <c r="Q123" s="10" t="n"/>
      <c r="R123" s="10" t="n"/>
      <c r="S123" s="10" t="n"/>
      <c r="T123" s="15" t="n"/>
      <c r="U123" s="15" t="n"/>
      <c r="V123" s="10" t="n"/>
      <c r="W123" s="10" t="n"/>
      <c r="X123" s="10" t="n"/>
      <c r="Y123" s="16" t="n"/>
      <c r="Z123" s="16" t="n"/>
      <c r="AA123" s="10" t="n"/>
      <c r="AB123" s="10" t="n"/>
    </row>
    <row r="124">
      <c r="A124" t="inlineStr">
        <is>
          <t>Mtwara</t>
        </is>
      </c>
      <c r="B124" t="inlineStr">
        <is>
          <t>Nanyumbu District</t>
        </is>
      </c>
      <c r="C124" t="inlineStr">
        <is>
          <t>C071</t>
        </is>
      </c>
      <c r="D124" s="10" t="n"/>
      <c r="E124" s="10" t="n"/>
      <c r="F124" s="10" t="n"/>
      <c r="G124" s="11" t="n"/>
      <c r="H124" s="11" t="n"/>
      <c r="I124" s="11" t="n"/>
      <c r="J124" s="12" t="n"/>
      <c r="K124" s="10" t="n"/>
      <c r="L124" s="10" t="n"/>
      <c r="M124" s="12" t="n"/>
      <c r="N124" s="13" t="n"/>
      <c r="O124" s="14" t="n"/>
      <c r="P124" s="15" t="n"/>
      <c r="Q124" s="10" t="n"/>
      <c r="R124" s="10" t="n"/>
      <c r="S124" s="10" t="n"/>
      <c r="T124" s="15" t="n"/>
      <c r="U124" s="15" t="n"/>
      <c r="V124" s="10" t="n"/>
      <c r="W124" s="10" t="n"/>
      <c r="X124" s="10" t="n"/>
      <c r="Y124" s="16" t="n"/>
      <c r="Z124" s="16" t="n"/>
      <c r="AA124" s="10" t="n"/>
      <c r="AB124" s="10" t="n"/>
    </row>
    <row r="125">
      <c r="A125" t="inlineStr">
        <is>
          <t>Mtwara</t>
        </is>
      </c>
      <c r="B125" t="inlineStr">
        <is>
          <t>Newala District</t>
        </is>
      </c>
      <c r="C125" t="inlineStr">
        <is>
          <t>C066</t>
        </is>
      </c>
      <c r="D125" s="10" t="n"/>
      <c r="E125" s="10" t="n"/>
      <c r="F125" s="10" t="n"/>
      <c r="G125" s="11" t="n"/>
      <c r="H125" s="11" t="n"/>
      <c r="I125" s="11" t="n"/>
      <c r="J125" s="12" t="n"/>
      <c r="K125" s="10" t="n"/>
      <c r="L125" s="10" t="n"/>
      <c r="M125" s="12" t="n"/>
      <c r="N125" s="13" t="n"/>
      <c r="O125" s="14" t="n"/>
      <c r="P125" s="15" t="n"/>
      <c r="Q125" s="10" t="n"/>
      <c r="R125" s="10" t="n"/>
      <c r="S125" s="10" t="n"/>
      <c r="T125" s="15" t="n"/>
      <c r="U125" s="15" t="n"/>
      <c r="V125" s="10" t="n"/>
      <c r="W125" s="10" t="n"/>
      <c r="X125" s="10" t="n"/>
      <c r="Y125" s="16" t="n"/>
      <c r="Z125" s="16" t="n"/>
      <c r="AA125" s="10" t="n"/>
      <c r="AB125" s="10" t="n"/>
    </row>
    <row r="126">
      <c r="A126" t="inlineStr">
        <is>
          <t>Mtwara</t>
        </is>
      </c>
      <c r="B126" t="inlineStr">
        <is>
          <t>Newala Town</t>
        </is>
      </c>
      <c r="C126" t="inlineStr">
        <is>
          <t>C067</t>
        </is>
      </c>
      <c r="D126" s="10" t="n"/>
      <c r="E126" s="10" t="n"/>
      <c r="F126" s="10" t="n"/>
      <c r="G126" s="11" t="n"/>
      <c r="H126" s="11" t="n"/>
      <c r="I126" s="11" t="n"/>
      <c r="J126" s="12" t="n"/>
      <c r="K126" s="10" t="n"/>
      <c r="L126" s="10" t="n"/>
      <c r="M126" s="12" t="n"/>
      <c r="N126" s="13" t="n"/>
      <c r="O126" s="14" t="n"/>
      <c r="P126" s="15" t="n"/>
      <c r="Q126" s="10" t="n"/>
      <c r="R126" s="10" t="n"/>
      <c r="S126" s="10" t="n"/>
      <c r="T126" s="15" t="n"/>
      <c r="U126" s="15" t="n"/>
      <c r="V126" s="10" t="n"/>
      <c r="W126" s="10" t="n"/>
      <c r="X126" s="10" t="n"/>
      <c r="Y126" s="16" t="n"/>
      <c r="Z126" s="16" t="n"/>
      <c r="AA126" s="10" t="n"/>
      <c r="AB126" s="10" t="n"/>
    </row>
    <row r="127">
      <c r="A127" t="inlineStr">
        <is>
          <t>Mtwara</t>
        </is>
      </c>
      <c r="B127" t="inlineStr">
        <is>
          <t>Tandahimba District</t>
        </is>
      </c>
      <c r="C127" t="inlineStr">
        <is>
          <t>C070</t>
        </is>
      </c>
      <c r="D127" s="10" t="n"/>
      <c r="E127" s="10" t="n"/>
      <c r="F127" s="10" t="n"/>
      <c r="G127" s="11" t="n"/>
      <c r="H127" s="11" t="n"/>
      <c r="I127" s="11" t="n"/>
      <c r="J127" s="12" t="n"/>
      <c r="K127" s="10" t="n"/>
      <c r="L127" s="10" t="n"/>
      <c r="M127" s="12" t="n"/>
      <c r="N127" s="13" t="n"/>
      <c r="O127" s="14" t="n"/>
      <c r="P127" s="15" t="n"/>
      <c r="Q127" s="10" t="n"/>
      <c r="R127" s="10" t="n"/>
      <c r="S127" s="10" t="n"/>
      <c r="T127" s="15" t="n"/>
      <c r="U127" s="15" t="n"/>
      <c r="V127" s="10" t="n"/>
      <c r="W127" s="10" t="n"/>
      <c r="X127" s="10" t="n"/>
      <c r="Y127" s="16" t="n"/>
      <c r="Z127" s="16" t="n"/>
      <c r="AA127" s="10" t="n"/>
      <c r="AB127" s="10" t="n"/>
    </row>
    <row r="128">
      <c r="A128" t="inlineStr">
        <is>
          <t>Mwanza</t>
        </is>
      </c>
      <c r="B128" t="inlineStr">
        <is>
          <t>Buchosa District</t>
        </is>
      </c>
      <c r="C128" t="inlineStr">
        <is>
          <t>C138</t>
        </is>
      </c>
      <c r="D128" s="10" t="n"/>
      <c r="E128" s="10" t="n"/>
      <c r="F128" s="10" t="n"/>
      <c r="G128" s="11" t="n"/>
      <c r="H128" s="11" t="n"/>
      <c r="I128" s="11" t="n"/>
      <c r="J128" s="12" t="n"/>
      <c r="K128" s="10" t="n"/>
      <c r="L128" s="10" t="n"/>
      <c r="M128" s="12" t="n"/>
      <c r="N128" s="13" t="n"/>
      <c r="O128" s="14" t="n"/>
      <c r="P128" s="15" t="n"/>
      <c r="Q128" s="10" t="n"/>
      <c r="R128" s="10" t="n"/>
      <c r="S128" s="10" t="n"/>
      <c r="T128" s="15" t="n"/>
      <c r="U128" s="15" t="n"/>
      <c r="V128" s="10" t="n"/>
      <c r="W128" s="10" t="n"/>
      <c r="X128" s="10" t="n"/>
      <c r="Y128" s="16" t="n"/>
      <c r="Z128" s="16" t="n"/>
      <c r="AA128" s="10" t="n"/>
      <c r="AB128" s="10" t="n"/>
    </row>
    <row r="129">
      <c r="A129" t="inlineStr">
        <is>
          <t>Mwanza</t>
        </is>
      </c>
      <c r="B129" t="inlineStr">
        <is>
          <t>Ilemela Municipal</t>
        </is>
      </c>
      <c r="C129" t="inlineStr">
        <is>
          <t>C139</t>
        </is>
      </c>
      <c r="D129" s="10" t="n"/>
      <c r="E129" s="10" t="n"/>
      <c r="F129" s="10" t="n"/>
      <c r="G129" s="11" t="n"/>
      <c r="H129" s="11" t="n"/>
      <c r="I129" s="11" t="n"/>
      <c r="J129" s="12" t="n"/>
      <c r="K129" s="10" t="n"/>
      <c r="L129" s="10" t="n"/>
      <c r="M129" s="12" t="n"/>
      <c r="N129" s="13" t="n"/>
      <c r="O129" s="14" t="n"/>
      <c r="P129" s="15" t="n"/>
      <c r="Q129" s="10" t="n"/>
      <c r="R129" s="10" t="n"/>
      <c r="S129" s="10" t="n"/>
      <c r="T129" s="15" t="n"/>
      <c r="U129" s="15" t="n"/>
      <c r="V129" s="10" t="n"/>
      <c r="W129" s="10" t="n"/>
      <c r="X129" s="10" t="n"/>
      <c r="Y129" s="16" t="n"/>
      <c r="Z129" s="16" t="n"/>
      <c r="AA129" s="10" t="n"/>
      <c r="AB129" s="10" t="n"/>
    </row>
    <row r="130">
      <c r="A130" t="inlineStr">
        <is>
          <t>Mwanza</t>
        </is>
      </c>
      <c r="B130" t="inlineStr">
        <is>
          <t>Kwimba District</t>
        </is>
      </c>
      <c r="C130" t="inlineStr">
        <is>
          <t>C136</t>
        </is>
      </c>
      <c r="D130" s="10" t="n"/>
      <c r="E130" s="10" t="n"/>
      <c r="F130" s="10" t="n"/>
      <c r="G130" s="11" t="n"/>
      <c r="H130" s="11" t="n"/>
      <c r="I130" s="11" t="n"/>
      <c r="J130" s="12" t="n"/>
      <c r="K130" s="10" t="n"/>
      <c r="L130" s="10" t="n"/>
      <c r="M130" s="12" t="n"/>
      <c r="N130" s="13" t="n"/>
      <c r="O130" s="14" t="n"/>
      <c r="P130" s="15" t="n"/>
      <c r="Q130" s="10" t="n"/>
      <c r="R130" s="10" t="n"/>
      <c r="S130" s="10" t="n"/>
      <c r="T130" s="15" t="n"/>
      <c r="U130" s="15" t="n"/>
      <c r="V130" s="10" t="n"/>
      <c r="W130" s="10" t="n"/>
      <c r="X130" s="10" t="n"/>
      <c r="Y130" s="16" t="n"/>
      <c r="Z130" s="16" t="n"/>
      <c r="AA130" s="10" t="n"/>
      <c r="AB130" s="10" t="n"/>
    </row>
    <row r="131">
      <c r="A131" t="inlineStr">
        <is>
          <t>Mwanza</t>
        </is>
      </c>
      <c r="B131" t="inlineStr">
        <is>
          <t>Magu District</t>
        </is>
      </c>
      <c r="C131" t="inlineStr">
        <is>
          <t>C134</t>
        </is>
      </c>
      <c r="D131" s="10" t="n"/>
      <c r="E131" s="10" t="n"/>
      <c r="F131" s="10" t="n"/>
      <c r="G131" s="11" t="n"/>
      <c r="H131" s="11" t="n"/>
      <c r="I131" s="11" t="n"/>
      <c r="J131" s="12" t="n"/>
      <c r="K131" s="10" t="n"/>
      <c r="L131" s="10" t="n"/>
      <c r="M131" s="12" t="n"/>
      <c r="N131" s="13" t="n"/>
      <c r="O131" s="14" t="n"/>
      <c r="P131" s="15" t="n"/>
      <c r="Q131" s="10" t="n"/>
      <c r="R131" s="10" t="n"/>
      <c r="S131" s="10" t="n"/>
      <c r="T131" s="15" t="n"/>
      <c r="U131" s="15" t="n"/>
      <c r="V131" s="10" t="n"/>
      <c r="W131" s="10" t="n"/>
      <c r="X131" s="10" t="n"/>
      <c r="Y131" s="16" t="n"/>
      <c r="Z131" s="16" t="n"/>
      <c r="AA131" s="10" t="n"/>
      <c r="AB131" s="10" t="n"/>
    </row>
    <row r="132">
      <c r="A132" t="inlineStr">
        <is>
          <t>Mwanza</t>
        </is>
      </c>
      <c r="B132" t="inlineStr">
        <is>
          <t>Misungwi District</t>
        </is>
      </c>
      <c r="C132" t="inlineStr">
        <is>
          <t>C140</t>
        </is>
      </c>
      <c r="D132" s="10" t="n"/>
      <c r="E132" s="10" t="n"/>
      <c r="F132" s="10" t="n"/>
      <c r="G132" s="11" t="n"/>
      <c r="H132" s="11" t="n"/>
      <c r="I132" s="11" t="n"/>
      <c r="J132" s="12" t="n"/>
      <c r="K132" s="10" t="n"/>
      <c r="L132" s="10" t="n"/>
      <c r="M132" s="12" t="n"/>
      <c r="N132" s="13" t="n"/>
      <c r="O132" s="14" t="n"/>
      <c r="P132" s="15" t="n"/>
      <c r="Q132" s="10" t="n"/>
      <c r="R132" s="10" t="n"/>
      <c r="S132" s="10" t="n"/>
      <c r="T132" s="15" t="n"/>
      <c r="U132" s="15" t="n"/>
      <c r="V132" s="10" t="n"/>
      <c r="W132" s="10" t="n"/>
      <c r="X132" s="10" t="n"/>
      <c r="Y132" s="16" t="n"/>
      <c r="Z132" s="16" t="n"/>
      <c r="AA132" s="10" t="n"/>
      <c r="AB132" s="10" t="n"/>
    </row>
    <row r="133">
      <c r="A133" t="inlineStr">
        <is>
          <t>Mwanza</t>
        </is>
      </c>
      <c r="B133" t="inlineStr">
        <is>
          <t>Mwanza City</t>
        </is>
      </c>
      <c r="C133" t="inlineStr">
        <is>
          <t>C135</t>
        </is>
      </c>
      <c r="D133" s="10" t="n"/>
      <c r="E133" s="10" t="n"/>
      <c r="F133" s="10" t="n"/>
      <c r="G133" s="11" t="n"/>
      <c r="H133" s="11" t="n"/>
      <c r="I133" s="11" t="n"/>
      <c r="J133" s="12" t="n"/>
      <c r="K133" s="10" t="n"/>
      <c r="L133" s="10" t="n"/>
      <c r="M133" s="12" t="n"/>
      <c r="N133" s="13" t="n"/>
      <c r="O133" s="14" t="n"/>
      <c r="P133" s="15" t="n"/>
      <c r="Q133" s="10" t="n"/>
      <c r="R133" s="10" t="n"/>
      <c r="S133" s="10" t="n"/>
      <c r="T133" s="15" t="n"/>
      <c r="U133" s="15" t="n"/>
      <c r="V133" s="10" t="n"/>
      <c r="W133" s="10" t="n"/>
      <c r="X133" s="10" t="n"/>
      <c r="Y133" s="16" t="n"/>
      <c r="Z133" s="16" t="n"/>
      <c r="AA133" s="10" t="n"/>
      <c r="AB133" s="10" t="n"/>
    </row>
    <row r="134">
      <c r="A134" t="inlineStr">
        <is>
          <t>Mwanza</t>
        </is>
      </c>
      <c r="B134" t="inlineStr">
        <is>
          <t>Sengerema District</t>
        </is>
      </c>
      <c r="C134" t="inlineStr">
        <is>
          <t>C137</t>
        </is>
      </c>
      <c r="D134" s="10" t="n"/>
      <c r="E134" s="10" t="n"/>
      <c r="F134" s="10" t="n"/>
      <c r="G134" s="11" t="n"/>
      <c r="H134" s="11" t="n"/>
      <c r="I134" s="11" t="n"/>
      <c r="J134" s="12" t="n"/>
      <c r="K134" s="10" t="n"/>
      <c r="L134" s="10" t="n"/>
      <c r="M134" s="12" t="n"/>
      <c r="N134" s="13" t="n"/>
      <c r="O134" s="14" t="n"/>
      <c r="P134" s="15" t="n"/>
      <c r="Q134" s="10" t="n"/>
      <c r="R134" s="10" t="n"/>
      <c r="S134" s="10" t="n"/>
      <c r="T134" s="15" t="n"/>
      <c r="U134" s="15" t="n"/>
      <c r="V134" s="10" t="n"/>
      <c r="W134" s="10" t="n"/>
      <c r="X134" s="10" t="n"/>
      <c r="Y134" s="16" t="n"/>
      <c r="Z134" s="16" t="n"/>
      <c r="AA134" s="10" t="n"/>
      <c r="AB134" s="10" t="n"/>
    </row>
    <row r="135">
      <c r="A135" t="inlineStr">
        <is>
          <t>Mwanza</t>
        </is>
      </c>
      <c r="B135" t="inlineStr">
        <is>
          <t>Ukerewe District</t>
        </is>
      </c>
      <c r="C135" t="inlineStr">
        <is>
          <t>C133</t>
        </is>
      </c>
      <c r="D135" s="10" t="n"/>
      <c r="E135" s="10" t="n"/>
      <c r="F135" s="10" t="n"/>
      <c r="G135" s="11" t="n"/>
      <c r="H135" s="11" t="n"/>
      <c r="I135" s="11" t="n"/>
      <c r="J135" s="12" t="n"/>
      <c r="K135" s="10" t="n"/>
      <c r="L135" s="10" t="n"/>
      <c r="M135" s="12" t="n"/>
      <c r="N135" s="13" t="n"/>
      <c r="O135" s="14" t="n"/>
      <c r="P135" s="15" t="n"/>
      <c r="Q135" s="10" t="n"/>
      <c r="R135" s="10" t="n"/>
      <c r="S135" s="10" t="n"/>
      <c r="T135" s="15" t="n"/>
      <c r="U135" s="15" t="n"/>
      <c r="V135" s="10" t="n"/>
      <c r="W135" s="10" t="n"/>
      <c r="X135" s="10" t="n"/>
      <c r="Y135" s="16" t="n"/>
      <c r="Z135" s="16" t="n"/>
      <c r="AA135" s="10" t="n"/>
      <c r="AB135" s="10" t="n"/>
    </row>
    <row r="136">
      <c r="A136" t="inlineStr">
        <is>
          <t>Njombe</t>
        </is>
      </c>
      <c r="B136" t="inlineStr">
        <is>
          <t>Ludewa District</t>
        </is>
      </c>
      <c r="C136" t="inlineStr">
        <is>
          <t>C160</t>
        </is>
      </c>
      <c r="D136" s="10" t="n"/>
      <c r="E136" s="10" t="n"/>
      <c r="F136" s="10" t="n"/>
      <c r="G136" s="11" t="n"/>
      <c r="H136" s="11" t="n"/>
      <c r="I136" s="11" t="n"/>
      <c r="J136" s="12" t="n"/>
      <c r="K136" s="10" t="n"/>
      <c r="L136" s="10" t="n"/>
      <c r="M136" s="12" t="n"/>
      <c r="N136" s="13" t="n"/>
      <c r="O136" s="14" t="n"/>
      <c r="P136" s="15" t="n"/>
      <c r="Q136" s="10" t="n"/>
      <c r="R136" s="10" t="n"/>
      <c r="S136" s="10" t="n"/>
      <c r="T136" s="15" t="n"/>
      <c r="U136" s="15" t="n"/>
      <c r="V136" s="10" t="n"/>
      <c r="W136" s="10" t="n"/>
      <c r="X136" s="10" t="n"/>
      <c r="Y136" s="16" t="n"/>
      <c r="Z136" s="16" t="n"/>
      <c r="AA136" s="10" t="n"/>
      <c r="AB136" s="10" t="n"/>
    </row>
    <row r="137">
      <c r="A137" t="inlineStr">
        <is>
          <t>Njombe</t>
        </is>
      </c>
      <c r="B137" t="inlineStr">
        <is>
          <t>Makambako Town</t>
        </is>
      </c>
      <c r="C137" t="inlineStr">
        <is>
          <t>C159</t>
        </is>
      </c>
      <c r="D137" s="10" t="n"/>
      <c r="E137" s="10" t="n"/>
      <c r="F137" s="10" t="n"/>
      <c r="G137" s="11" t="n"/>
      <c r="H137" s="11" t="n"/>
      <c r="I137" s="11" t="n"/>
      <c r="J137" s="12" t="n"/>
      <c r="K137" s="10" t="n"/>
      <c r="L137" s="10" t="n"/>
      <c r="M137" s="12" t="n"/>
      <c r="N137" s="13" t="n"/>
      <c r="O137" s="14" t="n"/>
      <c r="P137" s="15" t="n"/>
      <c r="Q137" s="10" t="n"/>
      <c r="R137" s="10" t="n"/>
      <c r="S137" s="10" t="n"/>
      <c r="T137" s="15" t="n"/>
      <c r="U137" s="15" t="n"/>
      <c r="V137" s="10" t="n"/>
      <c r="W137" s="10" t="n"/>
      <c r="X137" s="10" t="n"/>
      <c r="Y137" s="16" t="n"/>
      <c r="Z137" s="16" t="n"/>
      <c r="AA137" s="10" t="n"/>
      <c r="AB137" s="10" t="n"/>
    </row>
    <row r="138">
      <c r="A138" t="inlineStr">
        <is>
          <t>Njombe</t>
        </is>
      </c>
      <c r="B138" t="inlineStr">
        <is>
          <t>Makete District</t>
        </is>
      </c>
      <c r="C138" t="inlineStr">
        <is>
          <t>C161</t>
        </is>
      </c>
      <c r="D138" s="10" t="n"/>
      <c r="E138" s="10" t="n"/>
      <c r="F138" s="10" t="n"/>
      <c r="G138" s="11" t="n"/>
      <c r="H138" s="11" t="n"/>
      <c r="I138" s="11" t="n"/>
      <c r="J138" s="12" t="n"/>
      <c r="K138" s="10" t="n"/>
      <c r="L138" s="10" t="n"/>
      <c r="M138" s="12" t="n"/>
      <c r="N138" s="13" t="n"/>
      <c r="O138" s="14" t="n"/>
      <c r="P138" s="15" t="n"/>
      <c r="Q138" s="10" t="n"/>
      <c r="R138" s="10" t="n"/>
      <c r="S138" s="10" t="n"/>
      <c r="T138" s="15" t="n"/>
      <c r="U138" s="15" t="n"/>
      <c r="V138" s="10" t="n"/>
      <c r="W138" s="10" t="n"/>
      <c r="X138" s="10" t="n"/>
      <c r="Y138" s="16" t="n"/>
      <c r="Z138" s="16" t="n"/>
      <c r="AA138" s="10" t="n"/>
      <c r="AB138" s="10" t="n"/>
    </row>
    <row r="139">
      <c r="A139" t="inlineStr">
        <is>
          <t>Njombe</t>
        </is>
      </c>
      <c r="B139" t="inlineStr">
        <is>
          <t>Njombe District</t>
        </is>
      </c>
      <c r="C139" t="inlineStr">
        <is>
          <t>C157</t>
        </is>
      </c>
      <c r="D139" s="10" t="n"/>
      <c r="E139" s="10" t="n"/>
      <c r="F139" s="10" t="n"/>
      <c r="G139" s="11" t="n"/>
      <c r="H139" s="11" t="n"/>
      <c r="I139" s="11" t="n"/>
      <c r="J139" s="12" t="n"/>
      <c r="K139" s="10" t="n"/>
      <c r="L139" s="10" t="n"/>
      <c r="M139" s="12" t="n"/>
      <c r="N139" s="13" t="n"/>
      <c r="O139" s="14" t="n"/>
      <c r="P139" s="15" t="n"/>
      <c r="Q139" s="10" t="n"/>
      <c r="R139" s="10" t="n"/>
      <c r="S139" s="10" t="n"/>
      <c r="T139" s="15" t="n"/>
      <c r="U139" s="15" t="n"/>
      <c r="V139" s="10" t="n"/>
      <c r="W139" s="10" t="n"/>
      <c r="X139" s="10" t="n"/>
      <c r="Y139" s="16" t="n"/>
      <c r="Z139" s="16" t="n"/>
      <c r="AA139" s="10" t="n"/>
      <c r="AB139" s="10" t="n"/>
    </row>
    <row r="140">
      <c r="A140" t="inlineStr">
        <is>
          <t>Njombe</t>
        </is>
      </c>
      <c r="B140" t="inlineStr">
        <is>
          <t>Njombe Town</t>
        </is>
      </c>
      <c r="C140" t="inlineStr">
        <is>
          <t>C158</t>
        </is>
      </c>
      <c r="D140" s="10" t="n"/>
      <c r="E140" s="10" t="n"/>
      <c r="F140" s="10" t="n"/>
      <c r="G140" s="11" t="n"/>
      <c r="H140" s="11" t="n"/>
      <c r="I140" s="11" t="n"/>
      <c r="J140" s="12" t="n"/>
      <c r="K140" s="10" t="n"/>
      <c r="L140" s="10" t="n"/>
      <c r="M140" s="12" t="n"/>
      <c r="N140" s="13" t="n"/>
      <c r="O140" s="14" t="n"/>
      <c r="P140" s="15" t="n"/>
      <c r="Q140" s="10" t="n"/>
      <c r="R140" s="10" t="n"/>
      <c r="S140" s="10" t="n"/>
      <c r="T140" s="15" t="n"/>
      <c r="U140" s="15" t="n"/>
      <c r="V140" s="10" t="n"/>
      <c r="W140" s="10" t="n"/>
      <c r="X140" s="10" t="n"/>
      <c r="Y140" s="16" t="n"/>
      <c r="Z140" s="16" t="n"/>
      <c r="AA140" s="10" t="n"/>
      <c r="AB140" s="10" t="n"/>
    </row>
    <row r="141">
      <c r="A141" t="inlineStr">
        <is>
          <t>Njombe</t>
        </is>
      </c>
      <c r="B141" t="inlineStr">
        <is>
          <t>Wanging'Ombe District</t>
        </is>
      </c>
      <c r="C141" t="inlineStr">
        <is>
          <t>C162</t>
        </is>
      </c>
      <c r="D141" s="10" t="n"/>
      <c r="E141" s="10" t="n"/>
      <c r="F141" s="10" t="n"/>
      <c r="G141" s="11" t="n"/>
      <c r="H141" s="11" t="n"/>
      <c r="I141" s="11" t="n"/>
      <c r="J141" s="12" t="n"/>
      <c r="K141" s="10" t="n"/>
      <c r="L141" s="10" t="n"/>
      <c r="M141" s="12" t="n"/>
      <c r="N141" s="13" t="n"/>
      <c r="O141" s="14" t="n"/>
      <c r="P141" s="15" t="n"/>
      <c r="Q141" s="10" t="n"/>
      <c r="R141" s="10" t="n"/>
      <c r="S141" s="10" t="n"/>
      <c r="T141" s="15" t="n"/>
      <c r="U141" s="15" t="n"/>
      <c r="V141" s="10" t="n"/>
      <c r="W141" s="10" t="n"/>
      <c r="X141" s="10" t="n"/>
      <c r="Y141" s="16" t="n"/>
      <c r="Z141" s="16" t="n"/>
      <c r="AA141" s="10" t="n"/>
      <c r="AB141" s="10" t="n"/>
    </row>
    <row r="142">
      <c r="A142" t="inlineStr">
        <is>
          <t>Pwani</t>
        </is>
      </c>
      <c r="B142" t="inlineStr">
        <is>
          <t>Bagamoyo District</t>
        </is>
      </c>
      <c r="C142" t="inlineStr">
        <is>
          <t>C043</t>
        </is>
      </c>
      <c r="D142" s="10" t="n"/>
      <c r="E142" s="10" t="n"/>
      <c r="F142" s="10" t="n"/>
      <c r="G142" s="11" t="n"/>
      <c r="H142" s="11" t="n"/>
      <c r="I142" s="11" t="n"/>
      <c r="J142" s="12" t="n"/>
      <c r="K142" s="10" t="n"/>
      <c r="L142" s="10" t="n"/>
      <c r="M142" s="12" t="n"/>
      <c r="N142" s="13" t="n"/>
      <c r="O142" s="14" t="n"/>
      <c r="P142" s="15" t="n"/>
      <c r="Q142" s="10" t="n"/>
      <c r="R142" s="10" t="n"/>
      <c r="S142" s="10" t="n"/>
      <c r="T142" s="15" t="n"/>
      <c r="U142" s="15" t="n"/>
      <c r="V142" s="10" t="n"/>
      <c r="W142" s="10" t="n"/>
      <c r="X142" s="10" t="n"/>
      <c r="Y142" s="16" t="n"/>
      <c r="Z142" s="16" t="n"/>
      <c r="AA142" s="10" t="n"/>
      <c r="AB142" s="10" t="n"/>
    </row>
    <row r="143">
      <c r="A143" t="inlineStr">
        <is>
          <t>Pwani</t>
        </is>
      </c>
      <c r="B143" t="inlineStr">
        <is>
          <t>Chalinze District</t>
        </is>
      </c>
      <c r="C143" t="inlineStr">
        <is>
          <t>C044</t>
        </is>
      </c>
      <c r="D143" s="10" t="n"/>
      <c r="E143" s="10" t="n"/>
      <c r="F143" s="10" t="n"/>
      <c r="G143" s="11" t="n"/>
      <c r="H143" s="11" t="n"/>
      <c r="I143" s="11" t="n"/>
      <c r="J143" s="12" t="n"/>
      <c r="K143" s="10" t="n"/>
      <c r="L143" s="10" t="n"/>
      <c r="M143" s="12" t="n"/>
      <c r="N143" s="13" t="n"/>
      <c r="O143" s="14" t="n"/>
      <c r="P143" s="15" t="n"/>
      <c r="Q143" s="10" t="n"/>
      <c r="R143" s="10" t="n"/>
      <c r="S143" s="10" t="n"/>
      <c r="T143" s="15" t="n"/>
      <c r="U143" s="15" t="n"/>
      <c r="V143" s="10" t="n"/>
      <c r="W143" s="10" t="n"/>
      <c r="X143" s="10" t="n"/>
      <c r="Y143" s="16" t="n"/>
      <c r="Z143" s="16" t="n"/>
      <c r="AA143" s="10" t="n"/>
      <c r="AB143" s="10" t="n"/>
    </row>
    <row r="144">
      <c r="A144" t="inlineStr">
        <is>
          <t>Pwani</t>
        </is>
      </c>
      <c r="B144" t="inlineStr">
        <is>
          <t>Kibaha District</t>
        </is>
      </c>
      <c r="C144" t="inlineStr">
        <is>
          <t>C045</t>
        </is>
      </c>
      <c r="D144" s="10" t="n"/>
      <c r="E144" s="10" t="n"/>
      <c r="F144" s="10" t="n"/>
      <c r="G144" s="11" t="n"/>
      <c r="H144" s="11" t="n"/>
      <c r="I144" s="11" t="n"/>
      <c r="J144" s="12" t="n"/>
      <c r="K144" s="10" t="n"/>
      <c r="L144" s="10" t="n"/>
      <c r="M144" s="12" t="n"/>
      <c r="N144" s="13" t="n"/>
      <c r="O144" s="14" t="n"/>
      <c r="P144" s="15" t="n"/>
      <c r="Q144" s="10" t="n"/>
      <c r="R144" s="10" t="n"/>
      <c r="S144" s="10" t="n"/>
      <c r="T144" s="15" t="n"/>
      <c r="U144" s="15" t="n"/>
      <c r="V144" s="10" t="n"/>
      <c r="W144" s="10" t="n"/>
      <c r="X144" s="10" t="n"/>
      <c r="Y144" s="16" t="n"/>
      <c r="Z144" s="16" t="n"/>
      <c r="AA144" s="10" t="n"/>
      <c r="AB144" s="10" t="n"/>
    </row>
    <row r="145">
      <c r="A145" t="inlineStr">
        <is>
          <t>Pwani</t>
        </is>
      </c>
      <c r="B145" t="inlineStr">
        <is>
          <t>Kibaha Town</t>
        </is>
      </c>
      <c r="C145" t="inlineStr">
        <is>
          <t>C046</t>
        </is>
      </c>
      <c r="D145" s="10" t="n"/>
      <c r="E145" s="10" t="n"/>
      <c r="F145" s="10" t="n"/>
      <c r="G145" s="11" t="n"/>
      <c r="H145" s="11" t="n"/>
      <c r="I145" s="11" t="n"/>
      <c r="J145" s="12" t="n"/>
      <c r="K145" s="10" t="n"/>
      <c r="L145" s="10" t="n"/>
      <c r="M145" s="12" t="n"/>
      <c r="N145" s="13" t="n"/>
      <c r="O145" s="14" t="n"/>
      <c r="P145" s="15" t="n"/>
      <c r="Q145" s="10" t="n"/>
      <c r="R145" s="10" t="n"/>
      <c r="S145" s="10" t="n"/>
      <c r="T145" s="15" t="n"/>
      <c r="U145" s="15" t="n"/>
      <c r="V145" s="10" t="n"/>
      <c r="W145" s="10" t="n"/>
      <c r="X145" s="10" t="n"/>
      <c r="Y145" s="16" t="n"/>
      <c r="Z145" s="16" t="n"/>
      <c r="AA145" s="10" t="n"/>
      <c r="AB145" s="10" t="n"/>
    </row>
    <row r="146">
      <c r="A146" t="inlineStr">
        <is>
          <t>Pwani</t>
        </is>
      </c>
      <c r="B146" t="inlineStr">
        <is>
          <t>Kibiti District</t>
        </is>
      </c>
      <c r="C146" t="inlineStr">
        <is>
          <t>C051</t>
        </is>
      </c>
      <c r="D146" s="10" t="n"/>
      <c r="E146" s="10" t="n"/>
      <c r="F146" s="10" t="n"/>
      <c r="G146" s="11" t="n"/>
      <c r="H146" s="11" t="n"/>
      <c r="I146" s="11" t="n"/>
      <c r="J146" s="12" t="n"/>
      <c r="K146" s="10" t="n"/>
      <c r="L146" s="10" t="n"/>
      <c r="M146" s="12" t="n"/>
      <c r="N146" s="13" t="n"/>
      <c r="O146" s="14" t="n"/>
      <c r="P146" s="15" t="n"/>
      <c r="Q146" s="10" t="n"/>
      <c r="R146" s="10" t="n"/>
      <c r="S146" s="10" t="n"/>
      <c r="T146" s="15" t="n"/>
      <c r="U146" s="15" t="n"/>
      <c r="V146" s="10" t="n"/>
      <c r="W146" s="10" t="n"/>
      <c r="X146" s="10" t="n"/>
      <c r="Y146" s="16" t="n"/>
      <c r="Z146" s="16" t="n"/>
      <c r="AA146" s="10" t="n"/>
      <c r="AB146" s="10" t="n"/>
    </row>
    <row r="147">
      <c r="A147" t="inlineStr">
        <is>
          <t>Pwani</t>
        </is>
      </c>
      <c r="B147" t="inlineStr">
        <is>
          <t>Kisarawe District</t>
        </is>
      </c>
      <c r="C147" t="inlineStr">
        <is>
          <t>C047</t>
        </is>
      </c>
      <c r="D147" s="10" t="n"/>
      <c r="E147" s="10" t="n"/>
      <c r="F147" s="10" t="n"/>
      <c r="G147" s="11" t="n"/>
      <c r="H147" s="11" t="n"/>
      <c r="I147" s="11" t="n"/>
      <c r="J147" s="12" t="n"/>
      <c r="K147" s="10" t="n"/>
      <c r="L147" s="10" t="n"/>
      <c r="M147" s="12" t="n"/>
      <c r="N147" s="13" t="n"/>
      <c r="O147" s="14" t="n"/>
      <c r="P147" s="15" t="n"/>
      <c r="Q147" s="10" t="n"/>
      <c r="R147" s="10" t="n"/>
      <c r="S147" s="10" t="n"/>
      <c r="T147" s="15" t="n"/>
      <c r="U147" s="15" t="n"/>
      <c r="V147" s="10" t="n"/>
      <c r="W147" s="10" t="n"/>
      <c r="X147" s="10" t="n"/>
      <c r="Y147" s="16" t="n"/>
      <c r="Z147" s="16" t="n"/>
      <c r="AA147" s="10" t="n"/>
      <c r="AB147" s="10" t="n"/>
    </row>
    <row r="148">
      <c r="A148" t="inlineStr">
        <is>
          <t>Pwani</t>
        </is>
      </c>
      <c r="B148" t="inlineStr">
        <is>
          <t>Mafia District</t>
        </is>
      </c>
      <c r="C148" t="inlineStr">
        <is>
          <t>C050</t>
        </is>
      </c>
      <c r="D148" s="10" t="n"/>
      <c r="E148" s="10" t="n"/>
      <c r="F148" s="10" t="n"/>
      <c r="G148" s="11" t="n"/>
      <c r="H148" s="11" t="n"/>
      <c r="I148" s="11" t="n"/>
      <c r="J148" s="12" t="n"/>
      <c r="K148" s="10" t="n"/>
      <c r="L148" s="10" t="n"/>
      <c r="M148" s="12" t="n"/>
      <c r="N148" s="13" t="n"/>
      <c r="O148" s="14" t="n"/>
      <c r="P148" s="15" t="n"/>
      <c r="Q148" s="10" t="n"/>
      <c r="R148" s="10" t="n"/>
      <c r="S148" s="10" t="n"/>
      <c r="T148" s="15" t="n"/>
      <c r="U148" s="15" t="n"/>
      <c r="V148" s="10" t="n"/>
      <c r="W148" s="10" t="n"/>
      <c r="X148" s="10" t="n"/>
      <c r="Y148" s="16" t="n"/>
      <c r="Z148" s="16" t="n"/>
      <c r="AA148" s="10" t="n"/>
      <c r="AB148" s="10" t="n"/>
    </row>
    <row r="149">
      <c r="A149" t="inlineStr">
        <is>
          <t>Pwani</t>
        </is>
      </c>
      <c r="B149" t="inlineStr">
        <is>
          <t>Mkuranga District</t>
        </is>
      </c>
      <c r="C149" t="inlineStr">
        <is>
          <t>C048</t>
        </is>
      </c>
      <c r="D149" s="10" t="n"/>
      <c r="E149" s="10" t="n"/>
      <c r="F149" s="10" t="n"/>
      <c r="G149" s="11" t="n"/>
      <c r="H149" s="11" t="n"/>
      <c r="I149" s="11" t="n"/>
      <c r="J149" s="12" t="n"/>
      <c r="K149" s="10" t="n"/>
      <c r="L149" s="10" t="n"/>
      <c r="M149" s="12" t="n"/>
      <c r="N149" s="13" t="n"/>
      <c r="O149" s="14" t="n"/>
      <c r="P149" s="15" t="n"/>
      <c r="Q149" s="10" t="n"/>
      <c r="R149" s="10" t="n"/>
      <c r="S149" s="10" t="n"/>
      <c r="T149" s="15" t="n"/>
      <c r="U149" s="15" t="n"/>
      <c r="V149" s="10" t="n"/>
      <c r="W149" s="10" t="n"/>
      <c r="X149" s="10" t="n"/>
      <c r="Y149" s="16" t="n"/>
      <c r="Z149" s="16" t="n"/>
      <c r="AA149" s="10" t="n"/>
      <c r="AB149" s="10" t="n"/>
    </row>
    <row r="150">
      <c r="A150" t="inlineStr">
        <is>
          <t>Pwani</t>
        </is>
      </c>
      <c r="B150" t="inlineStr">
        <is>
          <t>Rufiji District</t>
        </is>
      </c>
      <c r="C150" t="inlineStr">
        <is>
          <t>C049</t>
        </is>
      </c>
      <c r="D150" s="10" t="n"/>
      <c r="E150" s="10" t="n"/>
      <c r="F150" s="10" t="n"/>
      <c r="G150" s="11" t="n"/>
      <c r="H150" s="11" t="n"/>
      <c r="I150" s="11" t="n"/>
      <c r="J150" s="12" t="n"/>
      <c r="K150" s="10" t="n"/>
      <c r="L150" s="10" t="n"/>
      <c r="M150" s="12" t="n"/>
      <c r="N150" s="13" t="n"/>
      <c r="O150" s="14" t="n"/>
      <c r="P150" s="15" t="n"/>
      <c r="Q150" s="10" t="n"/>
      <c r="R150" s="10" t="n"/>
      <c r="S150" s="10" t="n"/>
      <c r="T150" s="15" t="n"/>
      <c r="U150" s="15" t="n"/>
      <c r="V150" s="10" t="n"/>
      <c r="W150" s="10" t="n"/>
      <c r="X150" s="10" t="n"/>
      <c r="Y150" s="16" t="n"/>
      <c r="Z150" s="16" t="n"/>
      <c r="AA150" s="10" t="n"/>
      <c r="AB150" s="10" t="n"/>
    </row>
    <row r="151">
      <c r="A151" t="inlineStr">
        <is>
          <t>Rukwa</t>
        </is>
      </c>
      <c r="B151" t="inlineStr">
        <is>
          <t>Kalambo District</t>
        </is>
      </c>
      <c r="C151" t="inlineStr">
        <is>
          <t>C107</t>
        </is>
      </c>
      <c r="D151" s="10" t="n"/>
      <c r="E151" s="10" t="n"/>
      <c r="F151" s="10" t="n"/>
      <c r="G151" s="11" t="n"/>
      <c r="H151" s="11" t="n"/>
      <c r="I151" s="11" t="n"/>
      <c r="J151" s="12" t="n"/>
      <c r="K151" s="10" t="n"/>
      <c r="L151" s="10" t="n"/>
      <c r="M151" s="12" t="n"/>
      <c r="N151" s="13" t="n"/>
      <c r="O151" s="14" t="n"/>
      <c r="P151" s="15" t="n"/>
      <c r="Q151" s="10" t="n"/>
      <c r="R151" s="10" t="n"/>
      <c r="S151" s="10" t="n"/>
      <c r="T151" s="15" t="n"/>
      <c r="U151" s="15" t="n"/>
      <c r="V151" s="10" t="n"/>
      <c r="W151" s="10" t="n"/>
      <c r="X151" s="10" t="n"/>
      <c r="Y151" s="16" t="n"/>
      <c r="Z151" s="16" t="n"/>
      <c r="AA151" s="10" t="n"/>
      <c r="AB151" s="10" t="n"/>
    </row>
    <row r="152">
      <c r="A152" t="inlineStr">
        <is>
          <t>Rukwa</t>
        </is>
      </c>
      <c r="B152" t="inlineStr">
        <is>
          <t>Nkasi District</t>
        </is>
      </c>
      <c r="C152" t="inlineStr">
        <is>
          <t>C110</t>
        </is>
      </c>
      <c r="D152" s="10" t="n"/>
      <c r="E152" s="10" t="n"/>
      <c r="F152" s="10" t="n"/>
      <c r="G152" s="11" t="n"/>
      <c r="H152" s="11" t="n"/>
      <c r="I152" s="11" t="n"/>
      <c r="J152" s="12" t="n"/>
      <c r="K152" s="10" t="n"/>
      <c r="L152" s="10" t="n"/>
      <c r="M152" s="12" t="n"/>
      <c r="N152" s="13" t="n"/>
      <c r="O152" s="14" t="n"/>
      <c r="P152" s="15" t="n"/>
      <c r="Q152" s="10" t="n"/>
      <c r="R152" s="10" t="n"/>
      <c r="S152" s="10" t="n"/>
      <c r="T152" s="15" t="n"/>
      <c r="U152" s="15" t="n"/>
      <c r="V152" s="10" t="n"/>
      <c r="W152" s="10" t="n"/>
      <c r="X152" s="10" t="n"/>
      <c r="Y152" s="16" t="n"/>
      <c r="Z152" s="16" t="n"/>
      <c r="AA152" s="10" t="n"/>
      <c r="AB152" s="10" t="n"/>
    </row>
    <row r="153">
      <c r="A153" t="inlineStr">
        <is>
          <t>Rukwa</t>
        </is>
      </c>
      <c r="B153" t="inlineStr">
        <is>
          <t>Sumbawanga District</t>
        </is>
      </c>
      <c r="C153" t="inlineStr">
        <is>
          <t>C108</t>
        </is>
      </c>
      <c r="D153" s="10" t="n"/>
      <c r="E153" s="10" t="n"/>
      <c r="F153" s="10" t="n"/>
      <c r="G153" s="11" t="n"/>
      <c r="H153" s="11" t="n"/>
      <c r="I153" s="11" t="n"/>
      <c r="J153" s="12" t="n"/>
      <c r="K153" s="10" t="n"/>
      <c r="L153" s="10" t="n"/>
      <c r="M153" s="12" t="n"/>
      <c r="N153" s="13" t="n"/>
      <c r="O153" s="14" t="n"/>
      <c r="P153" s="15" t="n"/>
      <c r="Q153" s="10" t="n"/>
      <c r="R153" s="10" t="n"/>
      <c r="S153" s="10" t="n"/>
      <c r="T153" s="15" t="n"/>
      <c r="U153" s="15" t="n"/>
      <c r="V153" s="10" t="n"/>
      <c r="W153" s="10" t="n"/>
      <c r="X153" s="10" t="n"/>
      <c r="Y153" s="16" t="n"/>
      <c r="Z153" s="16" t="n"/>
      <c r="AA153" s="10" t="n"/>
      <c r="AB153" s="10" t="n"/>
    </row>
    <row r="154">
      <c r="A154" t="inlineStr">
        <is>
          <t>Rukwa</t>
        </is>
      </c>
      <c r="B154" t="inlineStr">
        <is>
          <t>Sumbawanga Municipal</t>
        </is>
      </c>
      <c r="C154" t="inlineStr">
        <is>
          <t>C109</t>
        </is>
      </c>
      <c r="D154" s="10" t="n"/>
      <c r="E154" s="10" t="n"/>
      <c r="F154" s="10" t="n"/>
      <c r="G154" s="11" t="n"/>
      <c r="H154" s="11" t="n"/>
      <c r="I154" s="11" t="n"/>
      <c r="J154" s="12" t="n"/>
      <c r="K154" s="10" t="n"/>
      <c r="L154" s="10" t="n"/>
      <c r="M154" s="12" t="n"/>
      <c r="N154" s="13" t="n"/>
      <c r="O154" s="14" t="n"/>
      <c r="P154" s="15" t="n"/>
      <c r="Q154" s="10" t="n"/>
      <c r="R154" s="10" t="n"/>
      <c r="S154" s="10" t="n"/>
      <c r="T154" s="15" t="n"/>
      <c r="U154" s="15" t="n"/>
      <c r="V154" s="10" t="n"/>
      <c r="W154" s="10" t="n"/>
      <c r="X154" s="10" t="n"/>
      <c r="Y154" s="16" t="n"/>
      <c r="Z154" s="16" t="n"/>
      <c r="AA154" s="10" t="n"/>
      <c r="AB154" s="10" t="n"/>
    </row>
    <row r="155">
      <c r="A155" t="inlineStr">
        <is>
          <t>Ruvuma</t>
        </is>
      </c>
      <c r="B155" t="inlineStr">
        <is>
          <t>Madaba District</t>
        </is>
      </c>
      <c r="C155" t="inlineStr">
        <is>
          <t>C075</t>
        </is>
      </c>
      <c r="D155" s="10" t="n"/>
      <c r="E155" s="10" t="n"/>
      <c r="F155" s="10" t="n"/>
      <c r="G155" s="11" t="n"/>
      <c r="H155" s="11" t="n"/>
      <c r="I155" s="11" t="n"/>
      <c r="J155" s="12" t="n"/>
      <c r="K155" s="10" t="n"/>
      <c r="L155" s="10" t="n"/>
      <c r="M155" s="12" t="n"/>
      <c r="N155" s="13" t="n"/>
      <c r="O155" s="14" t="n"/>
      <c r="P155" s="15" t="n"/>
      <c r="Q155" s="10" t="n"/>
      <c r="R155" s="10" t="n"/>
      <c r="S155" s="10" t="n"/>
      <c r="T155" s="15" t="n"/>
      <c r="U155" s="15" t="n"/>
      <c r="V155" s="10" t="n"/>
      <c r="W155" s="10" t="n"/>
      <c r="X155" s="10" t="n"/>
      <c r="Y155" s="16" t="n"/>
      <c r="Z155" s="16" t="n"/>
      <c r="AA155" s="10" t="n"/>
      <c r="AB155" s="10" t="n"/>
    </row>
    <row r="156">
      <c r="A156" t="inlineStr">
        <is>
          <t>Ruvuma</t>
        </is>
      </c>
      <c r="B156" t="inlineStr">
        <is>
          <t>Mbinga District</t>
        </is>
      </c>
      <c r="C156" t="inlineStr">
        <is>
          <t>C076</t>
        </is>
      </c>
      <c r="D156" s="10" t="n"/>
      <c r="E156" s="10" t="n"/>
      <c r="F156" s="10" t="n"/>
      <c r="G156" s="11" t="n"/>
      <c r="H156" s="11" t="n"/>
      <c r="I156" s="11" t="n"/>
      <c r="J156" s="12" t="n"/>
      <c r="K156" s="10" t="n"/>
      <c r="L156" s="10" t="n"/>
      <c r="M156" s="12" t="n"/>
      <c r="N156" s="13" t="n"/>
      <c r="O156" s="14" t="n"/>
      <c r="P156" s="15" t="n"/>
      <c r="Q156" s="10" t="n"/>
      <c r="R156" s="10" t="n"/>
      <c r="S156" s="10" t="n"/>
      <c r="T156" s="15" t="n"/>
      <c r="U156" s="15" t="n"/>
      <c r="V156" s="10" t="n"/>
      <c r="W156" s="10" t="n"/>
      <c r="X156" s="10" t="n"/>
      <c r="Y156" s="16" t="n"/>
      <c r="Z156" s="16" t="n"/>
      <c r="AA156" s="10" t="n"/>
      <c r="AB156" s="10" t="n"/>
    </row>
    <row r="157">
      <c r="A157" t="inlineStr">
        <is>
          <t>Ruvuma</t>
        </is>
      </c>
      <c r="B157" t="inlineStr">
        <is>
          <t>Mbinga Town</t>
        </is>
      </c>
      <c r="C157" t="inlineStr">
        <is>
          <t>C077</t>
        </is>
      </c>
      <c r="D157" s="10" t="n"/>
      <c r="E157" s="10" t="n"/>
      <c r="F157" s="10" t="n"/>
      <c r="G157" s="11" t="n"/>
      <c r="H157" s="11" t="n"/>
      <c r="I157" s="11" t="n"/>
      <c r="J157" s="12" t="n"/>
      <c r="K157" s="10" t="n"/>
      <c r="L157" s="10" t="n"/>
      <c r="M157" s="12" t="n"/>
      <c r="N157" s="13" t="n"/>
      <c r="O157" s="14" t="n"/>
      <c r="P157" s="15" t="n"/>
      <c r="Q157" s="10" t="n"/>
      <c r="R157" s="10" t="n"/>
      <c r="S157" s="10" t="n"/>
      <c r="T157" s="15" t="n"/>
      <c r="U157" s="15" t="n"/>
      <c r="V157" s="10" t="n"/>
      <c r="W157" s="10" t="n"/>
      <c r="X157" s="10" t="n"/>
      <c r="Y157" s="16" t="n"/>
      <c r="Z157" s="16" t="n"/>
      <c r="AA157" s="10" t="n"/>
      <c r="AB157" s="10" t="n"/>
    </row>
    <row r="158">
      <c r="A158" t="inlineStr">
        <is>
          <t>Ruvuma</t>
        </is>
      </c>
      <c r="B158" t="inlineStr">
        <is>
          <t>Namtumbo District</t>
        </is>
      </c>
      <c r="C158" t="inlineStr">
        <is>
          <t>C079</t>
        </is>
      </c>
      <c r="D158" s="10" t="n"/>
      <c r="E158" s="10" t="n"/>
      <c r="F158" s="10" t="n"/>
      <c r="G158" s="11" t="n"/>
      <c r="H158" s="11" t="n"/>
      <c r="I158" s="11" t="n"/>
      <c r="J158" s="12" t="n"/>
      <c r="K158" s="10" t="n"/>
      <c r="L158" s="10" t="n"/>
      <c r="M158" s="12" t="n"/>
      <c r="N158" s="13" t="n"/>
      <c r="O158" s="14" t="n"/>
      <c r="P158" s="15" t="n"/>
      <c r="Q158" s="10" t="n"/>
      <c r="R158" s="10" t="n"/>
      <c r="S158" s="10" t="n"/>
      <c r="T158" s="15" t="n"/>
      <c r="U158" s="15" t="n"/>
      <c r="V158" s="10" t="n"/>
      <c r="W158" s="10" t="n"/>
      <c r="X158" s="10" t="n"/>
      <c r="Y158" s="16" t="n"/>
      <c r="Z158" s="16" t="n"/>
      <c r="AA158" s="10" t="n"/>
      <c r="AB158" s="10" t="n"/>
    </row>
    <row r="159">
      <c r="A159" t="inlineStr">
        <is>
          <t>Ruvuma</t>
        </is>
      </c>
      <c r="B159" t="inlineStr">
        <is>
          <t>Nyasa District</t>
        </is>
      </c>
      <c r="C159" t="inlineStr">
        <is>
          <t>C078</t>
        </is>
      </c>
      <c r="D159" s="10" t="n"/>
      <c r="E159" s="10" t="n"/>
      <c r="F159" s="10" t="n"/>
      <c r="G159" s="11" t="n"/>
      <c r="H159" s="11" t="n"/>
      <c r="I159" s="11" t="n"/>
      <c r="J159" s="12" t="n"/>
      <c r="K159" s="10" t="n"/>
      <c r="L159" s="10" t="n"/>
      <c r="M159" s="12" t="n"/>
      <c r="N159" s="13" t="n"/>
      <c r="O159" s="14" t="n"/>
      <c r="P159" s="15" t="n"/>
      <c r="Q159" s="10" t="n"/>
      <c r="R159" s="10" t="n"/>
      <c r="S159" s="10" t="n"/>
      <c r="T159" s="15" t="n"/>
      <c r="U159" s="15" t="n"/>
      <c r="V159" s="10" t="n"/>
      <c r="W159" s="10" t="n"/>
      <c r="X159" s="10" t="n"/>
      <c r="Y159" s="16" t="n"/>
      <c r="Z159" s="16" t="n"/>
      <c r="AA159" s="10" t="n"/>
      <c r="AB159" s="10" t="n"/>
    </row>
    <row r="160">
      <c r="A160" t="inlineStr">
        <is>
          <t>Ruvuma</t>
        </is>
      </c>
      <c r="B160" t="inlineStr">
        <is>
          <t>Songea District</t>
        </is>
      </c>
      <c r="C160" t="inlineStr">
        <is>
          <t>C073</t>
        </is>
      </c>
      <c r="D160" s="10" t="n"/>
      <c r="E160" s="10" t="n"/>
      <c r="F160" s="10" t="n"/>
      <c r="G160" s="11" t="n"/>
      <c r="H160" s="11" t="n"/>
      <c r="I160" s="11" t="n"/>
      <c r="J160" s="12" t="n"/>
      <c r="K160" s="10" t="n"/>
      <c r="L160" s="10" t="n"/>
      <c r="M160" s="12" t="n"/>
      <c r="N160" s="13" t="n"/>
      <c r="O160" s="14" t="n"/>
      <c r="P160" s="15" t="n"/>
      <c r="Q160" s="10" t="n"/>
      <c r="R160" s="10" t="n"/>
      <c r="S160" s="10" t="n"/>
      <c r="T160" s="15" t="n"/>
      <c r="U160" s="15" t="n"/>
      <c r="V160" s="10" t="n"/>
      <c r="W160" s="10" t="n"/>
      <c r="X160" s="10" t="n"/>
      <c r="Y160" s="16" t="n"/>
      <c r="Z160" s="16" t="n"/>
      <c r="AA160" s="10" t="n"/>
      <c r="AB160" s="10" t="n"/>
    </row>
    <row r="161">
      <c r="A161" t="inlineStr">
        <is>
          <t>Ruvuma</t>
        </is>
      </c>
      <c r="B161" t="inlineStr">
        <is>
          <t>Songea Municipal</t>
        </is>
      </c>
      <c r="C161" t="inlineStr">
        <is>
          <t>C074</t>
        </is>
      </c>
      <c r="D161" s="10" t="n"/>
      <c r="E161" s="10" t="n"/>
      <c r="F161" s="10" t="n"/>
      <c r="G161" s="11" t="n"/>
      <c r="H161" s="11" t="n"/>
      <c r="I161" s="11" t="n"/>
      <c r="J161" s="12" t="n"/>
      <c r="K161" s="10" t="n"/>
      <c r="L161" s="10" t="n"/>
      <c r="M161" s="12" t="n"/>
      <c r="N161" s="13" t="n"/>
      <c r="O161" s="14" t="n"/>
      <c r="P161" s="15" t="n"/>
      <c r="Q161" s="10" t="n"/>
      <c r="R161" s="10" t="n"/>
      <c r="S161" s="10" t="n"/>
      <c r="T161" s="15" t="n"/>
      <c r="U161" s="15" t="n"/>
      <c r="V161" s="10" t="n"/>
      <c r="W161" s="10" t="n"/>
      <c r="X161" s="10" t="n"/>
      <c r="Y161" s="16" t="n"/>
      <c r="Z161" s="16" t="n"/>
      <c r="AA161" s="10" t="n"/>
      <c r="AB161" s="10" t="n"/>
    </row>
    <row r="162">
      <c r="A162" t="inlineStr">
        <is>
          <t>Ruvuma</t>
        </is>
      </c>
      <c r="B162" t="inlineStr">
        <is>
          <t>Tunduru District</t>
        </is>
      </c>
      <c r="C162" t="inlineStr">
        <is>
          <t>C072</t>
        </is>
      </c>
      <c r="D162" s="10" t="n"/>
      <c r="E162" s="10" t="n"/>
      <c r="F162" s="10" t="n"/>
      <c r="G162" s="11" t="n"/>
      <c r="H162" s="11" t="n"/>
      <c r="I162" s="11" t="n"/>
      <c r="J162" s="12" t="n"/>
      <c r="K162" s="10" t="n"/>
      <c r="L162" s="10" t="n"/>
      <c r="M162" s="12" t="n"/>
      <c r="N162" s="13" t="n"/>
      <c r="O162" s="14" t="n"/>
      <c r="P162" s="15" t="n"/>
      <c r="Q162" s="10" t="n"/>
      <c r="R162" s="10" t="n"/>
      <c r="S162" s="10" t="n"/>
      <c r="T162" s="15" t="n"/>
      <c r="U162" s="15" t="n"/>
      <c r="V162" s="10" t="n"/>
      <c r="W162" s="10" t="n"/>
      <c r="X162" s="10" t="n"/>
      <c r="Y162" s="16" t="n"/>
      <c r="Z162" s="16" t="n"/>
      <c r="AA162" s="10" t="n"/>
      <c r="AB162" s="10" t="n"/>
    </row>
    <row r="163">
      <c r="A163" t="inlineStr">
        <is>
          <t>Shinyanga</t>
        </is>
      </c>
      <c r="B163" t="inlineStr">
        <is>
          <t>Kahama Municipal</t>
        </is>
      </c>
      <c r="C163" t="inlineStr">
        <is>
          <t>C120</t>
        </is>
      </c>
      <c r="D163" s="10" t="n"/>
      <c r="E163" s="10" t="n"/>
      <c r="F163" s="10" t="n"/>
      <c r="G163" s="11" t="n"/>
      <c r="H163" s="11" t="n"/>
      <c r="I163" s="11" t="n"/>
      <c r="J163" s="12" t="n"/>
      <c r="K163" s="10" t="n"/>
      <c r="L163" s="10" t="n"/>
      <c r="M163" s="12" t="n"/>
      <c r="N163" s="13" t="n"/>
      <c r="O163" s="14" t="n"/>
      <c r="P163" s="15" t="n"/>
      <c r="Q163" s="10" t="n"/>
      <c r="R163" s="10" t="n"/>
      <c r="S163" s="10" t="n"/>
      <c r="T163" s="15" t="n"/>
      <c r="U163" s="15" t="n"/>
      <c r="V163" s="10" t="n"/>
      <c r="W163" s="10" t="n"/>
      <c r="X163" s="10" t="n"/>
      <c r="Y163" s="16" t="n"/>
      <c r="Z163" s="16" t="n"/>
      <c r="AA163" s="10" t="n"/>
      <c r="AB163" s="10" t="n"/>
    </row>
    <row r="164">
      <c r="A164" t="inlineStr">
        <is>
          <t>Shinyanga</t>
        </is>
      </c>
      <c r="B164" t="inlineStr">
        <is>
          <t>Kishapu District</t>
        </is>
      </c>
      <c r="C164" t="inlineStr">
        <is>
          <t>C122</t>
        </is>
      </c>
      <c r="D164" s="10" t="n"/>
      <c r="E164" s="10" t="n"/>
      <c r="F164" s="10" t="n"/>
      <c r="G164" s="11" t="n"/>
      <c r="H164" s="11" t="n"/>
      <c r="I164" s="11" t="n"/>
      <c r="J164" s="12" t="n"/>
      <c r="K164" s="10" t="n"/>
      <c r="L164" s="10" t="n"/>
      <c r="M164" s="12" t="n"/>
      <c r="N164" s="13" t="n"/>
      <c r="O164" s="14" t="n"/>
      <c r="P164" s="15" t="n"/>
      <c r="Q164" s="10" t="n"/>
      <c r="R164" s="10" t="n"/>
      <c r="S164" s="10" t="n"/>
      <c r="T164" s="15" t="n"/>
      <c r="U164" s="15" t="n"/>
      <c r="V164" s="10" t="n"/>
      <c r="W164" s="10" t="n"/>
      <c r="X164" s="10" t="n"/>
      <c r="Y164" s="16" t="n"/>
      <c r="Z164" s="16" t="n"/>
      <c r="AA164" s="10" t="n"/>
      <c r="AB164" s="10" t="n"/>
    </row>
    <row r="165">
      <c r="A165" t="inlineStr">
        <is>
          <t>Shinyanga</t>
        </is>
      </c>
      <c r="B165" t="inlineStr">
        <is>
          <t>Msalala District</t>
        </is>
      </c>
      <c r="C165" t="inlineStr">
        <is>
          <t>C121</t>
        </is>
      </c>
      <c r="D165" s="10" t="n"/>
      <c r="E165" s="10" t="n"/>
      <c r="F165" s="10" t="n"/>
      <c r="G165" s="11" t="n"/>
      <c r="H165" s="11" t="n"/>
      <c r="I165" s="11" t="n"/>
      <c r="J165" s="12" t="n"/>
      <c r="K165" s="10" t="n"/>
      <c r="L165" s="10" t="n"/>
      <c r="M165" s="12" t="n"/>
      <c r="N165" s="13" t="n"/>
      <c r="O165" s="14" t="n"/>
      <c r="P165" s="15" t="n"/>
      <c r="Q165" s="10" t="n"/>
      <c r="R165" s="10" t="n"/>
      <c r="S165" s="10" t="n"/>
      <c r="T165" s="15" t="n"/>
      <c r="U165" s="15" t="n"/>
      <c r="V165" s="10" t="n"/>
      <c r="W165" s="10" t="n"/>
      <c r="X165" s="10" t="n"/>
      <c r="Y165" s="16" t="n"/>
      <c r="Z165" s="16" t="n"/>
      <c r="AA165" s="10" t="n"/>
      <c r="AB165" s="10" t="n"/>
    </row>
    <row r="166">
      <c r="A166" t="inlineStr">
        <is>
          <t>Shinyanga</t>
        </is>
      </c>
      <c r="B166" t="inlineStr">
        <is>
          <t>Shinyanga District</t>
        </is>
      </c>
      <c r="C166" t="inlineStr">
        <is>
          <t>C123</t>
        </is>
      </c>
      <c r="D166" s="10" t="n"/>
      <c r="E166" s="10" t="n"/>
      <c r="F166" s="10" t="n"/>
      <c r="G166" s="11" t="n"/>
      <c r="H166" s="11" t="n"/>
      <c r="I166" s="11" t="n"/>
      <c r="J166" s="12" t="n"/>
      <c r="K166" s="10" t="n"/>
      <c r="L166" s="10" t="n"/>
      <c r="M166" s="12" t="n"/>
      <c r="N166" s="13" t="n"/>
      <c r="O166" s="14" t="n"/>
      <c r="P166" s="15" t="n"/>
      <c r="Q166" s="10" t="n"/>
      <c r="R166" s="10" t="n"/>
      <c r="S166" s="10" t="n"/>
      <c r="T166" s="15" t="n"/>
      <c r="U166" s="15" t="n"/>
      <c r="V166" s="10" t="n"/>
      <c r="W166" s="10" t="n"/>
      <c r="X166" s="10" t="n"/>
      <c r="Y166" s="16" t="n"/>
      <c r="Z166" s="16" t="n"/>
      <c r="AA166" s="10" t="n"/>
      <c r="AB166" s="10" t="n"/>
    </row>
    <row r="167">
      <c r="A167" t="inlineStr">
        <is>
          <t>Shinyanga</t>
        </is>
      </c>
      <c r="B167" t="inlineStr">
        <is>
          <t>Shinyanga Municipal</t>
        </is>
      </c>
      <c r="C167" t="inlineStr">
        <is>
          <t>C124</t>
        </is>
      </c>
      <c r="D167" s="10" t="n"/>
      <c r="E167" s="10" t="n"/>
      <c r="F167" s="10" t="n"/>
      <c r="G167" s="11" t="n"/>
      <c r="H167" s="11" t="n"/>
      <c r="I167" s="11" t="n"/>
      <c r="J167" s="12" t="n"/>
      <c r="K167" s="10" t="n"/>
      <c r="L167" s="10" t="n"/>
      <c r="M167" s="12" t="n"/>
      <c r="N167" s="13" t="n"/>
      <c r="O167" s="14" t="n"/>
      <c r="P167" s="15" t="n"/>
      <c r="Q167" s="10" t="n"/>
      <c r="R167" s="10" t="n"/>
      <c r="S167" s="10" t="n"/>
      <c r="T167" s="15" t="n"/>
      <c r="U167" s="15" t="n"/>
      <c r="V167" s="10" t="n"/>
      <c r="W167" s="10" t="n"/>
      <c r="X167" s="10" t="n"/>
      <c r="Y167" s="16" t="n"/>
      <c r="Z167" s="16" t="n"/>
      <c r="AA167" s="10" t="n"/>
      <c r="AB167" s="10" t="n"/>
    </row>
    <row r="168">
      <c r="A168" t="inlineStr">
        <is>
          <t>Shinyanga</t>
        </is>
      </c>
      <c r="B168" t="inlineStr">
        <is>
          <t>Ushetu District</t>
        </is>
      </c>
      <c r="C168" t="inlineStr">
        <is>
          <t>C119</t>
        </is>
      </c>
      <c r="D168" s="10" t="n"/>
      <c r="E168" s="10" t="n"/>
      <c r="F168" s="10" t="n"/>
      <c r="G168" s="11" t="n"/>
      <c r="H168" s="11" t="n"/>
      <c r="I168" s="11" t="n"/>
      <c r="J168" s="12" t="n"/>
      <c r="K168" s="10" t="n"/>
      <c r="L168" s="10" t="n"/>
      <c r="M168" s="12" t="n"/>
      <c r="N168" s="13" t="n"/>
      <c r="O168" s="14" t="n"/>
      <c r="P168" s="15" t="n"/>
      <c r="Q168" s="10" t="n"/>
      <c r="R168" s="10" t="n"/>
      <c r="S168" s="10" t="n"/>
      <c r="T168" s="15" t="n"/>
      <c r="U168" s="15" t="n"/>
      <c r="V168" s="10" t="n"/>
      <c r="W168" s="10" t="n"/>
      <c r="X168" s="10" t="n"/>
      <c r="Y168" s="16" t="n"/>
      <c r="Z168" s="16" t="n"/>
      <c r="AA168" s="10" t="n"/>
      <c r="AB168" s="10" t="n"/>
    </row>
    <row r="169">
      <c r="A169" t="inlineStr">
        <is>
          <t>Simiyu</t>
        </is>
      </c>
      <c r="B169" t="inlineStr">
        <is>
          <t>Bariadi District</t>
        </is>
      </c>
      <c r="C169" t="inlineStr">
        <is>
          <t>C168</t>
        </is>
      </c>
      <c r="D169" s="10" t="n"/>
      <c r="E169" s="10" t="n"/>
      <c r="F169" s="10" t="n"/>
      <c r="G169" s="11" t="n"/>
      <c r="H169" s="11" t="n"/>
      <c r="I169" s="11" t="n"/>
      <c r="J169" s="12" t="n"/>
      <c r="K169" s="10" t="n"/>
      <c r="L169" s="10" t="n"/>
      <c r="M169" s="12" t="n"/>
      <c r="N169" s="13" t="n"/>
      <c r="O169" s="14" t="n"/>
      <c r="P169" s="15" t="n"/>
      <c r="Q169" s="10" t="n"/>
      <c r="R169" s="10" t="n"/>
      <c r="S169" s="10" t="n"/>
      <c r="T169" s="15" t="n"/>
      <c r="U169" s="15" t="n"/>
      <c r="V169" s="10" t="n"/>
      <c r="W169" s="10" t="n"/>
      <c r="X169" s="10" t="n"/>
      <c r="Y169" s="16" t="n"/>
      <c r="Z169" s="16" t="n"/>
      <c r="AA169" s="10" t="n"/>
      <c r="AB169" s="10" t="n"/>
    </row>
    <row r="170">
      <c r="A170" t="inlineStr">
        <is>
          <t>Simiyu</t>
        </is>
      </c>
      <c r="B170" t="inlineStr">
        <is>
          <t>Bariadi Town</t>
        </is>
      </c>
      <c r="C170" t="inlineStr">
        <is>
          <t>C169</t>
        </is>
      </c>
      <c r="D170" s="10" t="n"/>
      <c r="E170" s="10" t="n"/>
      <c r="F170" s="10" t="n"/>
      <c r="G170" s="11" t="n"/>
      <c r="H170" s="11" t="n"/>
      <c r="I170" s="11" t="n"/>
      <c r="J170" s="12" t="n"/>
      <c r="K170" s="10" t="n"/>
      <c r="L170" s="10" t="n"/>
      <c r="M170" s="12" t="n"/>
      <c r="N170" s="13" t="n"/>
      <c r="O170" s="14" t="n"/>
      <c r="P170" s="15" t="n"/>
      <c r="Q170" s="10" t="n"/>
      <c r="R170" s="10" t="n"/>
      <c r="S170" s="10" t="n"/>
      <c r="T170" s="15" t="n"/>
      <c r="U170" s="15" t="n"/>
      <c r="V170" s="10" t="n"/>
      <c r="W170" s="10" t="n"/>
      <c r="X170" s="10" t="n"/>
      <c r="Y170" s="16" t="n"/>
      <c r="Z170" s="16" t="n"/>
      <c r="AA170" s="10" t="n"/>
      <c r="AB170" s="10" t="n"/>
    </row>
    <row r="171">
      <c r="A171" t="inlineStr">
        <is>
          <t>Simiyu</t>
        </is>
      </c>
      <c r="B171" t="inlineStr">
        <is>
          <t>Busega District</t>
        </is>
      </c>
      <c r="C171" t="inlineStr">
        <is>
          <t>C173</t>
        </is>
      </c>
      <c r="D171" s="10" t="n"/>
      <c r="E171" s="10" t="n"/>
      <c r="F171" s="10" t="n"/>
      <c r="G171" s="11" t="n"/>
      <c r="H171" s="11" t="n"/>
      <c r="I171" s="11" t="n"/>
      <c r="J171" s="12" t="n"/>
      <c r="K171" s="10" t="n"/>
      <c r="L171" s="10" t="n"/>
      <c r="M171" s="12" t="n"/>
      <c r="N171" s="13" t="n"/>
      <c r="O171" s="14" t="n"/>
      <c r="P171" s="15" t="n"/>
      <c r="Q171" s="10" t="n"/>
      <c r="R171" s="10" t="n"/>
      <c r="S171" s="10" t="n"/>
      <c r="T171" s="15" t="n"/>
      <c r="U171" s="15" t="n"/>
      <c r="V171" s="10" t="n"/>
      <c r="W171" s="10" t="n"/>
      <c r="X171" s="10" t="n"/>
      <c r="Y171" s="16" t="n"/>
      <c r="Z171" s="16" t="n"/>
      <c r="AA171" s="10" t="n"/>
      <c r="AB171" s="10" t="n"/>
    </row>
    <row r="172">
      <c r="A172" t="inlineStr">
        <is>
          <t>Simiyu</t>
        </is>
      </c>
      <c r="B172" t="inlineStr">
        <is>
          <t>Itilima District</t>
        </is>
      </c>
      <c r="C172" t="inlineStr">
        <is>
          <t>C170</t>
        </is>
      </c>
      <c r="D172" s="10" t="n"/>
      <c r="E172" s="10" t="n"/>
      <c r="F172" s="10" t="n"/>
      <c r="G172" s="11" t="n"/>
      <c r="H172" s="11" t="n"/>
      <c r="I172" s="11" t="n"/>
      <c r="J172" s="12" t="n"/>
      <c r="K172" s="10" t="n"/>
      <c r="L172" s="10" t="n"/>
      <c r="M172" s="12" t="n"/>
      <c r="N172" s="13" t="n"/>
      <c r="O172" s="14" t="n"/>
      <c r="P172" s="15" t="n"/>
      <c r="Q172" s="10" t="n"/>
      <c r="R172" s="10" t="n"/>
      <c r="S172" s="10" t="n"/>
      <c r="T172" s="15" t="n"/>
      <c r="U172" s="15" t="n"/>
      <c r="V172" s="10" t="n"/>
      <c r="W172" s="10" t="n"/>
      <c r="X172" s="10" t="n"/>
      <c r="Y172" s="16" t="n"/>
      <c r="Z172" s="16" t="n"/>
      <c r="AA172" s="10" t="n"/>
      <c r="AB172" s="10" t="n"/>
    </row>
    <row r="173">
      <c r="A173" t="inlineStr">
        <is>
          <t>Simiyu</t>
        </is>
      </c>
      <c r="B173" t="inlineStr">
        <is>
          <t>Maswa District</t>
        </is>
      </c>
      <c r="C173" t="inlineStr">
        <is>
          <t>C172</t>
        </is>
      </c>
      <c r="D173" s="10" t="n"/>
      <c r="E173" s="10" t="n"/>
      <c r="F173" s="10" t="n"/>
      <c r="G173" s="11" t="n"/>
      <c r="H173" s="11" t="n"/>
      <c r="I173" s="11" t="n"/>
      <c r="J173" s="12" t="n"/>
      <c r="K173" s="10" t="n"/>
      <c r="L173" s="10" t="n"/>
      <c r="M173" s="12" t="n"/>
      <c r="N173" s="13" t="n"/>
      <c r="O173" s="14" t="n"/>
      <c r="P173" s="15" t="n"/>
      <c r="Q173" s="10" t="n"/>
      <c r="R173" s="10" t="n"/>
      <c r="S173" s="10" t="n"/>
      <c r="T173" s="15" t="n"/>
      <c r="U173" s="15" t="n"/>
      <c r="V173" s="10" t="n"/>
      <c r="W173" s="10" t="n"/>
      <c r="X173" s="10" t="n"/>
      <c r="Y173" s="16" t="n"/>
      <c r="Z173" s="16" t="n"/>
      <c r="AA173" s="10" t="n"/>
      <c r="AB173" s="10" t="n"/>
    </row>
    <row r="174">
      <c r="A174" t="inlineStr">
        <is>
          <t>Simiyu</t>
        </is>
      </c>
      <c r="B174" t="inlineStr">
        <is>
          <t>Meatu District</t>
        </is>
      </c>
      <c r="C174" t="inlineStr">
        <is>
          <t>C171</t>
        </is>
      </c>
      <c r="D174" s="10" t="n"/>
      <c r="E174" s="10" t="n"/>
      <c r="F174" s="10" t="n"/>
      <c r="G174" s="11" t="n"/>
      <c r="H174" s="11" t="n"/>
      <c r="I174" s="11" t="n"/>
      <c r="J174" s="12" t="n"/>
      <c r="K174" s="10" t="n"/>
      <c r="L174" s="10" t="n"/>
      <c r="M174" s="12" t="n"/>
      <c r="N174" s="13" t="n"/>
      <c r="O174" s="14" t="n"/>
      <c r="P174" s="15" t="n"/>
      <c r="Q174" s="10" t="n"/>
      <c r="R174" s="10" t="n"/>
      <c r="S174" s="10" t="n"/>
      <c r="T174" s="15" t="n"/>
      <c r="U174" s="15" t="n"/>
      <c r="V174" s="10" t="n"/>
      <c r="W174" s="10" t="n"/>
      <c r="X174" s="10" t="n"/>
      <c r="Y174" s="16" t="n"/>
      <c r="Z174" s="16" t="n"/>
      <c r="AA174" s="10" t="n"/>
      <c r="AB174" s="10" t="n"/>
    </row>
    <row r="175">
      <c r="A175" t="inlineStr">
        <is>
          <t>Singida</t>
        </is>
      </c>
      <c r="B175" t="inlineStr">
        <is>
          <t>Ikungi District</t>
        </is>
      </c>
      <c r="C175" t="inlineStr">
        <is>
          <t>C097</t>
        </is>
      </c>
      <c r="D175" s="10" t="n"/>
      <c r="E175" s="10" t="n"/>
      <c r="F175" s="10" t="n"/>
      <c r="G175" s="11" t="n"/>
      <c r="H175" s="11" t="n"/>
      <c r="I175" s="11" t="n"/>
      <c r="J175" s="12" t="n"/>
      <c r="K175" s="10" t="n"/>
      <c r="L175" s="10" t="n"/>
      <c r="M175" s="12" t="n"/>
      <c r="N175" s="13" t="n"/>
      <c r="O175" s="14" t="n"/>
      <c r="P175" s="15" t="n"/>
      <c r="Q175" s="10" t="n"/>
      <c r="R175" s="10" t="n"/>
      <c r="S175" s="10" t="n"/>
      <c r="T175" s="15" t="n"/>
      <c r="U175" s="15" t="n"/>
      <c r="V175" s="10" t="n"/>
      <c r="W175" s="10" t="n"/>
      <c r="X175" s="10" t="n"/>
      <c r="Y175" s="16" t="n"/>
      <c r="Z175" s="16" t="n"/>
      <c r="AA175" s="10" t="n"/>
      <c r="AB175" s="10" t="n"/>
    </row>
    <row r="176">
      <c r="A176" t="inlineStr">
        <is>
          <t>Singida</t>
        </is>
      </c>
      <c r="B176" t="inlineStr">
        <is>
          <t>Iramba District</t>
        </is>
      </c>
      <c r="C176" t="inlineStr">
        <is>
          <t>C092</t>
        </is>
      </c>
      <c r="D176" s="10" t="n"/>
      <c r="E176" s="10" t="n"/>
      <c r="F176" s="10" t="n"/>
      <c r="G176" s="11" t="n"/>
      <c r="H176" s="11" t="n"/>
      <c r="I176" s="11" t="n"/>
      <c r="J176" s="12" t="n"/>
      <c r="K176" s="10" t="n"/>
      <c r="L176" s="10" t="n"/>
      <c r="M176" s="12" t="n"/>
      <c r="N176" s="13" t="n"/>
      <c r="O176" s="14" t="n"/>
      <c r="P176" s="15" t="n"/>
      <c r="Q176" s="10" t="n"/>
      <c r="R176" s="10" t="n"/>
      <c r="S176" s="10" t="n"/>
      <c r="T176" s="15" t="n"/>
      <c r="U176" s="15" t="n"/>
      <c r="V176" s="10" t="n"/>
      <c r="W176" s="10" t="n"/>
      <c r="X176" s="10" t="n"/>
      <c r="Y176" s="16" t="n"/>
      <c r="Z176" s="16" t="n"/>
      <c r="AA176" s="10" t="n"/>
      <c r="AB176" s="10" t="n"/>
    </row>
    <row r="177">
      <c r="A177" t="inlineStr">
        <is>
          <t>Singida</t>
        </is>
      </c>
      <c r="B177" t="inlineStr">
        <is>
          <t>Itigi District</t>
        </is>
      </c>
      <c r="C177" t="inlineStr">
        <is>
          <t>C096</t>
        </is>
      </c>
      <c r="D177" s="10" t="n"/>
      <c r="E177" s="10" t="n"/>
      <c r="F177" s="10" t="n"/>
      <c r="G177" s="11" t="n"/>
      <c r="H177" s="11" t="n"/>
      <c r="I177" s="11" t="n"/>
      <c r="J177" s="12" t="n"/>
      <c r="K177" s="10" t="n"/>
      <c r="L177" s="10" t="n"/>
      <c r="M177" s="12" t="n"/>
      <c r="N177" s="13" t="n"/>
      <c r="O177" s="14" t="n"/>
      <c r="P177" s="15" t="n"/>
      <c r="Q177" s="10" t="n"/>
      <c r="R177" s="10" t="n"/>
      <c r="S177" s="10" t="n"/>
      <c r="T177" s="15" t="n"/>
      <c r="U177" s="15" t="n"/>
      <c r="V177" s="10" t="n"/>
      <c r="W177" s="10" t="n"/>
      <c r="X177" s="10" t="n"/>
      <c r="Y177" s="16" t="n"/>
      <c r="Z177" s="16" t="n"/>
      <c r="AA177" s="10" t="n"/>
      <c r="AB177" s="10" t="n"/>
    </row>
    <row r="178">
      <c r="A178" t="inlineStr">
        <is>
          <t>Singida</t>
        </is>
      </c>
      <c r="B178" t="inlineStr">
        <is>
          <t>Manyoni District</t>
        </is>
      </c>
      <c r="C178" t="inlineStr">
        <is>
          <t>C095</t>
        </is>
      </c>
      <c r="D178" s="10" t="n"/>
      <c r="E178" s="10" t="n"/>
      <c r="F178" s="10" t="n"/>
      <c r="G178" s="11" t="n"/>
      <c r="H178" s="11" t="n"/>
      <c r="I178" s="11" t="n"/>
      <c r="J178" s="12" t="n"/>
      <c r="K178" s="10" t="n"/>
      <c r="L178" s="10" t="n"/>
      <c r="M178" s="12" t="n"/>
      <c r="N178" s="13" t="n"/>
      <c r="O178" s="14" t="n"/>
      <c r="P178" s="15" t="n"/>
      <c r="Q178" s="10" t="n"/>
      <c r="R178" s="10" t="n"/>
      <c r="S178" s="10" t="n"/>
      <c r="T178" s="15" t="n"/>
      <c r="U178" s="15" t="n"/>
      <c r="V178" s="10" t="n"/>
      <c r="W178" s="10" t="n"/>
      <c r="X178" s="10" t="n"/>
      <c r="Y178" s="16" t="n"/>
      <c r="Z178" s="16" t="n"/>
      <c r="AA178" s="10" t="n"/>
      <c r="AB178" s="10" t="n"/>
    </row>
    <row r="179">
      <c r="A179" t="inlineStr">
        <is>
          <t>Singida</t>
        </is>
      </c>
      <c r="B179" t="inlineStr">
        <is>
          <t>Mkalama District</t>
        </is>
      </c>
      <c r="C179" t="inlineStr">
        <is>
          <t>C098</t>
        </is>
      </c>
      <c r="D179" s="10" t="n"/>
      <c r="E179" s="10" t="n"/>
      <c r="F179" s="10" t="n"/>
      <c r="G179" s="11" t="n"/>
      <c r="H179" s="11" t="n"/>
      <c r="I179" s="11" t="n"/>
      <c r="J179" s="12" t="n"/>
      <c r="K179" s="10" t="n"/>
      <c r="L179" s="10" t="n"/>
      <c r="M179" s="12" t="n"/>
      <c r="N179" s="13" t="n"/>
      <c r="O179" s="14" t="n"/>
      <c r="P179" s="15" t="n"/>
      <c r="Q179" s="10" t="n"/>
      <c r="R179" s="10" t="n"/>
      <c r="S179" s="10" t="n"/>
      <c r="T179" s="15" t="n"/>
      <c r="U179" s="15" t="n"/>
      <c r="V179" s="10" t="n"/>
      <c r="W179" s="10" t="n"/>
      <c r="X179" s="10" t="n"/>
      <c r="Y179" s="16" t="n"/>
      <c r="Z179" s="16" t="n"/>
      <c r="AA179" s="10" t="n"/>
      <c r="AB179" s="10" t="n"/>
    </row>
    <row r="180">
      <c r="A180" t="inlineStr">
        <is>
          <t>Singida</t>
        </is>
      </c>
      <c r="B180" t="inlineStr">
        <is>
          <t>Singida District</t>
        </is>
      </c>
      <c r="C180" t="inlineStr">
        <is>
          <t>C093</t>
        </is>
      </c>
      <c r="D180" s="10" t="n"/>
      <c r="E180" s="10" t="n"/>
      <c r="F180" s="10" t="n"/>
      <c r="G180" s="11" t="n"/>
      <c r="H180" s="11" t="n"/>
      <c r="I180" s="11" t="n"/>
      <c r="J180" s="12" t="n"/>
      <c r="K180" s="10" t="n"/>
      <c r="L180" s="10" t="n"/>
      <c r="M180" s="12" t="n"/>
      <c r="N180" s="13" t="n"/>
      <c r="O180" s="14" t="n"/>
      <c r="P180" s="15" t="n"/>
      <c r="Q180" s="10" t="n"/>
      <c r="R180" s="10" t="n"/>
      <c r="S180" s="10" t="n"/>
      <c r="T180" s="15" t="n"/>
      <c r="U180" s="15" t="n"/>
      <c r="V180" s="10" t="n"/>
      <c r="W180" s="10" t="n"/>
      <c r="X180" s="10" t="n"/>
      <c r="Y180" s="16" t="n"/>
      <c r="Z180" s="16" t="n"/>
      <c r="AA180" s="10" t="n"/>
      <c r="AB180" s="10" t="n"/>
    </row>
    <row r="181">
      <c r="A181" t="inlineStr">
        <is>
          <t>Singida</t>
        </is>
      </c>
      <c r="B181" t="inlineStr">
        <is>
          <t>Singida Municipal</t>
        </is>
      </c>
      <c r="C181" t="inlineStr">
        <is>
          <t>C094</t>
        </is>
      </c>
      <c r="D181" s="10" t="n"/>
      <c r="E181" s="10" t="n"/>
      <c r="F181" s="10" t="n"/>
      <c r="G181" s="11" t="n"/>
      <c r="H181" s="11" t="n"/>
      <c r="I181" s="11" t="n"/>
      <c r="J181" s="12" t="n"/>
      <c r="K181" s="10" t="n"/>
      <c r="L181" s="10" t="n"/>
      <c r="M181" s="12" t="n"/>
      <c r="N181" s="13" t="n"/>
      <c r="O181" s="14" t="n"/>
      <c r="P181" s="15" t="n"/>
      <c r="Q181" s="10" t="n"/>
      <c r="R181" s="10" t="n"/>
      <c r="S181" s="10" t="n"/>
      <c r="T181" s="15" t="n"/>
      <c r="U181" s="15" t="n"/>
      <c r="V181" s="10" t="n"/>
      <c r="W181" s="10" t="n"/>
      <c r="X181" s="10" t="n"/>
      <c r="Y181" s="16" t="n"/>
      <c r="Z181" s="16" t="n"/>
      <c r="AA181" s="10" t="n"/>
      <c r="AB181" s="10" t="n"/>
    </row>
    <row r="182">
      <c r="A182" t="inlineStr">
        <is>
          <t>Songwe</t>
        </is>
      </c>
      <c r="B182" t="inlineStr">
        <is>
          <t>Ileje District</t>
        </is>
      </c>
      <c r="C182" t="inlineStr">
        <is>
          <t>C184</t>
        </is>
      </c>
      <c r="D182" s="10" t="n"/>
      <c r="E182" s="10" t="n"/>
      <c r="F182" s="10" t="n"/>
      <c r="G182" s="11" t="n"/>
      <c r="H182" s="11" t="n"/>
      <c r="I182" s="11" t="n"/>
      <c r="J182" s="12" t="n"/>
      <c r="K182" s="10" t="n"/>
      <c r="L182" s="10" t="n"/>
      <c r="M182" s="12" t="n"/>
      <c r="N182" s="13" t="n"/>
      <c r="O182" s="14" t="n"/>
      <c r="P182" s="15" t="n"/>
      <c r="Q182" s="10" t="n"/>
      <c r="R182" s="10" t="n"/>
      <c r="S182" s="10" t="n"/>
      <c r="T182" s="15" t="n"/>
      <c r="U182" s="15" t="n"/>
      <c r="V182" s="10" t="n"/>
      <c r="W182" s="10" t="n"/>
      <c r="X182" s="10" t="n"/>
      <c r="Y182" s="16" t="n"/>
      <c r="Z182" s="16" t="n"/>
      <c r="AA182" s="10" t="n"/>
      <c r="AB182" s="10" t="n"/>
    </row>
    <row r="183">
      <c r="A183" t="inlineStr">
        <is>
          <t>Songwe</t>
        </is>
      </c>
      <c r="B183" t="inlineStr">
        <is>
          <t>Mbozi District</t>
        </is>
      </c>
      <c r="C183" t="inlineStr">
        <is>
          <t>C183</t>
        </is>
      </c>
      <c r="D183" s="10" t="n"/>
      <c r="E183" s="10" t="n"/>
      <c r="F183" s="10" t="n"/>
      <c r="G183" s="11" t="n"/>
      <c r="H183" s="11" t="n"/>
      <c r="I183" s="11" t="n"/>
      <c r="J183" s="12" t="n"/>
      <c r="K183" s="10" t="n"/>
      <c r="L183" s="10" t="n"/>
      <c r="M183" s="12" t="n"/>
      <c r="N183" s="13" t="n"/>
      <c r="O183" s="14" t="n"/>
      <c r="P183" s="15" t="n"/>
      <c r="Q183" s="10" t="n"/>
      <c r="R183" s="10" t="n"/>
      <c r="S183" s="10" t="n"/>
      <c r="T183" s="15" t="n"/>
      <c r="U183" s="15" t="n"/>
      <c r="V183" s="10" t="n"/>
      <c r="W183" s="10" t="n"/>
      <c r="X183" s="10" t="n"/>
      <c r="Y183" s="16" t="n"/>
      <c r="Z183" s="16" t="n"/>
      <c r="AA183" s="10" t="n"/>
      <c r="AB183" s="10" t="n"/>
    </row>
    <row r="184">
      <c r="A184" t="inlineStr">
        <is>
          <t>Songwe</t>
        </is>
      </c>
      <c r="B184" t="inlineStr">
        <is>
          <t>Momba District</t>
        </is>
      </c>
      <c r="C184" t="inlineStr">
        <is>
          <t>C180</t>
        </is>
      </c>
      <c r="D184" s="10" t="n"/>
      <c r="E184" s="10" t="n"/>
      <c r="F184" s="10" t="n"/>
      <c r="G184" s="11" t="n"/>
      <c r="H184" s="11" t="n"/>
      <c r="I184" s="11" t="n"/>
      <c r="J184" s="12" t="n"/>
      <c r="K184" s="10" t="n"/>
      <c r="L184" s="10" t="n"/>
      <c r="M184" s="12" t="n"/>
      <c r="N184" s="13" t="n"/>
      <c r="O184" s="14" t="n"/>
      <c r="P184" s="15" t="n"/>
      <c r="Q184" s="10" t="n"/>
      <c r="R184" s="10" t="n"/>
      <c r="S184" s="10" t="n"/>
      <c r="T184" s="15" t="n"/>
      <c r="U184" s="15" t="n"/>
      <c r="V184" s="10" t="n"/>
      <c r="W184" s="10" t="n"/>
      <c r="X184" s="10" t="n"/>
      <c r="Y184" s="16" t="n"/>
      <c r="Z184" s="16" t="n"/>
      <c r="AA184" s="10" t="n"/>
      <c r="AB184" s="10" t="n"/>
    </row>
    <row r="185">
      <c r="A185" t="inlineStr">
        <is>
          <t>Songwe</t>
        </is>
      </c>
      <c r="B185" t="inlineStr">
        <is>
          <t>Songwe District</t>
        </is>
      </c>
      <c r="C185" t="inlineStr">
        <is>
          <t>C182</t>
        </is>
      </c>
      <c r="D185" s="10" t="n"/>
      <c r="E185" s="10" t="n"/>
      <c r="F185" s="10" t="n"/>
      <c r="G185" s="11" t="n"/>
      <c r="H185" s="11" t="n"/>
      <c r="I185" s="11" t="n"/>
      <c r="J185" s="12" t="n"/>
      <c r="K185" s="10" t="n"/>
      <c r="L185" s="10" t="n"/>
      <c r="M185" s="12" t="n"/>
      <c r="N185" s="13" t="n"/>
      <c r="O185" s="14" t="n"/>
      <c r="P185" s="15" t="n"/>
      <c r="Q185" s="10" t="n"/>
      <c r="R185" s="10" t="n"/>
      <c r="S185" s="10" t="n"/>
      <c r="T185" s="15" t="n"/>
      <c r="U185" s="15" t="n"/>
      <c r="V185" s="10" t="n"/>
      <c r="W185" s="10" t="n"/>
      <c r="X185" s="10" t="n"/>
      <c r="Y185" s="16" t="n"/>
      <c r="Z185" s="16" t="n"/>
      <c r="AA185" s="10" t="n"/>
      <c r="AB185" s="10" t="n"/>
    </row>
    <row r="186">
      <c r="A186" t="inlineStr">
        <is>
          <t>Songwe</t>
        </is>
      </c>
      <c r="B186" t="inlineStr">
        <is>
          <t>Tunduma Town</t>
        </is>
      </c>
      <c r="C186" t="inlineStr">
        <is>
          <t>C181</t>
        </is>
      </c>
      <c r="D186" s="10" t="n"/>
      <c r="E186" s="10" t="n"/>
      <c r="F186" s="10" t="n"/>
      <c r="G186" s="11" t="n"/>
      <c r="H186" s="11" t="n"/>
      <c r="I186" s="11" t="n"/>
      <c r="J186" s="12" t="n"/>
      <c r="K186" s="10" t="n"/>
      <c r="L186" s="10" t="n"/>
      <c r="M186" s="12" t="n"/>
      <c r="N186" s="13" t="n"/>
      <c r="O186" s="14" t="n"/>
      <c r="P186" s="15" t="n"/>
      <c r="Q186" s="10" t="n"/>
      <c r="R186" s="10" t="n"/>
      <c r="S186" s="10" t="n"/>
      <c r="T186" s="15" t="n"/>
      <c r="U186" s="15" t="n"/>
      <c r="V186" s="10" t="n"/>
      <c r="W186" s="10" t="n"/>
      <c r="X186" s="10" t="n"/>
      <c r="Y186" s="16" t="n"/>
      <c r="Z186" s="16" t="n"/>
      <c r="AA186" s="10" t="n"/>
      <c r="AB186" s="10" t="n"/>
    </row>
    <row r="187">
      <c r="A187" t="inlineStr">
        <is>
          <t>Tabora</t>
        </is>
      </c>
      <c r="B187" t="inlineStr">
        <is>
          <t>Igunga District</t>
        </is>
      </c>
      <c r="C187" t="inlineStr">
        <is>
          <t>C101</t>
        </is>
      </c>
      <c r="D187" s="10" t="n"/>
      <c r="E187" s="10" t="n"/>
      <c r="F187" s="10" t="n"/>
      <c r="G187" s="11" t="n"/>
      <c r="H187" s="11" t="n"/>
      <c r="I187" s="11" t="n"/>
      <c r="J187" s="12" t="n"/>
      <c r="K187" s="10" t="n"/>
      <c r="L187" s="10" t="n"/>
      <c r="M187" s="12" t="n"/>
      <c r="N187" s="13" t="n"/>
      <c r="O187" s="14" t="n"/>
      <c r="P187" s="15" t="n"/>
      <c r="Q187" s="10" t="n"/>
      <c r="R187" s="10" t="n"/>
      <c r="S187" s="10" t="n"/>
      <c r="T187" s="15" t="n"/>
      <c r="U187" s="15" t="n"/>
      <c r="V187" s="10" t="n"/>
      <c r="W187" s="10" t="n"/>
      <c r="X187" s="10" t="n"/>
      <c r="Y187" s="16" t="n"/>
      <c r="Z187" s="16" t="n"/>
      <c r="AA187" s="10" t="n"/>
      <c r="AB187" s="10" t="n"/>
    </row>
    <row r="188">
      <c r="A188" t="inlineStr">
        <is>
          <t>Tabora</t>
        </is>
      </c>
      <c r="B188" t="inlineStr">
        <is>
          <t>Kaliua District</t>
        </is>
      </c>
      <c r="C188" t="inlineStr">
        <is>
          <t>C106</t>
        </is>
      </c>
      <c r="D188" s="10" t="n"/>
      <c r="E188" s="10" t="n"/>
      <c r="F188" s="10" t="n"/>
      <c r="G188" s="11" t="n"/>
      <c r="H188" s="11" t="n"/>
      <c r="I188" s="11" t="n"/>
      <c r="J188" s="12" t="n"/>
      <c r="K188" s="10" t="n"/>
      <c r="L188" s="10" t="n"/>
      <c r="M188" s="12" t="n"/>
      <c r="N188" s="13" t="n"/>
      <c r="O188" s="14" t="n"/>
      <c r="P188" s="15" t="n"/>
      <c r="Q188" s="10" t="n"/>
      <c r="R188" s="10" t="n"/>
      <c r="S188" s="10" t="n"/>
      <c r="T188" s="15" t="n"/>
      <c r="U188" s="15" t="n"/>
      <c r="V188" s="10" t="n"/>
      <c r="W188" s="10" t="n"/>
      <c r="X188" s="10" t="n"/>
      <c r="Y188" s="16" t="n"/>
      <c r="Z188" s="16" t="n"/>
      <c r="AA188" s="10" t="n"/>
      <c r="AB188" s="10" t="n"/>
    </row>
    <row r="189">
      <c r="A189" t="inlineStr">
        <is>
          <t>Tabora</t>
        </is>
      </c>
      <c r="B189" t="inlineStr">
        <is>
          <t>Nzega District</t>
        </is>
      </c>
      <c r="C189" t="inlineStr">
        <is>
          <t>C100</t>
        </is>
      </c>
      <c r="D189" s="10" t="n"/>
      <c r="E189" s="10" t="n"/>
      <c r="F189" s="10" t="n"/>
      <c r="G189" s="11" t="n"/>
      <c r="H189" s="11" t="n"/>
      <c r="I189" s="11" t="n"/>
      <c r="J189" s="12" t="n"/>
      <c r="K189" s="10" t="n"/>
      <c r="L189" s="10" t="n"/>
      <c r="M189" s="12" t="n"/>
      <c r="N189" s="13" t="n"/>
      <c r="O189" s="14" t="n"/>
      <c r="P189" s="15" t="n"/>
      <c r="Q189" s="10" t="n"/>
      <c r="R189" s="10" t="n"/>
      <c r="S189" s="10" t="n"/>
      <c r="T189" s="15" t="n"/>
      <c r="U189" s="15" t="n"/>
      <c r="V189" s="10" t="n"/>
      <c r="W189" s="10" t="n"/>
      <c r="X189" s="10" t="n"/>
      <c r="Y189" s="16" t="n"/>
      <c r="Z189" s="16" t="n"/>
      <c r="AA189" s="10" t="n"/>
      <c r="AB189" s="10" t="n"/>
    </row>
    <row r="190">
      <c r="A190" t="inlineStr">
        <is>
          <t>Tabora</t>
        </is>
      </c>
      <c r="B190" t="inlineStr">
        <is>
          <t>Nzega Town</t>
        </is>
      </c>
      <c r="C190" t="inlineStr">
        <is>
          <t>C099</t>
        </is>
      </c>
      <c r="D190" s="10" t="n"/>
      <c r="E190" s="10" t="n"/>
      <c r="F190" s="10" t="n"/>
      <c r="G190" s="11" t="n"/>
      <c r="H190" s="11" t="n"/>
      <c r="I190" s="11" t="n"/>
      <c r="J190" s="12" t="n"/>
      <c r="K190" s="10" t="n"/>
      <c r="L190" s="10" t="n"/>
      <c r="M190" s="12" t="n"/>
      <c r="N190" s="13" t="n"/>
      <c r="O190" s="14" t="n"/>
      <c r="P190" s="15" t="n"/>
      <c r="Q190" s="10" t="n"/>
      <c r="R190" s="10" t="n"/>
      <c r="S190" s="10" t="n"/>
      <c r="T190" s="15" t="n"/>
      <c r="U190" s="15" t="n"/>
      <c r="V190" s="10" t="n"/>
      <c r="W190" s="10" t="n"/>
      <c r="X190" s="10" t="n"/>
      <c r="Y190" s="16" t="n"/>
      <c r="Z190" s="16" t="n"/>
      <c r="AA190" s="10" t="n"/>
      <c r="AB190" s="10" t="n"/>
    </row>
    <row r="191">
      <c r="A191" t="inlineStr">
        <is>
          <t>Tabora</t>
        </is>
      </c>
      <c r="B191" t="inlineStr">
        <is>
          <t>Sikonge District</t>
        </is>
      </c>
      <c r="C191" t="inlineStr">
        <is>
          <t>C104</t>
        </is>
      </c>
      <c r="D191" s="10" t="n"/>
      <c r="E191" s="10" t="n"/>
      <c r="F191" s="10" t="n"/>
      <c r="G191" s="11" t="n"/>
      <c r="H191" s="11" t="n"/>
      <c r="I191" s="11" t="n"/>
      <c r="J191" s="12" t="n"/>
      <c r="K191" s="10" t="n"/>
      <c r="L191" s="10" t="n"/>
      <c r="M191" s="12" t="n"/>
      <c r="N191" s="13" t="n"/>
      <c r="O191" s="14" t="n"/>
      <c r="P191" s="15" t="n"/>
      <c r="Q191" s="10" t="n"/>
      <c r="R191" s="10" t="n"/>
      <c r="S191" s="10" t="n"/>
      <c r="T191" s="15" t="n"/>
      <c r="U191" s="15" t="n"/>
      <c r="V191" s="10" t="n"/>
      <c r="W191" s="10" t="n"/>
      <c r="X191" s="10" t="n"/>
      <c r="Y191" s="16" t="n"/>
      <c r="Z191" s="16" t="n"/>
      <c r="AA191" s="10" t="n"/>
      <c r="AB191" s="10" t="n"/>
    </row>
    <row r="192">
      <c r="A192" t="inlineStr">
        <is>
          <t>Tabora</t>
        </is>
      </c>
      <c r="B192" t="inlineStr">
        <is>
          <t>Tabora Municipal</t>
        </is>
      </c>
      <c r="C192" t="inlineStr">
        <is>
          <t>C105</t>
        </is>
      </c>
      <c r="D192" s="10" t="n"/>
      <c r="E192" s="10" t="n"/>
      <c r="F192" s="10" t="n"/>
      <c r="G192" s="11" t="n"/>
      <c r="H192" s="11" t="n"/>
      <c r="I192" s="11" t="n"/>
      <c r="J192" s="12" t="n"/>
      <c r="K192" s="10" t="n"/>
      <c r="L192" s="10" t="n"/>
      <c r="M192" s="12" t="n"/>
      <c r="N192" s="13" t="n"/>
      <c r="O192" s="14" t="n"/>
      <c r="P192" s="15" t="n"/>
      <c r="Q192" s="10" t="n"/>
      <c r="R192" s="10" t="n"/>
      <c r="S192" s="10" t="n"/>
      <c r="T192" s="15" t="n"/>
      <c r="U192" s="15" t="n"/>
      <c r="V192" s="10" t="n"/>
      <c r="W192" s="10" t="n"/>
      <c r="X192" s="10" t="n"/>
      <c r="Y192" s="16" t="n"/>
      <c r="Z192" s="16" t="n"/>
      <c r="AA192" s="10" t="n"/>
      <c r="AB192" s="10" t="n"/>
    </row>
    <row r="193">
      <c r="A193" t="inlineStr">
        <is>
          <t>Tabora</t>
        </is>
      </c>
      <c r="B193" t="inlineStr">
        <is>
          <t>Urambo District</t>
        </is>
      </c>
      <c r="C193" t="inlineStr">
        <is>
          <t>C103</t>
        </is>
      </c>
      <c r="D193" s="10" t="n"/>
      <c r="E193" s="10" t="n"/>
      <c r="F193" s="10" t="n"/>
      <c r="G193" s="11" t="n"/>
      <c r="H193" s="11" t="n"/>
      <c r="I193" s="11" t="n"/>
      <c r="J193" s="12" t="n"/>
      <c r="K193" s="10" t="n"/>
      <c r="L193" s="10" t="n"/>
      <c r="M193" s="12" t="n"/>
      <c r="N193" s="13" t="n"/>
      <c r="O193" s="14" t="n"/>
      <c r="P193" s="15" t="n"/>
      <c r="Q193" s="10" t="n"/>
      <c r="R193" s="10" t="n"/>
      <c r="S193" s="10" t="n"/>
      <c r="T193" s="15" t="n"/>
      <c r="U193" s="15" t="n"/>
      <c r="V193" s="10" t="n"/>
      <c r="W193" s="10" t="n"/>
      <c r="X193" s="10" t="n"/>
      <c r="Y193" s="16" t="n"/>
      <c r="Z193" s="16" t="n"/>
      <c r="AA193" s="10" t="n"/>
      <c r="AB193" s="10" t="n"/>
    </row>
    <row r="194">
      <c r="A194" t="inlineStr">
        <is>
          <t>Tabora</t>
        </is>
      </c>
      <c r="B194" t="inlineStr">
        <is>
          <t>Uyui District</t>
        </is>
      </c>
      <c r="C194" t="inlineStr">
        <is>
          <t>C102</t>
        </is>
      </c>
      <c r="D194" s="10" t="n"/>
      <c r="E194" s="10" t="n"/>
      <c r="F194" s="10" t="n"/>
      <c r="G194" s="11" t="n"/>
      <c r="H194" s="11" t="n"/>
      <c r="I194" s="11" t="n"/>
      <c r="J194" s="12" t="n"/>
      <c r="K194" s="10" t="n"/>
      <c r="L194" s="10" t="n"/>
      <c r="M194" s="12" t="n"/>
      <c r="N194" s="13" t="n"/>
      <c r="O194" s="14" t="n"/>
      <c r="P194" s="15" t="n"/>
      <c r="Q194" s="10" t="n"/>
      <c r="R194" s="10" t="n"/>
      <c r="S194" s="10" t="n"/>
      <c r="T194" s="15" t="n"/>
      <c r="U194" s="15" t="n"/>
      <c r="V194" s="10" t="n"/>
      <c r="W194" s="10" t="n"/>
      <c r="X194" s="10" t="n"/>
      <c r="Y194" s="16" t="n"/>
      <c r="Z194" s="16" t="n"/>
      <c r="AA194" s="10" t="n"/>
      <c r="AB194" s="10" t="n"/>
    </row>
    <row r="195">
      <c r="A195" t="inlineStr">
        <is>
          <t>Tanga</t>
        </is>
      </c>
      <c r="B195" t="inlineStr">
        <is>
          <t>Bumbuli District</t>
        </is>
      </c>
      <c r="C195" t="inlineStr">
        <is>
          <t>C024</t>
        </is>
      </c>
      <c r="D195" s="10" t="n"/>
      <c r="E195" s="10" t="n"/>
      <c r="F195" s="10" t="n"/>
      <c r="G195" s="11" t="n"/>
      <c r="H195" s="11" t="n"/>
      <c r="I195" s="11" t="n"/>
      <c r="J195" s="12" t="n"/>
      <c r="K195" s="10" t="n"/>
      <c r="L195" s="10" t="n"/>
      <c r="M195" s="12" t="n"/>
      <c r="N195" s="13" t="n"/>
      <c r="O195" s="14" t="n"/>
      <c r="P195" s="15" t="n"/>
      <c r="Q195" s="10" t="n"/>
      <c r="R195" s="10" t="n"/>
      <c r="S195" s="10" t="n"/>
      <c r="T195" s="15" t="n"/>
      <c r="U195" s="15" t="n"/>
      <c r="V195" s="10" t="n"/>
      <c r="W195" s="10" t="n"/>
      <c r="X195" s="10" t="n"/>
      <c r="Y195" s="16" t="n"/>
      <c r="Z195" s="16" t="n"/>
      <c r="AA195" s="10" t="n"/>
      <c r="AB195" s="10" t="n"/>
    </row>
    <row r="196">
      <c r="A196" t="inlineStr">
        <is>
          <t>Tanga</t>
        </is>
      </c>
      <c r="B196" t="inlineStr">
        <is>
          <t>Handeni District</t>
        </is>
      </c>
      <c r="C196" t="inlineStr">
        <is>
          <t>C030</t>
        </is>
      </c>
      <c r="D196" s="10" t="n"/>
      <c r="E196" s="10" t="n"/>
      <c r="F196" s="10" t="n"/>
      <c r="G196" s="11" t="n"/>
      <c r="H196" s="11" t="n"/>
      <c r="I196" s="11" t="n"/>
      <c r="J196" s="12" t="n"/>
      <c r="K196" s="10" t="n"/>
      <c r="L196" s="10" t="n"/>
      <c r="M196" s="12" t="n"/>
      <c r="N196" s="13" t="n"/>
      <c r="O196" s="14" t="n"/>
      <c r="P196" s="15" t="n"/>
      <c r="Q196" s="10" t="n"/>
      <c r="R196" s="10" t="n"/>
      <c r="S196" s="10" t="n"/>
      <c r="T196" s="15" t="n"/>
      <c r="U196" s="15" t="n"/>
      <c r="V196" s="10" t="n"/>
      <c r="W196" s="10" t="n"/>
      <c r="X196" s="10" t="n"/>
      <c r="Y196" s="16" t="n"/>
      <c r="Z196" s="16" t="n"/>
      <c r="AA196" s="10" t="n"/>
      <c r="AB196" s="10" t="n"/>
    </row>
    <row r="197">
      <c r="A197" t="inlineStr">
        <is>
          <t>Tanga</t>
        </is>
      </c>
      <c r="B197" t="inlineStr">
        <is>
          <t>Handeni Town</t>
        </is>
      </c>
      <c r="C197" t="inlineStr">
        <is>
          <t>C031</t>
        </is>
      </c>
      <c r="D197" s="10" t="n"/>
      <c r="E197" s="10" t="n"/>
      <c r="F197" s="10" t="n"/>
      <c r="G197" s="11" t="n"/>
      <c r="H197" s="11" t="n"/>
      <c r="I197" s="11" t="n"/>
      <c r="J197" s="12" t="n"/>
      <c r="K197" s="10" t="n"/>
      <c r="L197" s="10" t="n"/>
      <c r="M197" s="12" t="n"/>
      <c r="N197" s="13" t="n"/>
      <c r="O197" s="14" t="n"/>
      <c r="P197" s="15" t="n"/>
      <c r="Q197" s="10" t="n"/>
      <c r="R197" s="10" t="n"/>
      <c r="S197" s="10" t="n"/>
      <c r="T197" s="15" t="n"/>
      <c r="U197" s="15" t="n"/>
      <c r="V197" s="10" t="n"/>
      <c r="W197" s="10" t="n"/>
      <c r="X197" s="10" t="n"/>
      <c r="Y197" s="16" t="n"/>
      <c r="Z197" s="16" t="n"/>
      <c r="AA197" s="10" t="n"/>
      <c r="AB197" s="10" t="n"/>
    </row>
    <row r="198">
      <c r="A198" t="inlineStr">
        <is>
          <t>Tanga</t>
        </is>
      </c>
      <c r="B198" t="inlineStr">
        <is>
          <t>Kilindi District</t>
        </is>
      </c>
      <c r="C198" t="inlineStr">
        <is>
          <t>C032</t>
        </is>
      </c>
      <c r="D198" s="10" t="n"/>
      <c r="E198" s="10" t="n"/>
      <c r="F198" s="10" t="n"/>
      <c r="G198" s="11" t="n"/>
      <c r="H198" s="11" t="n"/>
      <c r="I198" s="11" t="n"/>
      <c r="J198" s="12" t="n"/>
      <c r="K198" s="10" t="n"/>
      <c r="L198" s="10" t="n"/>
      <c r="M198" s="12" t="n"/>
      <c r="N198" s="13" t="n"/>
      <c r="O198" s="14" t="n"/>
      <c r="P198" s="15" t="n"/>
      <c r="Q198" s="10" t="n"/>
      <c r="R198" s="10" t="n"/>
      <c r="S198" s="10" t="n"/>
      <c r="T198" s="15" t="n"/>
      <c r="U198" s="15" t="n"/>
      <c r="V198" s="10" t="n"/>
      <c r="W198" s="10" t="n"/>
      <c r="X198" s="10" t="n"/>
      <c r="Y198" s="16" t="n"/>
      <c r="Z198" s="16" t="n"/>
      <c r="AA198" s="10" t="n"/>
      <c r="AB198" s="10" t="n"/>
    </row>
    <row r="199">
      <c r="A199" t="inlineStr">
        <is>
          <t>Tanga</t>
        </is>
      </c>
      <c r="B199" t="inlineStr">
        <is>
          <t>Korogwe District</t>
        </is>
      </c>
      <c r="C199" t="inlineStr">
        <is>
          <t>C025</t>
        </is>
      </c>
      <c r="D199" s="10" t="n"/>
      <c r="E199" s="10" t="n"/>
      <c r="F199" s="10" t="n"/>
      <c r="G199" s="11" t="n"/>
      <c r="H199" s="11" t="n"/>
      <c r="I199" s="11" t="n"/>
      <c r="J199" s="12" t="n"/>
      <c r="K199" s="10" t="n"/>
      <c r="L199" s="10" t="n"/>
      <c r="M199" s="12" t="n"/>
      <c r="N199" s="13" t="n"/>
      <c r="O199" s="14" t="n"/>
      <c r="P199" s="15" t="n"/>
      <c r="Q199" s="10" t="n"/>
      <c r="R199" s="10" t="n"/>
      <c r="S199" s="10" t="n"/>
      <c r="T199" s="15" t="n"/>
      <c r="U199" s="15" t="n"/>
      <c r="V199" s="10" t="n"/>
      <c r="W199" s="10" t="n"/>
      <c r="X199" s="10" t="n"/>
      <c r="Y199" s="16" t="n"/>
      <c r="Z199" s="16" t="n"/>
      <c r="AA199" s="10" t="n"/>
      <c r="AB199" s="10" t="n"/>
    </row>
    <row r="200">
      <c r="A200" t="inlineStr">
        <is>
          <t>Tanga</t>
        </is>
      </c>
      <c r="B200" t="inlineStr">
        <is>
          <t>Korogwe Town</t>
        </is>
      </c>
      <c r="C200" t="inlineStr">
        <is>
          <t>C026</t>
        </is>
      </c>
      <c r="D200" s="10" t="n"/>
      <c r="E200" s="10" t="n"/>
      <c r="F200" s="10" t="n"/>
      <c r="G200" s="11" t="n"/>
      <c r="H200" s="11" t="n"/>
      <c r="I200" s="11" t="n"/>
      <c r="J200" s="12" t="n"/>
      <c r="K200" s="10" t="n"/>
      <c r="L200" s="10" t="n"/>
      <c r="M200" s="12" t="n"/>
      <c r="N200" s="13" t="n"/>
      <c r="O200" s="14" t="n"/>
      <c r="P200" s="15" t="n"/>
      <c r="Q200" s="10" t="n"/>
      <c r="R200" s="10" t="n"/>
      <c r="S200" s="10" t="n"/>
      <c r="T200" s="15" t="n"/>
      <c r="U200" s="15" t="n"/>
      <c r="V200" s="10" t="n"/>
      <c r="W200" s="10" t="n"/>
      <c r="X200" s="10" t="n"/>
      <c r="Y200" s="16" t="n"/>
      <c r="Z200" s="16" t="n"/>
      <c r="AA200" s="10" t="n"/>
      <c r="AB200" s="10" t="n"/>
    </row>
    <row r="201">
      <c r="A201" t="inlineStr">
        <is>
          <t>Tanga</t>
        </is>
      </c>
      <c r="B201" t="inlineStr">
        <is>
          <t>Lushoto District</t>
        </is>
      </c>
      <c r="C201" t="inlineStr">
        <is>
          <t>C023</t>
        </is>
      </c>
      <c r="D201" s="10" t="n"/>
      <c r="E201" s="10" t="n"/>
      <c r="F201" s="10" t="n"/>
      <c r="G201" s="11" t="n"/>
      <c r="H201" s="11" t="n"/>
      <c r="I201" s="11" t="n"/>
      <c r="J201" s="12" t="n"/>
      <c r="K201" s="10" t="n"/>
      <c r="L201" s="10" t="n"/>
      <c r="M201" s="12" t="n"/>
      <c r="N201" s="13" t="n"/>
      <c r="O201" s="14" t="n"/>
      <c r="P201" s="15" t="n"/>
      <c r="Q201" s="10" t="n"/>
      <c r="R201" s="10" t="n"/>
      <c r="S201" s="10" t="n"/>
      <c r="T201" s="15" t="n"/>
      <c r="U201" s="15" t="n"/>
      <c r="V201" s="10" t="n"/>
      <c r="W201" s="10" t="n"/>
      <c r="X201" s="10" t="n"/>
      <c r="Y201" s="16" t="n"/>
      <c r="Z201" s="16" t="n"/>
      <c r="AA201" s="10" t="n"/>
      <c r="AB201" s="10" t="n"/>
    </row>
    <row r="202">
      <c r="A202" t="inlineStr">
        <is>
          <t>Tanga</t>
        </is>
      </c>
      <c r="B202" t="inlineStr">
        <is>
          <t>Mkinga District</t>
        </is>
      </c>
      <c r="C202" t="inlineStr">
        <is>
          <t>C033</t>
        </is>
      </c>
      <c r="D202" s="10" t="n"/>
      <c r="E202" s="10" t="n"/>
      <c r="F202" s="10" t="n"/>
      <c r="G202" s="11" t="n"/>
      <c r="H202" s="11" t="n"/>
      <c r="I202" s="11" t="n"/>
      <c r="J202" s="12" t="n"/>
      <c r="K202" s="10" t="n"/>
      <c r="L202" s="10" t="n"/>
      <c r="M202" s="12" t="n"/>
      <c r="N202" s="13" t="n"/>
      <c r="O202" s="14" t="n"/>
      <c r="P202" s="15" t="n"/>
      <c r="Q202" s="10" t="n"/>
      <c r="R202" s="10" t="n"/>
      <c r="S202" s="10" t="n"/>
      <c r="T202" s="15" t="n"/>
      <c r="U202" s="15" t="n"/>
      <c r="V202" s="10" t="n"/>
      <c r="W202" s="10" t="n"/>
      <c r="X202" s="10" t="n"/>
      <c r="Y202" s="16" t="n"/>
      <c r="Z202" s="16" t="n"/>
      <c r="AA202" s="10" t="n"/>
      <c r="AB202" s="10" t="n"/>
    </row>
    <row r="203">
      <c r="A203" t="inlineStr">
        <is>
          <t>Tanga</t>
        </is>
      </c>
      <c r="B203" t="inlineStr">
        <is>
          <t>Muheza District</t>
        </is>
      </c>
      <c r="C203" t="inlineStr">
        <is>
          <t>C027</t>
        </is>
      </c>
      <c r="D203" s="10" t="n"/>
      <c r="E203" s="10" t="n"/>
      <c r="F203" s="10" t="n"/>
      <c r="G203" s="11" t="n"/>
      <c r="H203" s="11" t="n"/>
      <c r="I203" s="11" t="n"/>
      <c r="J203" s="12" t="n"/>
      <c r="K203" s="10" t="n"/>
      <c r="L203" s="10" t="n"/>
      <c r="M203" s="12" t="n"/>
      <c r="N203" s="13" t="n"/>
      <c r="O203" s="14" t="n"/>
      <c r="P203" s="15" t="n"/>
      <c r="Q203" s="10" t="n"/>
      <c r="R203" s="10" t="n"/>
      <c r="S203" s="10" t="n"/>
      <c r="T203" s="15" t="n"/>
      <c r="U203" s="15" t="n"/>
      <c r="V203" s="10" t="n"/>
      <c r="W203" s="10" t="n"/>
      <c r="X203" s="10" t="n"/>
      <c r="Y203" s="16" t="n"/>
      <c r="Z203" s="16" t="n"/>
      <c r="AA203" s="10" t="n"/>
      <c r="AB203" s="10" t="n"/>
    </row>
    <row r="204">
      <c r="A204" t="inlineStr">
        <is>
          <t>Tanga</t>
        </is>
      </c>
      <c r="B204" t="inlineStr">
        <is>
          <t>Pangani District</t>
        </is>
      </c>
      <c r="C204" t="inlineStr">
        <is>
          <t>C029</t>
        </is>
      </c>
      <c r="D204" s="10" t="n"/>
      <c r="E204" s="10" t="n"/>
      <c r="F204" s="10" t="n"/>
      <c r="G204" s="11" t="n"/>
      <c r="H204" s="11" t="n"/>
      <c r="I204" s="11" t="n"/>
      <c r="J204" s="12" t="n"/>
      <c r="K204" s="10" t="n"/>
      <c r="L204" s="10" t="n"/>
      <c r="M204" s="12" t="n"/>
      <c r="N204" s="13" t="n"/>
      <c r="O204" s="14" t="n"/>
      <c r="P204" s="15" t="n"/>
      <c r="Q204" s="10" t="n"/>
      <c r="R204" s="10" t="n"/>
      <c r="S204" s="10" t="n"/>
      <c r="T204" s="15" t="n"/>
      <c r="U204" s="15" t="n"/>
      <c r="V204" s="10" t="n"/>
      <c r="W204" s="10" t="n"/>
      <c r="X204" s="10" t="n"/>
      <c r="Y204" s="16" t="n"/>
      <c r="Z204" s="16" t="n"/>
      <c r="AA204" s="10" t="n"/>
      <c r="AB204" s="10" t="n"/>
    </row>
    <row r="205">
      <c r="A205" t="inlineStr">
        <is>
          <t>Tanga</t>
        </is>
      </c>
      <c r="B205" t="inlineStr">
        <is>
          <t>Tanga City</t>
        </is>
      </c>
      <c r="C205" t="inlineStr">
        <is>
          <t>C028</t>
        </is>
      </c>
      <c r="D205" s="10" t="n"/>
      <c r="E205" s="10" t="n"/>
      <c r="F205" s="10" t="n"/>
      <c r="G205" s="11" t="n"/>
      <c r="H205" s="11" t="n"/>
      <c r="I205" s="11" t="n"/>
      <c r="J205" s="12" t="n"/>
      <c r="K205" s="10" t="n"/>
      <c r="L205" s="10" t="n"/>
      <c r="M205" s="12" t="n"/>
      <c r="N205" s="13" t="n"/>
      <c r="O205" s="14" t="n"/>
      <c r="P205" s="15" t="n"/>
      <c r="Q205" s="10" t="n"/>
      <c r="R205" s="10" t="n"/>
      <c r="S205" s="10" t="n"/>
      <c r="T205" s="15" t="n"/>
      <c r="U205" s="15" t="n"/>
      <c r="V205" s="10" t="n"/>
      <c r="W205" s="10" t="n"/>
      <c r="X205" s="10" t="n"/>
      <c r="Y205" s="16" t="n"/>
      <c r="Z205" s="16" t="n"/>
      <c r="AA205" s="10" t="n"/>
      <c r="AB205" s="10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0:AB205"/>
  <sheetViews>
    <sheetView showGridLines="0" workbookViewId="0">
      <pane xSplit="3" ySplit="10" topLeftCell="D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2" customWidth="1" min="2" max="2"/>
    <col width="8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</cols>
  <sheetData>
    <row r="10" ht="54" customHeight="1">
      <c r="A10" s="8" t="inlineStr">
        <is>
          <t>Region</t>
        </is>
      </c>
      <c r="B10" s="8" t="inlineStr">
        <is>
          <t>Council</t>
        </is>
      </c>
      <c r="C10" s="8" t="inlineStr">
        <is>
          <t>Code</t>
        </is>
      </c>
      <c r="D10" s="9" t="inlineStr">
        <is>
          <t>SPEI-12 drought depth</t>
        </is>
      </c>
      <c r="E10" s="9" t="inlineStr">
        <is>
          <t>Aridity (P/PET)</t>
        </is>
      </c>
      <c r="F10" s="9" t="inlineStr">
        <is>
          <t>Rainfall variability (CV)</t>
        </is>
      </c>
      <c r="G10" s="9" t="inlineStr">
        <is>
          <t>Growing-season failure frequency</t>
        </is>
      </c>
      <c r="H10" s="9" t="inlineStr">
        <is>
          <t>Vegetation/biomass anomaly (NDVI z)</t>
        </is>
      </c>
      <c r="I10" s="9" t="inlineStr">
        <is>
          <t>Soil moisture</t>
        </is>
      </c>
      <c r="J10" s="9" t="inlineStr">
        <is>
          <t>Water levels (% of normal)</t>
        </is>
      </c>
      <c r="K10" s="9" t="inlineStr">
        <is>
          <t>Extreme wet days (&gt;50 mm)</t>
        </is>
      </c>
      <c r="L10" s="9" t="inlineStr">
        <is>
          <t>Very-heavy days (&gt;100 mm)</t>
        </is>
      </c>
      <c r="M10" s="9" t="inlineStr">
        <is>
          <t>River peak above normal</t>
        </is>
      </c>
      <c r="N10" s="9" t="inlineStr">
        <is>
          <t>Basin flood records</t>
        </is>
      </c>
      <c r="O10" s="9" t="inlineStr">
        <is>
          <t>Recorded flood impact events</t>
        </is>
      </c>
      <c r="P10" s="9" t="inlineStr">
        <is>
          <t>Landslide susceptibility</t>
        </is>
      </c>
      <c r="Q10" s="9" t="inlineStr">
        <is>
          <t>Triggering rainfall (max 5-day)</t>
        </is>
      </c>
      <c r="R10" s="9" t="inlineStr">
        <is>
          <t>Cyclone/strong-wind frequency</t>
        </is>
      </c>
      <c r="S10" s="9" t="inlineStr">
        <is>
          <t>Extreme wind speed</t>
        </is>
      </c>
      <c r="T10" s="9" t="inlineStr">
        <is>
          <t>Seismic hazard (PGA 475-yr)</t>
        </is>
      </c>
      <c r="U10" s="9" t="inlineStr">
        <is>
          <t>Historical seismicity density</t>
        </is>
      </c>
      <c r="V10" s="9" t="inlineStr">
        <is>
          <t>Significant wave height (Hs 99th pct)</t>
        </is>
      </c>
      <c r="W10" s="9" t="inlineStr">
        <is>
          <t>Extreme onshore wind</t>
        </is>
      </c>
      <c r="X10" s="9" t="inlineStr">
        <is>
          <t>Storm-surge frequency</t>
        </is>
      </c>
      <c r="Y10" s="9" t="inlineStr">
        <is>
          <t>Shoreline retreat / erosion rate</t>
        </is>
      </c>
      <c r="Z10" s="9" t="inlineStr">
        <is>
          <t>Mangrove loss (protective buffer)</t>
        </is>
      </c>
      <c r="AA10" s="9" t="inlineStr">
        <is>
          <t>Heat-health days (&gt; 90th pct Tmax)</t>
        </is>
      </c>
      <c r="AB10" s="9" t="inlineStr">
        <is>
          <t>Flash density</t>
        </is>
      </c>
    </row>
    <row r="11">
      <c r="A11" t="inlineStr">
        <is>
          <t>Arusha</t>
        </is>
      </c>
      <c r="B11" t="inlineStr">
        <is>
          <t>Arusha City</t>
        </is>
      </c>
      <c r="C11" t="inlineStr">
        <is>
          <t>C015</t>
        </is>
      </c>
      <c r="D11" s="17">
        <f>IF('Advanced Entry'!D11="","",IFERROR(MAX(0,MIN(10,ROUND(IF('Advanced Entry'!D$8="Decrease Risk",10-10*((IF('Advanced Entry'!D$5="Logarithm",LN(0.001+'Advanced Entry'!D11),IF('Advanced Entry'!D$5="Exponential",EXP('Advanced Entry'!D11),'Advanced Entry'!D11)))-'Advanced Entry'!D$6)/('Advanced Entry'!D$7-'Advanced Entry'!D$6),10*((IF('Advanced Entry'!D$5="Logarithm",LN(0.001+'Advanced Entry'!D11),IF('Advanced Entry'!D$5="Exponential",EXP('Advanced Entry'!D11),'Advanced Entry'!D11)))-'Advanced Entry'!D$6)/('Advanced Entry'!D$7-'Advanced Entry'!D$6)),1))),"No data"))</f>
        <v/>
      </c>
      <c r="E11" s="17">
        <f>IF('Advanced Entry'!E11="","",IFERROR(MAX(0,MIN(10,ROUND(IF('Advanced Entry'!E$8="Decrease Risk",10-10*((IF('Advanced Entry'!E$5="Logarithm",LN(0.001+'Advanced Entry'!E11),IF('Advanced Entry'!E$5="Exponential",EXP('Advanced Entry'!E11),'Advanced Entry'!E11)))-'Advanced Entry'!E$6)/('Advanced Entry'!E$7-'Advanced Entry'!E$6),10*((IF('Advanced Entry'!E$5="Logarithm",LN(0.001+'Advanced Entry'!E11),IF('Advanced Entry'!E$5="Exponential",EXP('Advanced Entry'!E11),'Advanced Entry'!E11)))-'Advanced Entry'!E$6)/('Advanced Entry'!E$7-'Advanced Entry'!E$6)),1))),"No data"))</f>
        <v/>
      </c>
      <c r="F11" s="17">
        <f>IF('Advanced Entry'!F11="","",IFERROR(MAX(0,MIN(10,ROUND(IF('Advanced Entry'!F$8="Decrease Risk",10-10*((IF('Advanced Entry'!F$5="Logarithm",LN(0.001+'Advanced Entry'!F11),IF('Advanced Entry'!F$5="Exponential",EXP('Advanced Entry'!F11),'Advanced Entry'!F11)))-'Advanced Entry'!F$6)/('Advanced Entry'!F$7-'Advanced Entry'!F$6),10*((IF('Advanced Entry'!F$5="Logarithm",LN(0.001+'Advanced Entry'!F11),IF('Advanced Entry'!F$5="Exponential",EXP('Advanced Entry'!F11),'Advanced Entry'!F11)))-'Advanced Entry'!F$6)/('Advanced Entry'!F$7-'Advanced Entry'!F$6)),1))),"No data"))</f>
        <v/>
      </c>
      <c r="G11" s="17">
        <f>IF('Advanced Entry'!G11="","",IFERROR(MAX(0,MIN(10,ROUND(IF('Advanced Entry'!G$8="Decrease Risk",10-10*((IF('Advanced Entry'!G$5="Logarithm",LN(0.001+'Advanced Entry'!G11),IF('Advanced Entry'!G$5="Exponential",EXP('Advanced Entry'!G11),'Advanced Entry'!G11)))-'Advanced Entry'!G$6)/('Advanced Entry'!G$7-'Advanced Entry'!G$6),10*((IF('Advanced Entry'!G$5="Logarithm",LN(0.001+'Advanced Entry'!G11),IF('Advanced Entry'!G$5="Exponential",EXP('Advanced Entry'!G11),'Advanced Entry'!G11)))-'Advanced Entry'!G$6)/('Advanced Entry'!G$7-'Advanced Entry'!G$6)),1))),"No data"))</f>
        <v/>
      </c>
      <c r="H11" s="17">
        <f>IF('Advanced Entry'!H11="","",IFERROR(MAX(0,MIN(10,ROUND(IF('Advanced Entry'!H$8="Decrease Risk",10-10*((IF('Advanced Entry'!H$5="Logarithm",LN(0.001+'Advanced Entry'!H11),IF('Advanced Entry'!H$5="Exponential",EXP('Advanced Entry'!H11),'Advanced Entry'!H11)))-'Advanced Entry'!H$6)/('Advanced Entry'!H$7-'Advanced Entry'!H$6),10*((IF('Advanced Entry'!H$5="Logarithm",LN(0.001+'Advanced Entry'!H11),IF('Advanced Entry'!H$5="Exponential",EXP('Advanced Entry'!H11),'Advanced Entry'!H11)))-'Advanced Entry'!H$6)/('Advanced Entry'!H$7-'Advanced Entry'!H$6)),1))),"No data"))</f>
        <v/>
      </c>
      <c r="I11" s="17">
        <f>IF('Advanced Entry'!I11="","",IFERROR(MAX(0,MIN(10,ROUND(IF('Advanced Entry'!I$8="Decrease Risk",10-10*((IF('Advanced Entry'!I$5="Logarithm",LN(0.001+'Advanced Entry'!I11),IF('Advanced Entry'!I$5="Exponential",EXP('Advanced Entry'!I11),'Advanced Entry'!I11)))-'Advanced Entry'!I$6)/('Advanced Entry'!I$7-'Advanced Entry'!I$6),10*((IF('Advanced Entry'!I$5="Logarithm",LN(0.001+'Advanced Entry'!I11),IF('Advanced Entry'!I$5="Exponential",EXP('Advanced Entry'!I11),'Advanced Entry'!I11)))-'Advanced Entry'!I$6)/('Advanced Entry'!I$7-'Advanced Entry'!I$6)),1))),"No data"))</f>
        <v/>
      </c>
      <c r="J11" s="17">
        <f>IF('Advanced Entry'!J11="","",IFERROR(MAX(0,MIN(10,ROUND(IF('Advanced Entry'!J$8="Decrease Risk",10-10*((IF('Advanced Entry'!J$5="Logarithm",LN(0.001+'Advanced Entry'!J11),IF('Advanced Entry'!J$5="Exponential",EXP('Advanced Entry'!J11),'Advanced Entry'!J11)))-'Advanced Entry'!J$6)/('Advanced Entry'!J$7-'Advanced Entry'!J$6),10*((IF('Advanced Entry'!J$5="Logarithm",LN(0.001+'Advanced Entry'!J11),IF('Advanced Entry'!J$5="Exponential",EXP('Advanced Entry'!J11),'Advanced Entry'!J11)))-'Advanced Entry'!J$6)/('Advanced Entry'!J$7-'Advanced Entry'!J$6)),1))),"No data"))</f>
        <v/>
      </c>
      <c r="K11" s="17">
        <f>IF('Advanced Entry'!K11="","",IFERROR(MAX(0,MIN(10,ROUND(IF('Advanced Entry'!K$8="Decrease Risk",10-10*((IF('Advanced Entry'!K$5="Logarithm",LN(0.001+'Advanced Entry'!K11),IF('Advanced Entry'!K$5="Exponential",EXP('Advanced Entry'!K11),'Advanced Entry'!K11)))-'Advanced Entry'!K$6)/('Advanced Entry'!K$7-'Advanced Entry'!K$6),10*((IF('Advanced Entry'!K$5="Logarithm",LN(0.001+'Advanced Entry'!K11),IF('Advanced Entry'!K$5="Exponential",EXP('Advanced Entry'!K11),'Advanced Entry'!K11)))-'Advanced Entry'!K$6)/('Advanced Entry'!K$7-'Advanced Entry'!K$6)),1))),"No data"))</f>
        <v/>
      </c>
      <c r="L11" s="17">
        <f>IF('Advanced Entry'!L11="","",IFERROR(MAX(0,MIN(10,ROUND(IF('Advanced Entry'!L$8="Decrease Risk",10-10*((IF('Advanced Entry'!L$5="Logarithm",LN(0.001+'Advanced Entry'!L11),IF('Advanced Entry'!L$5="Exponential",EXP('Advanced Entry'!L11),'Advanced Entry'!L11)))-'Advanced Entry'!L$6)/('Advanced Entry'!L$7-'Advanced Entry'!L$6),10*((IF('Advanced Entry'!L$5="Logarithm",LN(0.001+'Advanced Entry'!L11),IF('Advanced Entry'!L$5="Exponential",EXP('Advanced Entry'!L11),'Advanced Entry'!L11)))-'Advanced Entry'!L$6)/('Advanced Entry'!L$7-'Advanced Entry'!L$6)),1))),"No data"))</f>
        <v/>
      </c>
      <c r="M11" s="17">
        <f>IF('Advanced Entry'!M11="","",IFERROR(MAX(0,MIN(10,ROUND(IF('Advanced Entry'!M$8="Decrease Risk",10-10*((IF('Advanced Entry'!M$5="Logarithm",LN(0.001+'Advanced Entry'!M11),IF('Advanced Entry'!M$5="Exponential",EXP('Advanced Entry'!M11),'Advanced Entry'!M11)))-'Advanced Entry'!M$6)/('Advanced Entry'!M$7-'Advanced Entry'!M$6),10*((IF('Advanced Entry'!M$5="Logarithm",LN(0.001+'Advanced Entry'!M11),IF('Advanced Entry'!M$5="Exponential",EXP('Advanced Entry'!M11),'Advanced Entry'!M11)))-'Advanced Entry'!M$6)/('Advanced Entry'!M$7-'Advanced Entry'!M$6)),1))),"No data"))</f>
        <v/>
      </c>
      <c r="N11" s="17">
        <f>IF('Advanced Entry'!N11="","",IFERROR(MAX(0,MIN(10,ROUND(IF('Advanced Entry'!N$8="Decrease Risk",10-10*((IF('Advanced Entry'!N$5="Logarithm",LN(0.001+'Advanced Entry'!N11),IF('Advanced Entry'!N$5="Exponential",EXP('Advanced Entry'!N11),'Advanced Entry'!N11)))-'Advanced Entry'!N$6)/('Advanced Entry'!N$7-'Advanced Entry'!N$6),10*((IF('Advanced Entry'!N$5="Logarithm",LN(0.001+'Advanced Entry'!N11),IF('Advanced Entry'!N$5="Exponential",EXP('Advanced Entry'!N11),'Advanced Entry'!N11)))-'Advanced Entry'!N$6)/('Advanced Entry'!N$7-'Advanced Entry'!N$6)),1))),"No data"))</f>
        <v/>
      </c>
      <c r="O11" s="17">
        <f>IF('Advanced Entry'!O11="","",IFERROR(MAX(0,MIN(10,ROUND(IF('Advanced Entry'!O$8="Decrease Risk",10-10*((IF('Advanced Entry'!O$5="Logarithm",LN(0.001+'Advanced Entry'!O11),IF('Advanced Entry'!O$5="Exponential",EXP('Advanced Entry'!O11),'Advanced Entry'!O11)))-'Advanced Entry'!O$6)/('Advanced Entry'!O$7-'Advanced Entry'!O$6),10*((IF('Advanced Entry'!O$5="Logarithm",LN(0.001+'Advanced Entry'!O11),IF('Advanced Entry'!O$5="Exponential",EXP('Advanced Entry'!O11),'Advanced Entry'!O11)))-'Advanced Entry'!O$6)/('Advanced Entry'!O$7-'Advanced Entry'!O$6)),1))),"No data"))</f>
        <v/>
      </c>
      <c r="P11" s="17">
        <f>IF('Advanced Entry'!P11="","",IFERROR(MAX(0,MIN(10,ROUND(IF('Advanced Entry'!P$8="Decrease Risk",10-10*((IF('Advanced Entry'!P$5="Logarithm",LN(0.001+'Advanced Entry'!P11),IF('Advanced Entry'!P$5="Exponential",EXP('Advanced Entry'!P11),'Advanced Entry'!P11)))-'Advanced Entry'!P$6)/('Advanced Entry'!P$7-'Advanced Entry'!P$6),10*((IF('Advanced Entry'!P$5="Logarithm",LN(0.001+'Advanced Entry'!P11),IF('Advanced Entry'!P$5="Exponential",EXP('Advanced Entry'!P11),'Advanced Entry'!P11)))-'Advanced Entry'!P$6)/('Advanced Entry'!P$7-'Advanced Entry'!P$6)),1))),"No data"))</f>
        <v/>
      </c>
      <c r="Q11" s="17">
        <f>IF('Advanced Entry'!Q11="","",IFERROR(MAX(0,MIN(10,ROUND(IF('Advanced Entry'!Q$8="Decrease Risk",10-10*((IF('Advanced Entry'!Q$5="Logarithm",LN(0.001+'Advanced Entry'!Q11),IF('Advanced Entry'!Q$5="Exponential",EXP('Advanced Entry'!Q11),'Advanced Entry'!Q11)))-'Advanced Entry'!Q$6)/('Advanced Entry'!Q$7-'Advanced Entry'!Q$6),10*((IF('Advanced Entry'!Q$5="Logarithm",LN(0.001+'Advanced Entry'!Q11),IF('Advanced Entry'!Q$5="Exponential",EXP('Advanced Entry'!Q11),'Advanced Entry'!Q11)))-'Advanced Entry'!Q$6)/('Advanced Entry'!Q$7-'Advanced Entry'!Q$6)),1))),"No data"))</f>
        <v/>
      </c>
      <c r="R11" s="17">
        <f>IF('Advanced Entry'!R11="","",IFERROR(MAX(0,MIN(10,ROUND(IF('Advanced Entry'!R$8="Decrease Risk",10-10*((IF('Advanced Entry'!R$5="Logarithm",LN(0.001+'Advanced Entry'!R11),IF('Advanced Entry'!R$5="Exponential",EXP('Advanced Entry'!R11),'Advanced Entry'!R11)))-'Advanced Entry'!R$6)/('Advanced Entry'!R$7-'Advanced Entry'!R$6),10*((IF('Advanced Entry'!R$5="Logarithm",LN(0.001+'Advanced Entry'!R11),IF('Advanced Entry'!R$5="Exponential",EXP('Advanced Entry'!R11),'Advanced Entry'!R11)))-'Advanced Entry'!R$6)/('Advanced Entry'!R$7-'Advanced Entry'!R$6)),1))),"No data"))</f>
        <v/>
      </c>
      <c r="S11" s="17">
        <f>IF('Advanced Entry'!S11="","",IFERROR(MAX(0,MIN(10,ROUND(IF('Advanced Entry'!S$8="Decrease Risk",10-10*((IF('Advanced Entry'!S$5="Logarithm",LN(0.001+'Advanced Entry'!S11),IF('Advanced Entry'!S$5="Exponential",EXP('Advanced Entry'!S11),'Advanced Entry'!S11)))-'Advanced Entry'!S$6)/('Advanced Entry'!S$7-'Advanced Entry'!S$6),10*((IF('Advanced Entry'!S$5="Logarithm",LN(0.001+'Advanced Entry'!S11),IF('Advanced Entry'!S$5="Exponential",EXP('Advanced Entry'!S11),'Advanced Entry'!S11)))-'Advanced Entry'!S$6)/('Advanced Entry'!S$7-'Advanced Entry'!S$6)),1))),"No data"))</f>
        <v/>
      </c>
      <c r="T11" s="17">
        <f>IF('Advanced Entry'!T11="","",IFERROR(MAX(0,MIN(10,ROUND(IF('Advanced Entry'!T$8="Decrease Risk",10-10*((IF('Advanced Entry'!T$5="Logarithm",LN(0.001+'Advanced Entry'!T11),IF('Advanced Entry'!T$5="Exponential",EXP('Advanced Entry'!T11),'Advanced Entry'!T11)))-'Advanced Entry'!T$6)/('Advanced Entry'!T$7-'Advanced Entry'!T$6),10*((IF('Advanced Entry'!T$5="Logarithm",LN(0.001+'Advanced Entry'!T11),IF('Advanced Entry'!T$5="Exponential",EXP('Advanced Entry'!T11),'Advanced Entry'!T11)))-'Advanced Entry'!T$6)/('Advanced Entry'!T$7-'Advanced Entry'!T$6)),1))),"No data"))</f>
        <v/>
      </c>
      <c r="U11" s="17">
        <f>IF('Advanced Entry'!U11="","",IFERROR(MAX(0,MIN(10,ROUND(IF('Advanced Entry'!U$8="Decrease Risk",10-10*((IF('Advanced Entry'!U$5="Logarithm",LN(0.001+'Advanced Entry'!U11),IF('Advanced Entry'!U$5="Exponential",EXP('Advanced Entry'!U11),'Advanced Entry'!U11)))-'Advanced Entry'!U$6)/('Advanced Entry'!U$7-'Advanced Entry'!U$6),10*((IF('Advanced Entry'!U$5="Logarithm",LN(0.001+'Advanced Entry'!U11),IF('Advanced Entry'!U$5="Exponential",EXP('Advanced Entry'!U11),'Advanced Entry'!U11)))-'Advanced Entry'!U$6)/('Advanced Entry'!U$7-'Advanced Entry'!U$6)),1))),"No data"))</f>
        <v/>
      </c>
      <c r="V11" s="17">
        <f>IF('Advanced Entry'!V11="","",IFERROR(MAX(0,MIN(10,ROUND(IF('Advanced Entry'!V$8="Decrease Risk",10-10*((IF('Advanced Entry'!V$5="Logarithm",LN(0.001+'Advanced Entry'!V11),IF('Advanced Entry'!V$5="Exponential",EXP('Advanced Entry'!V11),'Advanced Entry'!V11)))-'Advanced Entry'!V$6)/('Advanced Entry'!V$7-'Advanced Entry'!V$6),10*((IF('Advanced Entry'!V$5="Logarithm",LN(0.001+'Advanced Entry'!V11),IF('Advanced Entry'!V$5="Exponential",EXP('Advanced Entry'!V11),'Advanced Entry'!V11)))-'Advanced Entry'!V$6)/('Advanced Entry'!V$7-'Advanced Entry'!V$6)),1))),"No data"))</f>
        <v/>
      </c>
      <c r="W11" s="17">
        <f>IF('Advanced Entry'!W11="","",IFERROR(MAX(0,MIN(10,ROUND(IF('Advanced Entry'!W$8="Decrease Risk",10-10*((IF('Advanced Entry'!W$5="Logarithm",LN(0.001+'Advanced Entry'!W11),IF('Advanced Entry'!W$5="Exponential",EXP('Advanced Entry'!W11),'Advanced Entry'!W11)))-'Advanced Entry'!W$6)/('Advanced Entry'!W$7-'Advanced Entry'!W$6),10*((IF('Advanced Entry'!W$5="Logarithm",LN(0.001+'Advanced Entry'!W11),IF('Advanced Entry'!W$5="Exponential",EXP('Advanced Entry'!W11),'Advanced Entry'!W11)))-'Advanced Entry'!W$6)/('Advanced Entry'!W$7-'Advanced Entry'!W$6)),1))),"No data"))</f>
        <v/>
      </c>
      <c r="X11" s="17">
        <f>IF('Advanced Entry'!X11="","",IFERROR(MAX(0,MIN(10,ROUND(IF('Advanced Entry'!X$8="Decrease Risk",10-10*((IF('Advanced Entry'!X$5="Logarithm",LN(0.001+'Advanced Entry'!X11),IF('Advanced Entry'!X$5="Exponential",EXP('Advanced Entry'!X11),'Advanced Entry'!X11)))-'Advanced Entry'!X$6)/('Advanced Entry'!X$7-'Advanced Entry'!X$6),10*((IF('Advanced Entry'!X$5="Logarithm",LN(0.001+'Advanced Entry'!X11),IF('Advanced Entry'!X$5="Exponential",EXP('Advanced Entry'!X11),'Advanced Entry'!X11)))-'Advanced Entry'!X$6)/('Advanced Entry'!X$7-'Advanced Entry'!X$6)),1))),"No data"))</f>
        <v/>
      </c>
      <c r="Y11" s="17">
        <f>IF('Advanced Entry'!Y11="","",IFERROR(MAX(0,MIN(10,ROUND(IF('Advanced Entry'!Y$8="Decrease Risk",10-10*((IF('Advanced Entry'!Y$5="Logarithm",LN(0.001+'Advanced Entry'!Y11),IF('Advanced Entry'!Y$5="Exponential",EXP('Advanced Entry'!Y11),'Advanced Entry'!Y11)))-'Advanced Entry'!Y$6)/('Advanced Entry'!Y$7-'Advanced Entry'!Y$6),10*((IF('Advanced Entry'!Y$5="Logarithm",LN(0.001+'Advanced Entry'!Y11),IF('Advanced Entry'!Y$5="Exponential",EXP('Advanced Entry'!Y11),'Advanced Entry'!Y11)))-'Advanced Entry'!Y$6)/('Advanced Entry'!Y$7-'Advanced Entry'!Y$6)),1))),"No data"))</f>
        <v/>
      </c>
      <c r="Z11" s="17">
        <f>IF('Advanced Entry'!Z11="","",IFERROR(MAX(0,MIN(10,ROUND(IF('Advanced Entry'!Z$8="Decrease Risk",10-10*((IF('Advanced Entry'!Z$5="Logarithm",LN(0.001+'Advanced Entry'!Z11),IF('Advanced Entry'!Z$5="Exponential",EXP('Advanced Entry'!Z11),'Advanced Entry'!Z11)))-'Advanced Entry'!Z$6)/('Advanced Entry'!Z$7-'Advanced Entry'!Z$6),10*((IF('Advanced Entry'!Z$5="Logarithm",LN(0.001+'Advanced Entry'!Z11),IF('Advanced Entry'!Z$5="Exponential",EXP('Advanced Entry'!Z11),'Advanced Entry'!Z11)))-'Advanced Entry'!Z$6)/('Advanced Entry'!Z$7-'Advanced Entry'!Z$6)),1))),"No data"))</f>
        <v/>
      </c>
      <c r="AA11" s="17">
        <f>IF('Advanced Entry'!AA11="","",IFERROR(MAX(0,MIN(10,ROUND(IF('Advanced Entry'!AA$8="Decrease Risk",10-10*((IF('Advanced Entry'!AA$5="Logarithm",LN(0.001+'Advanced Entry'!AA11),IF('Advanced Entry'!AA$5="Exponential",EXP('Advanced Entry'!AA11),'Advanced Entry'!AA11)))-'Advanced Entry'!AA$6)/('Advanced Entry'!AA$7-'Advanced Entry'!AA$6),10*((IF('Advanced Entry'!AA$5="Logarithm",LN(0.001+'Advanced Entry'!AA11),IF('Advanced Entry'!AA$5="Exponential",EXP('Advanced Entry'!AA11),'Advanced Entry'!AA11)))-'Advanced Entry'!AA$6)/('Advanced Entry'!AA$7-'Advanced Entry'!AA$6)),1))),"No data"))</f>
        <v/>
      </c>
      <c r="AB11" s="17">
        <f>IF('Advanced Entry'!AB11="","",IFERROR(MAX(0,MIN(10,ROUND(IF('Advanced Entry'!AB$8="Decrease Risk",10-10*((IF('Advanced Entry'!AB$5="Logarithm",LN(0.001+'Advanced Entry'!AB11),IF('Advanced Entry'!AB$5="Exponential",EXP('Advanced Entry'!AB11),'Advanced Entry'!AB11)))-'Advanced Entry'!AB$6)/('Advanced Entry'!AB$7-'Advanced Entry'!AB$6),10*((IF('Advanced Entry'!AB$5="Logarithm",LN(0.001+'Advanced Entry'!AB11),IF('Advanced Entry'!AB$5="Exponential",EXP('Advanced Entry'!AB11),'Advanced Entry'!AB11)))-'Advanced Entry'!AB$6)/('Advanced Entry'!AB$7-'Advanced Entry'!AB$6)),1))),"No data"))</f>
        <v/>
      </c>
    </row>
    <row r="12">
      <c r="A12" t="inlineStr">
        <is>
          <t>Arusha</t>
        </is>
      </c>
      <c r="B12" t="inlineStr">
        <is>
          <t>Arusha District</t>
        </is>
      </c>
      <c r="C12" t="inlineStr">
        <is>
          <t>C011</t>
        </is>
      </c>
      <c r="D12" s="17">
        <f>IF('Advanced Entry'!D12="","",IFERROR(MAX(0,MIN(10,ROUND(IF('Advanced Entry'!D$8="Decrease Risk",10-10*((IF('Advanced Entry'!D$5="Logarithm",LN(0.001+'Advanced Entry'!D12),IF('Advanced Entry'!D$5="Exponential",EXP('Advanced Entry'!D12),'Advanced Entry'!D12)))-'Advanced Entry'!D$6)/('Advanced Entry'!D$7-'Advanced Entry'!D$6),10*((IF('Advanced Entry'!D$5="Logarithm",LN(0.001+'Advanced Entry'!D12),IF('Advanced Entry'!D$5="Exponential",EXP('Advanced Entry'!D12),'Advanced Entry'!D12)))-'Advanced Entry'!D$6)/('Advanced Entry'!D$7-'Advanced Entry'!D$6)),1))),"No data"))</f>
        <v/>
      </c>
      <c r="E12" s="17">
        <f>IF('Advanced Entry'!E12="","",IFERROR(MAX(0,MIN(10,ROUND(IF('Advanced Entry'!E$8="Decrease Risk",10-10*((IF('Advanced Entry'!E$5="Logarithm",LN(0.001+'Advanced Entry'!E12),IF('Advanced Entry'!E$5="Exponential",EXP('Advanced Entry'!E12),'Advanced Entry'!E12)))-'Advanced Entry'!E$6)/('Advanced Entry'!E$7-'Advanced Entry'!E$6),10*((IF('Advanced Entry'!E$5="Logarithm",LN(0.001+'Advanced Entry'!E12),IF('Advanced Entry'!E$5="Exponential",EXP('Advanced Entry'!E12),'Advanced Entry'!E12)))-'Advanced Entry'!E$6)/('Advanced Entry'!E$7-'Advanced Entry'!E$6)),1))),"No data"))</f>
        <v/>
      </c>
      <c r="F12" s="17">
        <f>IF('Advanced Entry'!F12="","",IFERROR(MAX(0,MIN(10,ROUND(IF('Advanced Entry'!F$8="Decrease Risk",10-10*((IF('Advanced Entry'!F$5="Logarithm",LN(0.001+'Advanced Entry'!F12),IF('Advanced Entry'!F$5="Exponential",EXP('Advanced Entry'!F12),'Advanced Entry'!F12)))-'Advanced Entry'!F$6)/('Advanced Entry'!F$7-'Advanced Entry'!F$6),10*((IF('Advanced Entry'!F$5="Logarithm",LN(0.001+'Advanced Entry'!F12),IF('Advanced Entry'!F$5="Exponential",EXP('Advanced Entry'!F12),'Advanced Entry'!F12)))-'Advanced Entry'!F$6)/('Advanced Entry'!F$7-'Advanced Entry'!F$6)),1))),"No data"))</f>
        <v/>
      </c>
      <c r="G12" s="17">
        <f>IF('Advanced Entry'!G12="","",IFERROR(MAX(0,MIN(10,ROUND(IF('Advanced Entry'!G$8="Decrease Risk",10-10*((IF('Advanced Entry'!G$5="Logarithm",LN(0.001+'Advanced Entry'!G12),IF('Advanced Entry'!G$5="Exponential",EXP('Advanced Entry'!G12),'Advanced Entry'!G12)))-'Advanced Entry'!G$6)/('Advanced Entry'!G$7-'Advanced Entry'!G$6),10*((IF('Advanced Entry'!G$5="Logarithm",LN(0.001+'Advanced Entry'!G12),IF('Advanced Entry'!G$5="Exponential",EXP('Advanced Entry'!G12),'Advanced Entry'!G12)))-'Advanced Entry'!G$6)/('Advanced Entry'!G$7-'Advanced Entry'!G$6)),1))),"No data"))</f>
        <v/>
      </c>
      <c r="H12" s="17">
        <f>IF('Advanced Entry'!H12="","",IFERROR(MAX(0,MIN(10,ROUND(IF('Advanced Entry'!H$8="Decrease Risk",10-10*((IF('Advanced Entry'!H$5="Logarithm",LN(0.001+'Advanced Entry'!H12),IF('Advanced Entry'!H$5="Exponential",EXP('Advanced Entry'!H12),'Advanced Entry'!H12)))-'Advanced Entry'!H$6)/('Advanced Entry'!H$7-'Advanced Entry'!H$6),10*((IF('Advanced Entry'!H$5="Logarithm",LN(0.001+'Advanced Entry'!H12),IF('Advanced Entry'!H$5="Exponential",EXP('Advanced Entry'!H12),'Advanced Entry'!H12)))-'Advanced Entry'!H$6)/('Advanced Entry'!H$7-'Advanced Entry'!H$6)),1))),"No data"))</f>
        <v/>
      </c>
      <c r="I12" s="17">
        <f>IF('Advanced Entry'!I12="","",IFERROR(MAX(0,MIN(10,ROUND(IF('Advanced Entry'!I$8="Decrease Risk",10-10*((IF('Advanced Entry'!I$5="Logarithm",LN(0.001+'Advanced Entry'!I12),IF('Advanced Entry'!I$5="Exponential",EXP('Advanced Entry'!I12),'Advanced Entry'!I12)))-'Advanced Entry'!I$6)/('Advanced Entry'!I$7-'Advanced Entry'!I$6),10*((IF('Advanced Entry'!I$5="Logarithm",LN(0.001+'Advanced Entry'!I12),IF('Advanced Entry'!I$5="Exponential",EXP('Advanced Entry'!I12),'Advanced Entry'!I12)))-'Advanced Entry'!I$6)/('Advanced Entry'!I$7-'Advanced Entry'!I$6)),1))),"No data"))</f>
        <v/>
      </c>
      <c r="J12" s="17">
        <f>IF('Advanced Entry'!J12="","",IFERROR(MAX(0,MIN(10,ROUND(IF('Advanced Entry'!J$8="Decrease Risk",10-10*((IF('Advanced Entry'!J$5="Logarithm",LN(0.001+'Advanced Entry'!J12),IF('Advanced Entry'!J$5="Exponential",EXP('Advanced Entry'!J12),'Advanced Entry'!J12)))-'Advanced Entry'!J$6)/('Advanced Entry'!J$7-'Advanced Entry'!J$6),10*((IF('Advanced Entry'!J$5="Logarithm",LN(0.001+'Advanced Entry'!J12),IF('Advanced Entry'!J$5="Exponential",EXP('Advanced Entry'!J12),'Advanced Entry'!J12)))-'Advanced Entry'!J$6)/('Advanced Entry'!J$7-'Advanced Entry'!J$6)),1))),"No data"))</f>
        <v/>
      </c>
      <c r="K12" s="17">
        <f>IF('Advanced Entry'!K12="","",IFERROR(MAX(0,MIN(10,ROUND(IF('Advanced Entry'!K$8="Decrease Risk",10-10*((IF('Advanced Entry'!K$5="Logarithm",LN(0.001+'Advanced Entry'!K12),IF('Advanced Entry'!K$5="Exponential",EXP('Advanced Entry'!K12),'Advanced Entry'!K12)))-'Advanced Entry'!K$6)/('Advanced Entry'!K$7-'Advanced Entry'!K$6),10*((IF('Advanced Entry'!K$5="Logarithm",LN(0.001+'Advanced Entry'!K12),IF('Advanced Entry'!K$5="Exponential",EXP('Advanced Entry'!K12),'Advanced Entry'!K12)))-'Advanced Entry'!K$6)/('Advanced Entry'!K$7-'Advanced Entry'!K$6)),1))),"No data"))</f>
        <v/>
      </c>
      <c r="L12" s="17">
        <f>IF('Advanced Entry'!L12="","",IFERROR(MAX(0,MIN(10,ROUND(IF('Advanced Entry'!L$8="Decrease Risk",10-10*((IF('Advanced Entry'!L$5="Logarithm",LN(0.001+'Advanced Entry'!L12),IF('Advanced Entry'!L$5="Exponential",EXP('Advanced Entry'!L12),'Advanced Entry'!L12)))-'Advanced Entry'!L$6)/('Advanced Entry'!L$7-'Advanced Entry'!L$6),10*((IF('Advanced Entry'!L$5="Logarithm",LN(0.001+'Advanced Entry'!L12),IF('Advanced Entry'!L$5="Exponential",EXP('Advanced Entry'!L12),'Advanced Entry'!L12)))-'Advanced Entry'!L$6)/('Advanced Entry'!L$7-'Advanced Entry'!L$6)),1))),"No data"))</f>
        <v/>
      </c>
      <c r="M12" s="17">
        <f>IF('Advanced Entry'!M12="","",IFERROR(MAX(0,MIN(10,ROUND(IF('Advanced Entry'!M$8="Decrease Risk",10-10*((IF('Advanced Entry'!M$5="Logarithm",LN(0.001+'Advanced Entry'!M12),IF('Advanced Entry'!M$5="Exponential",EXP('Advanced Entry'!M12),'Advanced Entry'!M12)))-'Advanced Entry'!M$6)/('Advanced Entry'!M$7-'Advanced Entry'!M$6),10*((IF('Advanced Entry'!M$5="Logarithm",LN(0.001+'Advanced Entry'!M12),IF('Advanced Entry'!M$5="Exponential",EXP('Advanced Entry'!M12),'Advanced Entry'!M12)))-'Advanced Entry'!M$6)/('Advanced Entry'!M$7-'Advanced Entry'!M$6)),1))),"No data"))</f>
        <v/>
      </c>
      <c r="N12" s="17">
        <f>IF('Advanced Entry'!N12="","",IFERROR(MAX(0,MIN(10,ROUND(IF('Advanced Entry'!N$8="Decrease Risk",10-10*((IF('Advanced Entry'!N$5="Logarithm",LN(0.001+'Advanced Entry'!N12),IF('Advanced Entry'!N$5="Exponential",EXP('Advanced Entry'!N12),'Advanced Entry'!N12)))-'Advanced Entry'!N$6)/('Advanced Entry'!N$7-'Advanced Entry'!N$6),10*((IF('Advanced Entry'!N$5="Logarithm",LN(0.001+'Advanced Entry'!N12),IF('Advanced Entry'!N$5="Exponential",EXP('Advanced Entry'!N12),'Advanced Entry'!N12)))-'Advanced Entry'!N$6)/('Advanced Entry'!N$7-'Advanced Entry'!N$6)),1))),"No data"))</f>
        <v/>
      </c>
      <c r="O12" s="17">
        <f>IF('Advanced Entry'!O12="","",IFERROR(MAX(0,MIN(10,ROUND(IF('Advanced Entry'!O$8="Decrease Risk",10-10*((IF('Advanced Entry'!O$5="Logarithm",LN(0.001+'Advanced Entry'!O12),IF('Advanced Entry'!O$5="Exponential",EXP('Advanced Entry'!O12),'Advanced Entry'!O12)))-'Advanced Entry'!O$6)/('Advanced Entry'!O$7-'Advanced Entry'!O$6),10*((IF('Advanced Entry'!O$5="Logarithm",LN(0.001+'Advanced Entry'!O12),IF('Advanced Entry'!O$5="Exponential",EXP('Advanced Entry'!O12),'Advanced Entry'!O12)))-'Advanced Entry'!O$6)/('Advanced Entry'!O$7-'Advanced Entry'!O$6)),1))),"No data"))</f>
        <v/>
      </c>
      <c r="P12" s="17">
        <f>IF('Advanced Entry'!P12="","",IFERROR(MAX(0,MIN(10,ROUND(IF('Advanced Entry'!P$8="Decrease Risk",10-10*((IF('Advanced Entry'!P$5="Logarithm",LN(0.001+'Advanced Entry'!P12),IF('Advanced Entry'!P$5="Exponential",EXP('Advanced Entry'!P12),'Advanced Entry'!P12)))-'Advanced Entry'!P$6)/('Advanced Entry'!P$7-'Advanced Entry'!P$6),10*((IF('Advanced Entry'!P$5="Logarithm",LN(0.001+'Advanced Entry'!P12),IF('Advanced Entry'!P$5="Exponential",EXP('Advanced Entry'!P12),'Advanced Entry'!P12)))-'Advanced Entry'!P$6)/('Advanced Entry'!P$7-'Advanced Entry'!P$6)),1))),"No data"))</f>
        <v/>
      </c>
      <c r="Q12" s="17">
        <f>IF('Advanced Entry'!Q12="","",IFERROR(MAX(0,MIN(10,ROUND(IF('Advanced Entry'!Q$8="Decrease Risk",10-10*((IF('Advanced Entry'!Q$5="Logarithm",LN(0.001+'Advanced Entry'!Q12),IF('Advanced Entry'!Q$5="Exponential",EXP('Advanced Entry'!Q12),'Advanced Entry'!Q12)))-'Advanced Entry'!Q$6)/('Advanced Entry'!Q$7-'Advanced Entry'!Q$6),10*((IF('Advanced Entry'!Q$5="Logarithm",LN(0.001+'Advanced Entry'!Q12),IF('Advanced Entry'!Q$5="Exponential",EXP('Advanced Entry'!Q12),'Advanced Entry'!Q12)))-'Advanced Entry'!Q$6)/('Advanced Entry'!Q$7-'Advanced Entry'!Q$6)),1))),"No data"))</f>
        <v/>
      </c>
      <c r="R12" s="17">
        <f>IF('Advanced Entry'!R12="","",IFERROR(MAX(0,MIN(10,ROUND(IF('Advanced Entry'!R$8="Decrease Risk",10-10*((IF('Advanced Entry'!R$5="Logarithm",LN(0.001+'Advanced Entry'!R12),IF('Advanced Entry'!R$5="Exponential",EXP('Advanced Entry'!R12),'Advanced Entry'!R12)))-'Advanced Entry'!R$6)/('Advanced Entry'!R$7-'Advanced Entry'!R$6),10*((IF('Advanced Entry'!R$5="Logarithm",LN(0.001+'Advanced Entry'!R12),IF('Advanced Entry'!R$5="Exponential",EXP('Advanced Entry'!R12),'Advanced Entry'!R12)))-'Advanced Entry'!R$6)/('Advanced Entry'!R$7-'Advanced Entry'!R$6)),1))),"No data"))</f>
        <v/>
      </c>
      <c r="S12" s="17">
        <f>IF('Advanced Entry'!S12="","",IFERROR(MAX(0,MIN(10,ROUND(IF('Advanced Entry'!S$8="Decrease Risk",10-10*((IF('Advanced Entry'!S$5="Logarithm",LN(0.001+'Advanced Entry'!S12),IF('Advanced Entry'!S$5="Exponential",EXP('Advanced Entry'!S12),'Advanced Entry'!S12)))-'Advanced Entry'!S$6)/('Advanced Entry'!S$7-'Advanced Entry'!S$6),10*((IF('Advanced Entry'!S$5="Logarithm",LN(0.001+'Advanced Entry'!S12),IF('Advanced Entry'!S$5="Exponential",EXP('Advanced Entry'!S12),'Advanced Entry'!S12)))-'Advanced Entry'!S$6)/('Advanced Entry'!S$7-'Advanced Entry'!S$6)),1))),"No data"))</f>
        <v/>
      </c>
      <c r="T12" s="17">
        <f>IF('Advanced Entry'!T12="","",IFERROR(MAX(0,MIN(10,ROUND(IF('Advanced Entry'!T$8="Decrease Risk",10-10*((IF('Advanced Entry'!T$5="Logarithm",LN(0.001+'Advanced Entry'!T12),IF('Advanced Entry'!T$5="Exponential",EXP('Advanced Entry'!T12),'Advanced Entry'!T12)))-'Advanced Entry'!T$6)/('Advanced Entry'!T$7-'Advanced Entry'!T$6),10*((IF('Advanced Entry'!T$5="Logarithm",LN(0.001+'Advanced Entry'!T12),IF('Advanced Entry'!T$5="Exponential",EXP('Advanced Entry'!T12),'Advanced Entry'!T12)))-'Advanced Entry'!T$6)/('Advanced Entry'!T$7-'Advanced Entry'!T$6)),1))),"No data"))</f>
        <v/>
      </c>
      <c r="U12" s="17">
        <f>IF('Advanced Entry'!U12="","",IFERROR(MAX(0,MIN(10,ROUND(IF('Advanced Entry'!U$8="Decrease Risk",10-10*((IF('Advanced Entry'!U$5="Logarithm",LN(0.001+'Advanced Entry'!U12),IF('Advanced Entry'!U$5="Exponential",EXP('Advanced Entry'!U12),'Advanced Entry'!U12)))-'Advanced Entry'!U$6)/('Advanced Entry'!U$7-'Advanced Entry'!U$6),10*((IF('Advanced Entry'!U$5="Logarithm",LN(0.001+'Advanced Entry'!U12),IF('Advanced Entry'!U$5="Exponential",EXP('Advanced Entry'!U12),'Advanced Entry'!U12)))-'Advanced Entry'!U$6)/('Advanced Entry'!U$7-'Advanced Entry'!U$6)),1))),"No data"))</f>
        <v/>
      </c>
      <c r="V12" s="17">
        <f>IF('Advanced Entry'!V12="","",IFERROR(MAX(0,MIN(10,ROUND(IF('Advanced Entry'!V$8="Decrease Risk",10-10*((IF('Advanced Entry'!V$5="Logarithm",LN(0.001+'Advanced Entry'!V12),IF('Advanced Entry'!V$5="Exponential",EXP('Advanced Entry'!V12),'Advanced Entry'!V12)))-'Advanced Entry'!V$6)/('Advanced Entry'!V$7-'Advanced Entry'!V$6),10*((IF('Advanced Entry'!V$5="Logarithm",LN(0.001+'Advanced Entry'!V12),IF('Advanced Entry'!V$5="Exponential",EXP('Advanced Entry'!V12),'Advanced Entry'!V12)))-'Advanced Entry'!V$6)/('Advanced Entry'!V$7-'Advanced Entry'!V$6)),1))),"No data"))</f>
        <v/>
      </c>
      <c r="W12" s="17">
        <f>IF('Advanced Entry'!W12="","",IFERROR(MAX(0,MIN(10,ROUND(IF('Advanced Entry'!W$8="Decrease Risk",10-10*((IF('Advanced Entry'!W$5="Logarithm",LN(0.001+'Advanced Entry'!W12),IF('Advanced Entry'!W$5="Exponential",EXP('Advanced Entry'!W12),'Advanced Entry'!W12)))-'Advanced Entry'!W$6)/('Advanced Entry'!W$7-'Advanced Entry'!W$6),10*((IF('Advanced Entry'!W$5="Logarithm",LN(0.001+'Advanced Entry'!W12),IF('Advanced Entry'!W$5="Exponential",EXP('Advanced Entry'!W12),'Advanced Entry'!W12)))-'Advanced Entry'!W$6)/('Advanced Entry'!W$7-'Advanced Entry'!W$6)),1))),"No data"))</f>
        <v/>
      </c>
      <c r="X12" s="17">
        <f>IF('Advanced Entry'!X12="","",IFERROR(MAX(0,MIN(10,ROUND(IF('Advanced Entry'!X$8="Decrease Risk",10-10*((IF('Advanced Entry'!X$5="Logarithm",LN(0.001+'Advanced Entry'!X12),IF('Advanced Entry'!X$5="Exponential",EXP('Advanced Entry'!X12),'Advanced Entry'!X12)))-'Advanced Entry'!X$6)/('Advanced Entry'!X$7-'Advanced Entry'!X$6),10*((IF('Advanced Entry'!X$5="Logarithm",LN(0.001+'Advanced Entry'!X12),IF('Advanced Entry'!X$5="Exponential",EXP('Advanced Entry'!X12),'Advanced Entry'!X12)))-'Advanced Entry'!X$6)/('Advanced Entry'!X$7-'Advanced Entry'!X$6)),1))),"No data"))</f>
        <v/>
      </c>
      <c r="Y12" s="17">
        <f>IF('Advanced Entry'!Y12="","",IFERROR(MAX(0,MIN(10,ROUND(IF('Advanced Entry'!Y$8="Decrease Risk",10-10*((IF('Advanced Entry'!Y$5="Logarithm",LN(0.001+'Advanced Entry'!Y12),IF('Advanced Entry'!Y$5="Exponential",EXP('Advanced Entry'!Y12),'Advanced Entry'!Y12)))-'Advanced Entry'!Y$6)/('Advanced Entry'!Y$7-'Advanced Entry'!Y$6),10*((IF('Advanced Entry'!Y$5="Logarithm",LN(0.001+'Advanced Entry'!Y12),IF('Advanced Entry'!Y$5="Exponential",EXP('Advanced Entry'!Y12),'Advanced Entry'!Y12)))-'Advanced Entry'!Y$6)/('Advanced Entry'!Y$7-'Advanced Entry'!Y$6)),1))),"No data"))</f>
        <v/>
      </c>
      <c r="Z12" s="17">
        <f>IF('Advanced Entry'!Z12="","",IFERROR(MAX(0,MIN(10,ROUND(IF('Advanced Entry'!Z$8="Decrease Risk",10-10*((IF('Advanced Entry'!Z$5="Logarithm",LN(0.001+'Advanced Entry'!Z12),IF('Advanced Entry'!Z$5="Exponential",EXP('Advanced Entry'!Z12),'Advanced Entry'!Z12)))-'Advanced Entry'!Z$6)/('Advanced Entry'!Z$7-'Advanced Entry'!Z$6),10*((IF('Advanced Entry'!Z$5="Logarithm",LN(0.001+'Advanced Entry'!Z12),IF('Advanced Entry'!Z$5="Exponential",EXP('Advanced Entry'!Z12),'Advanced Entry'!Z12)))-'Advanced Entry'!Z$6)/('Advanced Entry'!Z$7-'Advanced Entry'!Z$6)),1))),"No data"))</f>
        <v/>
      </c>
      <c r="AA12" s="17">
        <f>IF('Advanced Entry'!AA12="","",IFERROR(MAX(0,MIN(10,ROUND(IF('Advanced Entry'!AA$8="Decrease Risk",10-10*((IF('Advanced Entry'!AA$5="Logarithm",LN(0.001+'Advanced Entry'!AA12),IF('Advanced Entry'!AA$5="Exponential",EXP('Advanced Entry'!AA12),'Advanced Entry'!AA12)))-'Advanced Entry'!AA$6)/('Advanced Entry'!AA$7-'Advanced Entry'!AA$6),10*((IF('Advanced Entry'!AA$5="Logarithm",LN(0.001+'Advanced Entry'!AA12),IF('Advanced Entry'!AA$5="Exponential",EXP('Advanced Entry'!AA12),'Advanced Entry'!AA12)))-'Advanced Entry'!AA$6)/('Advanced Entry'!AA$7-'Advanced Entry'!AA$6)),1))),"No data"))</f>
        <v/>
      </c>
      <c r="AB12" s="17">
        <f>IF('Advanced Entry'!AB12="","",IFERROR(MAX(0,MIN(10,ROUND(IF('Advanced Entry'!AB$8="Decrease Risk",10-10*((IF('Advanced Entry'!AB$5="Logarithm",LN(0.001+'Advanced Entry'!AB12),IF('Advanced Entry'!AB$5="Exponential",EXP('Advanced Entry'!AB12),'Advanced Entry'!AB12)))-'Advanced Entry'!AB$6)/('Advanced Entry'!AB$7-'Advanced Entry'!AB$6),10*((IF('Advanced Entry'!AB$5="Logarithm",LN(0.001+'Advanced Entry'!AB12),IF('Advanced Entry'!AB$5="Exponential",EXP('Advanced Entry'!AB12),'Advanced Entry'!AB12)))-'Advanced Entry'!AB$6)/('Advanced Entry'!AB$7-'Advanced Entry'!AB$6)),1))),"No data"))</f>
        <v/>
      </c>
    </row>
    <row r="13">
      <c r="A13" t="inlineStr">
        <is>
          <t>Arusha</t>
        </is>
      </c>
      <c r="B13" t="inlineStr">
        <is>
          <t>Karatu District</t>
        </is>
      </c>
      <c r="C13" t="inlineStr">
        <is>
          <t>C013</t>
        </is>
      </c>
      <c r="D13" s="17">
        <f>IF('Advanced Entry'!D13="","",IFERROR(MAX(0,MIN(10,ROUND(IF('Advanced Entry'!D$8="Decrease Risk",10-10*((IF('Advanced Entry'!D$5="Logarithm",LN(0.001+'Advanced Entry'!D13),IF('Advanced Entry'!D$5="Exponential",EXP('Advanced Entry'!D13),'Advanced Entry'!D13)))-'Advanced Entry'!D$6)/('Advanced Entry'!D$7-'Advanced Entry'!D$6),10*((IF('Advanced Entry'!D$5="Logarithm",LN(0.001+'Advanced Entry'!D13),IF('Advanced Entry'!D$5="Exponential",EXP('Advanced Entry'!D13),'Advanced Entry'!D13)))-'Advanced Entry'!D$6)/('Advanced Entry'!D$7-'Advanced Entry'!D$6)),1))),"No data"))</f>
        <v/>
      </c>
      <c r="E13" s="17">
        <f>IF('Advanced Entry'!E13="","",IFERROR(MAX(0,MIN(10,ROUND(IF('Advanced Entry'!E$8="Decrease Risk",10-10*((IF('Advanced Entry'!E$5="Logarithm",LN(0.001+'Advanced Entry'!E13),IF('Advanced Entry'!E$5="Exponential",EXP('Advanced Entry'!E13),'Advanced Entry'!E13)))-'Advanced Entry'!E$6)/('Advanced Entry'!E$7-'Advanced Entry'!E$6),10*((IF('Advanced Entry'!E$5="Logarithm",LN(0.001+'Advanced Entry'!E13),IF('Advanced Entry'!E$5="Exponential",EXP('Advanced Entry'!E13),'Advanced Entry'!E13)))-'Advanced Entry'!E$6)/('Advanced Entry'!E$7-'Advanced Entry'!E$6)),1))),"No data"))</f>
        <v/>
      </c>
      <c r="F13" s="17">
        <f>IF('Advanced Entry'!F13="","",IFERROR(MAX(0,MIN(10,ROUND(IF('Advanced Entry'!F$8="Decrease Risk",10-10*((IF('Advanced Entry'!F$5="Logarithm",LN(0.001+'Advanced Entry'!F13),IF('Advanced Entry'!F$5="Exponential",EXP('Advanced Entry'!F13),'Advanced Entry'!F13)))-'Advanced Entry'!F$6)/('Advanced Entry'!F$7-'Advanced Entry'!F$6),10*((IF('Advanced Entry'!F$5="Logarithm",LN(0.001+'Advanced Entry'!F13),IF('Advanced Entry'!F$5="Exponential",EXP('Advanced Entry'!F13),'Advanced Entry'!F13)))-'Advanced Entry'!F$6)/('Advanced Entry'!F$7-'Advanced Entry'!F$6)),1))),"No data"))</f>
        <v/>
      </c>
      <c r="G13" s="17">
        <f>IF('Advanced Entry'!G13="","",IFERROR(MAX(0,MIN(10,ROUND(IF('Advanced Entry'!G$8="Decrease Risk",10-10*((IF('Advanced Entry'!G$5="Logarithm",LN(0.001+'Advanced Entry'!G13),IF('Advanced Entry'!G$5="Exponential",EXP('Advanced Entry'!G13),'Advanced Entry'!G13)))-'Advanced Entry'!G$6)/('Advanced Entry'!G$7-'Advanced Entry'!G$6),10*((IF('Advanced Entry'!G$5="Logarithm",LN(0.001+'Advanced Entry'!G13),IF('Advanced Entry'!G$5="Exponential",EXP('Advanced Entry'!G13),'Advanced Entry'!G13)))-'Advanced Entry'!G$6)/('Advanced Entry'!G$7-'Advanced Entry'!G$6)),1))),"No data"))</f>
        <v/>
      </c>
      <c r="H13" s="17">
        <f>IF('Advanced Entry'!H13="","",IFERROR(MAX(0,MIN(10,ROUND(IF('Advanced Entry'!H$8="Decrease Risk",10-10*((IF('Advanced Entry'!H$5="Logarithm",LN(0.001+'Advanced Entry'!H13),IF('Advanced Entry'!H$5="Exponential",EXP('Advanced Entry'!H13),'Advanced Entry'!H13)))-'Advanced Entry'!H$6)/('Advanced Entry'!H$7-'Advanced Entry'!H$6),10*((IF('Advanced Entry'!H$5="Logarithm",LN(0.001+'Advanced Entry'!H13),IF('Advanced Entry'!H$5="Exponential",EXP('Advanced Entry'!H13),'Advanced Entry'!H13)))-'Advanced Entry'!H$6)/('Advanced Entry'!H$7-'Advanced Entry'!H$6)),1))),"No data"))</f>
        <v/>
      </c>
      <c r="I13" s="17">
        <f>IF('Advanced Entry'!I13="","",IFERROR(MAX(0,MIN(10,ROUND(IF('Advanced Entry'!I$8="Decrease Risk",10-10*((IF('Advanced Entry'!I$5="Logarithm",LN(0.001+'Advanced Entry'!I13),IF('Advanced Entry'!I$5="Exponential",EXP('Advanced Entry'!I13),'Advanced Entry'!I13)))-'Advanced Entry'!I$6)/('Advanced Entry'!I$7-'Advanced Entry'!I$6),10*((IF('Advanced Entry'!I$5="Logarithm",LN(0.001+'Advanced Entry'!I13),IF('Advanced Entry'!I$5="Exponential",EXP('Advanced Entry'!I13),'Advanced Entry'!I13)))-'Advanced Entry'!I$6)/('Advanced Entry'!I$7-'Advanced Entry'!I$6)),1))),"No data"))</f>
        <v/>
      </c>
      <c r="J13" s="17">
        <f>IF('Advanced Entry'!J13="","",IFERROR(MAX(0,MIN(10,ROUND(IF('Advanced Entry'!J$8="Decrease Risk",10-10*((IF('Advanced Entry'!J$5="Logarithm",LN(0.001+'Advanced Entry'!J13),IF('Advanced Entry'!J$5="Exponential",EXP('Advanced Entry'!J13),'Advanced Entry'!J13)))-'Advanced Entry'!J$6)/('Advanced Entry'!J$7-'Advanced Entry'!J$6),10*((IF('Advanced Entry'!J$5="Logarithm",LN(0.001+'Advanced Entry'!J13),IF('Advanced Entry'!J$5="Exponential",EXP('Advanced Entry'!J13),'Advanced Entry'!J13)))-'Advanced Entry'!J$6)/('Advanced Entry'!J$7-'Advanced Entry'!J$6)),1))),"No data"))</f>
        <v/>
      </c>
      <c r="K13" s="17">
        <f>IF('Advanced Entry'!K13="","",IFERROR(MAX(0,MIN(10,ROUND(IF('Advanced Entry'!K$8="Decrease Risk",10-10*((IF('Advanced Entry'!K$5="Logarithm",LN(0.001+'Advanced Entry'!K13),IF('Advanced Entry'!K$5="Exponential",EXP('Advanced Entry'!K13),'Advanced Entry'!K13)))-'Advanced Entry'!K$6)/('Advanced Entry'!K$7-'Advanced Entry'!K$6),10*((IF('Advanced Entry'!K$5="Logarithm",LN(0.001+'Advanced Entry'!K13),IF('Advanced Entry'!K$5="Exponential",EXP('Advanced Entry'!K13),'Advanced Entry'!K13)))-'Advanced Entry'!K$6)/('Advanced Entry'!K$7-'Advanced Entry'!K$6)),1))),"No data"))</f>
        <v/>
      </c>
      <c r="L13" s="17">
        <f>IF('Advanced Entry'!L13="","",IFERROR(MAX(0,MIN(10,ROUND(IF('Advanced Entry'!L$8="Decrease Risk",10-10*((IF('Advanced Entry'!L$5="Logarithm",LN(0.001+'Advanced Entry'!L13),IF('Advanced Entry'!L$5="Exponential",EXP('Advanced Entry'!L13),'Advanced Entry'!L13)))-'Advanced Entry'!L$6)/('Advanced Entry'!L$7-'Advanced Entry'!L$6),10*((IF('Advanced Entry'!L$5="Logarithm",LN(0.001+'Advanced Entry'!L13),IF('Advanced Entry'!L$5="Exponential",EXP('Advanced Entry'!L13),'Advanced Entry'!L13)))-'Advanced Entry'!L$6)/('Advanced Entry'!L$7-'Advanced Entry'!L$6)),1))),"No data"))</f>
        <v/>
      </c>
      <c r="M13" s="17">
        <f>IF('Advanced Entry'!M13="","",IFERROR(MAX(0,MIN(10,ROUND(IF('Advanced Entry'!M$8="Decrease Risk",10-10*((IF('Advanced Entry'!M$5="Logarithm",LN(0.001+'Advanced Entry'!M13),IF('Advanced Entry'!M$5="Exponential",EXP('Advanced Entry'!M13),'Advanced Entry'!M13)))-'Advanced Entry'!M$6)/('Advanced Entry'!M$7-'Advanced Entry'!M$6),10*((IF('Advanced Entry'!M$5="Logarithm",LN(0.001+'Advanced Entry'!M13),IF('Advanced Entry'!M$5="Exponential",EXP('Advanced Entry'!M13),'Advanced Entry'!M13)))-'Advanced Entry'!M$6)/('Advanced Entry'!M$7-'Advanced Entry'!M$6)),1))),"No data"))</f>
        <v/>
      </c>
      <c r="N13" s="17">
        <f>IF('Advanced Entry'!N13="","",IFERROR(MAX(0,MIN(10,ROUND(IF('Advanced Entry'!N$8="Decrease Risk",10-10*((IF('Advanced Entry'!N$5="Logarithm",LN(0.001+'Advanced Entry'!N13),IF('Advanced Entry'!N$5="Exponential",EXP('Advanced Entry'!N13),'Advanced Entry'!N13)))-'Advanced Entry'!N$6)/('Advanced Entry'!N$7-'Advanced Entry'!N$6),10*((IF('Advanced Entry'!N$5="Logarithm",LN(0.001+'Advanced Entry'!N13),IF('Advanced Entry'!N$5="Exponential",EXP('Advanced Entry'!N13),'Advanced Entry'!N13)))-'Advanced Entry'!N$6)/('Advanced Entry'!N$7-'Advanced Entry'!N$6)),1))),"No data"))</f>
        <v/>
      </c>
      <c r="O13" s="17">
        <f>IF('Advanced Entry'!O13="","",IFERROR(MAX(0,MIN(10,ROUND(IF('Advanced Entry'!O$8="Decrease Risk",10-10*((IF('Advanced Entry'!O$5="Logarithm",LN(0.001+'Advanced Entry'!O13),IF('Advanced Entry'!O$5="Exponential",EXP('Advanced Entry'!O13),'Advanced Entry'!O13)))-'Advanced Entry'!O$6)/('Advanced Entry'!O$7-'Advanced Entry'!O$6),10*((IF('Advanced Entry'!O$5="Logarithm",LN(0.001+'Advanced Entry'!O13),IF('Advanced Entry'!O$5="Exponential",EXP('Advanced Entry'!O13),'Advanced Entry'!O13)))-'Advanced Entry'!O$6)/('Advanced Entry'!O$7-'Advanced Entry'!O$6)),1))),"No data"))</f>
        <v/>
      </c>
      <c r="P13" s="17">
        <f>IF('Advanced Entry'!P13="","",IFERROR(MAX(0,MIN(10,ROUND(IF('Advanced Entry'!P$8="Decrease Risk",10-10*((IF('Advanced Entry'!P$5="Logarithm",LN(0.001+'Advanced Entry'!P13),IF('Advanced Entry'!P$5="Exponential",EXP('Advanced Entry'!P13),'Advanced Entry'!P13)))-'Advanced Entry'!P$6)/('Advanced Entry'!P$7-'Advanced Entry'!P$6),10*((IF('Advanced Entry'!P$5="Logarithm",LN(0.001+'Advanced Entry'!P13),IF('Advanced Entry'!P$5="Exponential",EXP('Advanced Entry'!P13),'Advanced Entry'!P13)))-'Advanced Entry'!P$6)/('Advanced Entry'!P$7-'Advanced Entry'!P$6)),1))),"No data"))</f>
        <v/>
      </c>
      <c r="Q13" s="17">
        <f>IF('Advanced Entry'!Q13="","",IFERROR(MAX(0,MIN(10,ROUND(IF('Advanced Entry'!Q$8="Decrease Risk",10-10*((IF('Advanced Entry'!Q$5="Logarithm",LN(0.001+'Advanced Entry'!Q13),IF('Advanced Entry'!Q$5="Exponential",EXP('Advanced Entry'!Q13),'Advanced Entry'!Q13)))-'Advanced Entry'!Q$6)/('Advanced Entry'!Q$7-'Advanced Entry'!Q$6),10*((IF('Advanced Entry'!Q$5="Logarithm",LN(0.001+'Advanced Entry'!Q13),IF('Advanced Entry'!Q$5="Exponential",EXP('Advanced Entry'!Q13),'Advanced Entry'!Q13)))-'Advanced Entry'!Q$6)/('Advanced Entry'!Q$7-'Advanced Entry'!Q$6)),1))),"No data"))</f>
        <v/>
      </c>
      <c r="R13" s="17">
        <f>IF('Advanced Entry'!R13="","",IFERROR(MAX(0,MIN(10,ROUND(IF('Advanced Entry'!R$8="Decrease Risk",10-10*((IF('Advanced Entry'!R$5="Logarithm",LN(0.001+'Advanced Entry'!R13),IF('Advanced Entry'!R$5="Exponential",EXP('Advanced Entry'!R13),'Advanced Entry'!R13)))-'Advanced Entry'!R$6)/('Advanced Entry'!R$7-'Advanced Entry'!R$6),10*((IF('Advanced Entry'!R$5="Logarithm",LN(0.001+'Advanced Entry'!R13),IF('Advanced Entry'!R$5="Exponential",EXP('Advanced Entry'!R13),'Advanced Entry'!R13)))-'Advanced Entry'!R$6)/('Advanced Entry'!R$7-'Advanced Entry'!R$6)),1))),"No data"))</f>
        <v/>
      </c>
      <c r="S13" s="17">
        <f>IF('Advanced Entry'!S13="","",IFERROR(MAX(0,MIN(10,ROUND(IF('Advanced Entry'!S$8="Decrease Risk",10-10*((IF('Advanced Entry'!S$5="Logarithm",LN(0.001+'Advanced Entry'!S13),IF('Advanced Entry'!S$5="Exponential",EXP('Advanced Entry'!S13),'Advanced Entry'!S13)))-'Advanced Entry'!S$6)/('Advanced Entry'!S$7-'Advanced Entry'!S$6),10*((IF('Advanced Entry'!S$5="Logarithm",LN(0.001+'Advanced Entry'!S13),IF('Advanced Entry'!S$5="Exponential",EXP('Advanced Entry'!S13),'Advanced Entry'!S13)))-'Advanced Entry'!S$6)/('Advanced Entry'!S$7-'Advanced Entry'!S$6)),1))),"No data"))</f>
        <v/>
      </c>
      <c r="T13" s="17">
        <f>IF('Advanced Entry'!T13="","",IFERROR(MAX(0,MIN(10,ROUND(IF('Advanced Entry'!T$8="Decrease Risk",10-10*((IF('Advanced Entry'!T$5="Logarithm",LN(0.001+'Advanced Entry'!T13),IF('Advanced Entry'!T$5="Exponential",EXP('Advanced Entry'!T13),'Advanced Entry'!T13)))-'Advanced Entry'!T$6)/('Advanced Entry'!T$7-'Advanced Entry'!T$6),10*((IF('Advanced Entry'!T$5="Logarithm",LN(0.001+'Advanced Entry'!T13),IF('Advanced Entry'!T$5="Exponential",EXP('Advanced Entry'!T13),'Advanced Entry'!T13)))-'Advanced Entry'!T$6)/('Advanced Entry'!T$7-'Advanced Entry'!T$6)),1))),"No data"))</f>
        <v/>
      </c>
      <c r="U13" s="17">
        <f>IF('Advanced Entry'!U13="","",IFERROR(MAX(0,MIN(10,ROUND(IF('Advanced Entry'!U$8="Decrease Risk",10-10*((IF('Advanced Entry'!U$5="Logarithm",LN(0.001+'Advanced Entry'!U13),IF('Advanced Entry'!U$5="Exponential",EXP('Advanced Entry'!U13),'Advanced Entry'!U13)))-'Advanced Entry'!U$6)/('Advanced Entry'!U$7-'Advanced Entry'!U$6),10*((IF('Advanced Entry'!U$5="Logarithm",LN(0.001+'Advanced Entry'!U13),IF('Advanced Entry'!U$5="Exponential",EXP('Advanced Entry'!U13),'Advanced Entry'!U13)))-'Advanced Entry'!U$6)/('Advanced Entry'!U$7-'Advanced Entry'!U$6)),1))),"No data"))</f>
        <v/>
      </c>
      <c r="V13" s="17">
        <f>IF('Advanced Entry'!V13="","",IFERROR(MAX(0,MIN(10,ROUND(IF('Advanced Entry'!V$8="Decrease Risk",10-10*((IF('Advanced Entry'!V$5="Logarithm",LN(0.001+'Advanced Entry'!V13),IF('Advanced Entry'!V$5="Exponential",EXP('Advanced Entry'!V13),'Advanced Entry'!V13)))-'Advanced Entry'!V$6)/('Advanced Entry'!V$7-'Advanced Entry'!V$6),10*((IF('Advanced Entry'!V$5="Logarithm",LN(0.001+'Advanced Entry'!V13),IF('Advanced Entry'!V$5="Exponential",EXP('Advanced Entry'!V13),'Advanced Entry'!V13)))-'Advanced Entry'!V$6)/('Advanced Entry'!V$7-'Advanced Entry'!V$6)),1))),"No data"))</f>
        <v/>
      </c>
      <c r="W13" s="17">
        <f>IF('Advanced Entry'!W13="","",IFERROR(MAX(0,MIN(10,ROUND(IF('Advanced Entry'!W$8="Decrease Risk",10-10*((IF('Advanced Entry'!W$5="Logarithm",LN(0.001+'Advanced Entry'!W13),IF('Advanced Entry'!W$5="Exponential",EXP('Advanced Entry'!W13),'Advanced Entry'!W13)))-'Advanced Entry'!W$6)/('Advanced Entry'!W$7-'Advanced Entry'!W$6),10*((IF('Advanced Entry'!W$5="Logarithm",LN(0.001+'Advanced Entry'!W13),IF('Advanced Entry'!W$5="Exponential",EXP('Advanced Entry'!W13),'Advanced Entry'!W13)))-'Advanced Entry'!W$6)/('Advanced Entry'!W$7-'Advanced Entry'!W$6)),1))),"No data"))</f>
        <v/>
      </c>
      <c r="X13" s="17">
        <f>IF('Advanced Entry'!X13="","",IFERROR(MAX(0,MIN(10,ROUND(IF('Advanced Entry'!X$8="Decrease Risk",10-10*((IF('Advanced Entry'!X$5="Logarithm",LN(0.001+'Advanced Entry'!X13),IF('Advanced Entry'!X$5="Exponential",EXP('Advanced Entry'!X13),'Advanced Entry'!X13)))-'Advanced Entry'!X$6)/('Advanced Entry'!X$7-'Advanced Entry'!X$6),10*((IF('Advanced Entry'!X$5="Logarithm",LN(0.001+'Advanced Entry'!X13),IF('Advanced Entry'!X$5="Exponential",EXP('Advanced Entry'!X13),'Advanced Entry'!X13)))-'Advanced Entry'!X$6)/('Advanced Entry'!X$7-'Advanced Entry'!X$6)),1))),"No data"))</f>
        <v/>
      </c>
      <c r="Y13" s="17">
        <f>IF('Advanced Entry'!Y13="","",IFERROR(MAX(0,MIN(10,ROUND(IF('Advanced Entry'!Y$8="Decrease Risk",10-10*((IF('Advanced Entry'!Y$5="Logarithm",LN(0.001+'Advanced Entry'!Y13),IF('Advanced Entry'!Y$5="Exponential",EXP('Advanced Entry'!Y13),'Advanced Entry'!Y13)))-'Advanced Entry'!Y$6)/('Advanced Entry'!Y$7-'Advanced Entry'!Y$6),10*((IF('Advanced Entry'!Y$5="Logarithm",LN(0.001+'Advanced Entry'!Y13),IF('Advanced Entry'!Y$5="Exponential",EXP('Advanced Entry'!Y13),'Advanced Entry'!Y13)))-'Advanced Entry'!Y$6)/('Advanced Entry'!Y$7-'Advanced Entry'!Y$6)),1))),"No data"))</f>
        <v/>
      </c>
      <c r="Z13" s="17">
        <f>IF('Advanced Entry'!Z13="","",IFERROR(MAX(0,MIN(10,ROUND(IF('Advanced Entry'!Z$8="Decrease Risk",10-10*((IF('Advanced Entry'!Z$5="Logarithm",LN(0.001+'Advanced Entry'!Z13),IF('Advanced Entry'!Z$5="Exponential",EXP('Advanced Entry'!Z13),'Advanced Entry'!Z13)))-'Advanced Entry'!Z$6)/('Advanced Entry'!Z$7-'Advanced Entry'!Z$6),10*((IF('Advanced Entry'!Z$5="Logarithm",LN(0.001+'Advanced Entry'!Z13),IF('Advanced Entry'!Z$5="Exponential",EXP('Advanced Entry'!Z13),'Advanced Entry'!Z13)))-'Advanced Entry'!Z$6)/('Advanced Entry'!Z$7-'Advanced Entry'!Z$6)),1))),"No data"))</f>
        <v/>
      </c>
      <c r="AA13" s="17">
        <f>IF('Advanced Entry'!AA13="","",IFERROR(MAX(0,MIN(10,ROUND(IF('Advanced Entry'!AA$8="Decrease Risk",10-10*((IF('Advanced Entry'!AA$5="Logarithm",LN(0.001+'Advanced Entry'!AA13),IF('Advanced Entry'!AA$5="Exponential",EXP('Advanced Entry'!AA13),'Advanced Entry'!AA13)))-'Advanced Entry'!AA$6)/('Advanced Entry'!AA$7-'Advanced Entry'!AA$6),10*((IF('Advanced Entry'!AA$5="Logarithm",LN(0.001+'Advanced Entry'!AA13),IF('Advanced Entry'!AA$5="Exponential",EXP('Advanced Entry'!AA13),'Advanced Entry'!AA13)))-'Advanced Entry'!AA$6)/('Advanced Entry'!AA$7-'Advanced Entry'!AA$6)),1))),"No data"))</f>
        <v/>
      </c>
      <c r="AB13" s="17">
        <f>IF('Advanced Entry'!AB13="","",IFERROR(MAX(0,MIN(10,ROUND(IF('Advanced Entry'!AB$8="Decrease Risk",10-10*((IF('Advanced Entry'!AB$5="Logarithm",LN(0.001+'Advanced Entry'!AB13),IF('Advanced Entry'!AB$5="Exponential",EXP('Advanced Entry'!AB13),'Advanced Entry'!AB13)))-'Advanced Entry'!AB$6)/('Advanced Entry'!AB$7-'Advanced Entry'!AB$6),10*((IF('Advanced Entry'!AB$5="Logarithm",LN(0.001+'Advanced Entry'!AB13),IF('Advanced Entry'!AB$5="Exponential",EXP('Advanced Entry'!AB13),'Advanced Entry'!AB13)))-'Advanced Entry'!AB$6)/('Advanced Entry'!AB$7-'Advanced Entry'!AB$6)),1))),"No data"))</f>
        <v/>
      </c>
    </row>
    <row r="14">
      <c r="A14" t="inlineStr">
        <is>
          <t>Arusha</t>
        </is>
      </c>
      <c r="B14" t="inlineStr">
        <is>
          <t>Longido District</t>
        </is>
      </c>
      <c r="C14" t="inlineStr">
        <is>
          <t>C012</t>
        </is>
      </c>
      <c r="D14" s="17">
        <f>IF('Advanced Entry'!D14="","",IFERROR(MAX(0,MIN(10,ROUND(IF('Advanced Entry'!D$8="Decrease Risk",10-10*((IF('Advanced Entry'!D$5="Logarithm",LN(0.001+'Advanced Entry'!D14),IF('Advanced Entry'!D$5="Exponential",EXP('Advanced Entry'!D14),'Advanced Entry'!D14)))-'Advanced Entry'!D$6)/('Advanced Entry'!D$7-'Advanced Entry'!D$6),10*((IF('Advanced Entry'!D$5="Logarithm",LN(0.001+'Advanced Entry'!D14),IF('Advanced Entry'!D$5="Exponential",EXP('Advanced Entry'!D14),'Advanced Entry'!D14)))-'Advanced Entry'!D$6)/('Advanced Entry'!D$7-'Advanced Entry'!D$6)),1))),"No data"))</f>
        <v/>
      </c>
      <c r="E14" s="17">
        <f>IF('Advanced Entry'!E14="","",IFERROR(MAX(0,MIN(10,ROUND(IF('Advanced Entry'!E$8="Decrease Risk",10-10*((IF('Advanced Entry'!E$5="Logarithm",LN(0.001+'Advanced Entry'!E14),IF('Advanced Entry'!E$5="Exponential",EXP('Advanced Entry'!E14),'Advanced Entry'!E14)))-'Advanced Entry'!E$6)/('Advanced Entry'!E$7-'Advanced Entry'!E$6),10*((IF('Advanced Entry'!E$5="Logarithm",LN(0.001+'Advanced Entry'!E14),IF('Advanced Entry'!E$5="Exponential",EXP('Advanced Entry'!E14),'Advanced Entry'!E14)))-'Advanced Entry'!E$6)/('Advanced Entry'!E$7-'Advanced Entry'!E$6)),1))),"No data"))</f>
        <v/>
      </c>
      <c r="F14" s="17">
        <f>IF('Advanced Entry'!F14="","",IFERROR(MAX(0,MIN(10,ROUND(IF('Advanced Entry'!F$8="Decrease Risk",10-10*((IF('Advanced Entry'!F$5="Logarithm",LN(0.001+'Advanced Entry'!F14),IF('Advanced Entry'!F$5="Exponential",EXP('Advanced Entry'!F14),'Advanced Entry'!F14)))-'Advanced Entry'!F$6)/('Advanced Entry'!F$7-'Advanced Entry'!F$6),10*((IF('Advanced Entry'!F$5="Logarithm",LN(0.001+'Advanced Entry'!F14),IF('Advanced Entry'!F$5="Exponential",EXP('Advanced Entry'!F14),'Advanced Entry'!F14)))-'Advanced Entry'!F$6)/('Advanced Entry'!F$7-'Advanced Entry'!F$6)),1))),"No data"))</f>
        <v/>
      </c>
      <c r="G14" s="17">
        <f>IF('Advanced Entry'!G14="","",IFERROR(MAX(0,MIN(10,ROUND(IF('Advanced Entry'!G$8="Decrease Risk",10-10*((IF('Advanced Entry'!G$5="Logarithm",LN(0.001+'Advanced Entry'!G14),IF('Advanced Entry'!G$5="Exponential",EXP('Advanced Entry'!G14),'Advanced Entry'!G14)))-'Advanced Entry'!G$6)/('Advanced Entry'!G$7-'Advanced Entry'!G$6),10*((IF('Advanced Entry'!G$5="Logarithm",LN(0.001+'Advanced Entry'!G14),IF('Advanced Entry'!G$5="Exponential",EXP('Advanced Entry'!G14),'Advanced Entry'!G14)))-'Advanced Entry'!G$6)/('Advanced Entry'!G$7-'Advanced Entry'!G$6)),1))),"No data"))</f>
        <v/>
      </c>
      <c r="H14" s="17">
        <f>IF('Advanced Entry'!H14="","",IFERROR(MAX(0,MIN(10,ROUND(IF('Advanced Entry'!H$8="Decrease Risk",10-10*((IF('Advanced Entry'!H$5="Logarithm",LN(0.001+'Advanced Entry'!H14),IF('Advanced Entry'!H$5="Exponential",EXP('Advanced Entry'!H14),'Advanced Entry'!H14)))-'Advanced Entry'!H$6)/('Advanced Entry'!H$7-'Advanced Entry'!H$6),10*((IF('Advanced Entry'!H$5="Logarithm",LN(0.001+'Advanced Entry'!H14),IF('Advanced Entry'!H$5="Exponential",EXP('Advanced Entry'!H14),'Advanced Entry'!H14)))-'Advanced Entry'!H$6)/('Advanced Entry'!H$7-'Advanced Entry'!H$6)),1))),"No data"))</f>
        <v/>
      </c>
      <c r="I14" s="17">
        <f>IF('Advanced Entry'!I14="","",IFERROR(MAX(0,MIN(10,ROUND(IF('Advanced Entry'!I$8="Decrease Risk",10-10*((IF('Advanced Entry'!I$5="Logarithm",LN(0.001+'Advanced Entry'!I14),IF('Advanced Entry'!I$5="Exponential",EXP('Advanced Entry'!I14),'Advanced Entry'!I14)))-'Advanced Entry'!I$6)/('Advanced Entry'!I$7-'Advanced Entry'!I$6),10*((IF('Advanced Entry'!I$5="Logarithm",LN(0.001+'Advanced Entry'!I14),IF('Advanced Entry'!I$5="Exponential",EXP('Advanced Entry'!I14),'Advanced Entry'!I14)))-'Advanced Entry'!I$6)/('Advanced Entry'!I$7-'Advanced Entry'!I$6)),1))),"No data"))</f>
        <v/>
      </c>
      <c r="J14" s="17">
        <f>IF('Advanced Entry'!J14="","",IFERROR(MAX(0,MIN(10,ROUND(IF('Advanced Entry'!J$8="Decrease Risk",10-10*((IF('Advanced Entry'!J$5="Logarithm",LN(0.001+'Advanced Entry'!J14),IF('Advanced Entry'!J$5="Exponential",EXP('Advanced Entry'!J14),'Advanced Entry'!J14)))-'Advanced Entry'!J$6)/('Advanced Entry'!J$7-'Advanced Entry'!J$6),10*((IF('Advanced Entry'!J$5="Logarithm",LN(0.001+'Advanced Entry'!J14),IF('Advanced Entry'!J$5="Exponential",EXP('Advanced Entry'!J14),'Advanced Entry'!J14)))-'Advanced Entry'!J$6)/('Advanced Entry'!J$7-'Advanced Entry'!J$6)),1))),"No data"))</f>
        <v/>
      </c>
      <c r="K14" s="17">
        <f>IF('Advanced Entry'!K14="","",IFERROR(MAX(0,MIN(10,ROUND(IF('Advanced Entry'!K$8="Decrease Risk",10-10*((IF('Advanced Entry'!K$5="Logarithm",LN(0.001+'Advanced Entry'!K14),IF('Advanced Entry'!K$5="Exponential",EXP('Advanced Entry'!K14),'Advanced Entry'!K14)))-'Advanced Entry'!K$6)/('Advanced Entry'!K$7-'Advanced Entry'!K$6),10*((IF('Advanced Entry'!K$5="Logarithm",LN(0.001+'Advanced Entry'!K14),IF('Advanced Entry'!K$5="Exponential",EXP('Advanced Entry'!K14),'Advanced Entry'!K14)))-'Advanced Entry'!K$6)/('Advanced Entry'!K$7-'Advanced Entry'!K$6)),1))),"No data"))</f>
        <v/>
      </c>
      <c r="L14" s="17">
        <f>IF('Advanced Entry'!L14="","",IFERROR(MAX(0,MIN(10,ROUND(IF('Advanced Entry'!L$8="Decrease Risk",10-10*((IF('Advanced Entry'!L$5="Logarithm",LN(0.001+'Advanced Entry'!L14),IF('Advanced Entry'!L$5="Exponential",EXP('Advanced Entry'!L14),'Advanced Entry'!L14)))-'Advanced Entry'!L$6)/('Advanced Entry'!L$7-'Advanced Entry'!L$6),10*((IF('Advanced Entry'!L$5="Logarithm",LN(0.001+'Advanced Entry'!L14),IF('Advanced Entry'!L$5="Exponential",EXP('Advanced Entry'!L14),'Advanced Entry'!L14)))-'Advanced Entry'!L$6)/('Advanced Entry'!L$7-'Advanced Entry'!L$6)),1))),"No data"))</f>
        <v/>
      </c>
      <c r="M14" s="17">
        <f>IF('Advanced Entry'!M14="","",IFERROR(MAX(0,MIN(10,ROUND(IF('Advanced Entry'!M$8="Decrease Risk",10-10*((IF('Advanced Entry'!M$5="Logarithm",LN(0.001+'Advanced Entry'!M14),IF('Advanced Entry'!M$5="Exponential",EXP('Advanced Entry'!M14),'Advanced Entry'!M14)))-'Advanced Entry'!M$6)/('Advanced Entry'!M$7-'Advanced Entry'!M$6),10*((IF('Advanced Entry'!M$5="Logarithm",LN(0.001+'Advanced Entry'!M14),IF('Advanced Entry'!M$5="Exponential",EXP('Advanced Entry'!M14),'Advanced Entry'!M14)))-'Advanced Entry'!M$6)/('Advanced Entry'!M$7-'Advanced Entry'!M$6)),1))),"No data"))</f>
        <v/>
      </c>
      <c r="N14" s="17">
        <f>IF('Advanced Entry'!N14="","",IFERROR(MAX(0,MIN(10,ROUND(IF('Advanced Entry'!N$8="Decrease Risk",10-10*((IF('Advanced Entry'!N$5="Logarithm",LN(0.001+'Advanced Entry'!N14),IF('Advanced Entry'!N$5="Exponential",EXP('Advanced Entry'!N14),'Advanced Entry'!N14)))-'Advanced Entry'!N$6)/('Advanced Entry'!N$7-'Advanced Entry'!N$6),10*((IF('Advanced Entry'!N$5="Logarithm",LN(0.001+'Advanced Entry'!N14),IF('Advanced Entry'!N$5="Exponential",EXP('Advanced Entry'!N14),'Advanced Entry'!N14)))-'Advanced Entry'!N$6)/('Advanced Entry'!N$7-'Advanced Entry'!N$6)),1))),"No data"))</f>
        <v/>
      </c>
      <c r="O14" s="17">
        <f>IF('Advanced Entry'!O14="","",IFERROR(MAX(0,MIN(10,ROUND(IF('Advanced Entry'!O$8="Decrease Risk",10-10*((IF('Advanced Entry'!O$5="Logarithm",LN(0.001+'Advanced Entry'!O14),IF('Advanced Entry'!O$5="Exponential",EXP('Advanced Entry'!O14),'Advanced Entry'!O14)))-'Advanced Entry'!O$6)/('Advanced Entry'!O$7-'Advanced Entry'!O$6),10*((IF('Advanced Entry'!O$5="Logarithm",LN(0.001+'Advanced Entry'!O14),IF('Advanced Entry'!O$5="Exponential",EXP('Advanced Entry'!O14),'Advanced Entry'!O14)))-'Advanced Entry'!O$6)/('Advanced Entry'!O$7-'Advanced Entry'!O$6)),1))),"No data"))</f>
        <v/>
      </c>
      <c r="P14" s="17">
        <f>IF('Advanced Entry'!P14="","",IFERROR(MAX(0,MIN(10,ROUND(IF('Advanced Entry'!P$8="Decrease Risk",10-10*((IF('Advanced Entry'!P$5="Logarithm",LN(0.001+'Advanced Entry'!P14),IF('Advanced Entry'!P$5="Exponential",EXP('Advanced Entry'!P14),'Advanced Entry'!P14)))-'Advanced Entry'!P$6)/('Advanced Entry'!P$7-'Advanced Entry'!P$6),10*((IF('Advanced Entry'!P$5="Logarithm",LN(0.001+'Advanced Entry'!P14),IF('Advanced Entry'!P$5="Exponential",EXP('Advanced Entry'!P14),'Advanced Entry'!P14)))-'Advanced Entry'!P$6)/('Advanced Entry'!P$7-'Advanced Entry'!P$6)),1))),"No data"))</f>
        <v/>
      </c>
      <c r="Q14" s="17">
        <f>IF('Advanced Entry'!Q14="","",IFERROR(MAX(0,MIN(10,ROUND(IF('Advanced Entry'!Q$8="Decrease Risk",10-10*((IF('Advanced Entry'!Q$5="Logarithm",LN(0.001+'Advanced Entry'!Q14),IF('Advanced Entry'!Q$5="Exponential",EXP('Advanced Entry'!Q14),'Advanced Entry'!Q14)))-'Advanced Entry'!Q$6)/('Advanced Entry'!Q$7-'Advanced Entry'!Q$6),10*((IF('Advanced Entry'!Q$5="Logarithm",LN(0.001+'Advanced Entry'!Q14),IF('Advanced Entry'!Q$5="Exponential",EXP('Advanced Entry'!Q14),'Advanced Entry'!Q14)))-'Advanced Entry'!Q$6)/('Advanced Entry'!Q$7-'Advanced Entry'!Q$6)),1))),"No data"))</f>
        <v/>
      </c>
      <c r="R14" s="17">
        <f>IF('Advanced Entry'!R14="","",IFERROR(MAX(0,MIN(10,ROUND(IF('Advanced Entry'!R$8="Decrease Risk",10-10*((IF('Advanced Entry'!R$5="Logarithm",LN(0.001+'Advanced Entry'!R14),IF('Advanced Entry'!R$5="Exponential",EXP('Advanced Entry'!R14),'Advanced Entry'!R14)))-'Advanced Entry'!R$6)/('Advanced Entry'!R$7-'Advanced Entry'!R$6),10*((IF('Advanced Entry'!R$5="Logarithm",LN(0.001+'Advanced Entry'!R14),IF('Advanced Entry'!R$5="Exponential",EXP('Advanced Entry'!R14),'Advanced Entry'!R14)))-'Advanced Entry'!R$6)/('Advanced Entry'!R$7-'Advanced Entry'!R$6)),1))),"No data"))</f>
        <v/>
      </c>
      <c r="S14" s="17">
        <f>IF('Advanced Entry'!S14="","",IFERROR(MAX(0,MIN(10,ROUND(IF('Advanced Entry'!S$8="Decrease Risk",10-10*((IF('Advanced Entry'!S$5="Logarithm",LN(0.001+'Advanced Entry'!S14),IF('Advanced Entry'!S$5="Exponential",EXP('Advanced Entry'!S14),'Advanced Entry'!S14)))-'Advanced Entry'!S$6)/('Advanced Entry'!S$7-'Advanced Entry'!S$6),10*((IF('Advanced Entry'!S$5="Logarithm",LN(0.001+'Advanced Entry'!S14),IF('Advanced Entry'!S$5="Exponential",EXP('Advanced Entry'!S14),'Advanced Entry'!S14)))-'Advanced Entry'!S$6)/('Advanced Entry'!S$7-'Advanced Entry'!S$6)),1))),"No data"))</f>
        <v/>
      </c>
      <c r="T14" s="17">
        <f>IF('Advanced Entry'!T14="","",IFERROR(MAX(0,MIN(10,ROUND(IF('Advanced Entry'!T$8="Decrease Risk",10-10*((IF('Advanced Entry'!T$5="Logarithm",LN(0.001+'Advanced Entry'!T14),IF('Advanced Entry'!T$5="Exponential",EXP('Advanced Entry'!T14),'Advanced Entry'!T14)))-'Advanced Entry'!T$6)/('Advanced Entry'!T$7-'Advanced Entry'!T$6),10*((IF('Advanced Entry'!T$5="Logarithm",LN(0.001+'Advanced Entry'!T14),IF('Advanced Entry'!T$5="Exponential",EXP('Advanced Entry'!T14),'Advanced Entry'!T14)))-'Advanced Entry'!T$6)/('Advanced Entry'!T$7-'Advanced Entry'!T$6)),1))),"No data"))</f>
        <v/>
      </c>
      <c r="U14" s="17">
        <f>IF('Advanced Entry'!U14="","",IFERROR(MAX(0,MIN(10,ROUND(IF('Advanced Entry'!U$8="Decrease Risk",10-10*((IF('Advanced Entry'!U$5="Logarithm",LN(0.001+'Advanced Entry'!U14),IF('Advanced Entry'!U$5="Exponential",EXP('Advanced Entry'!U14),'Advanced Entry'!U14)))-'Advanced Entry'!U$6)/('Advanced Entry'!U$7-'Advanced Entry'!U$6),10*((IF('Advanced Entry'!U$5="Logarithm",LN(0.001+'Advanced Entry'!U14),IF('Advanced Entry'!U$5="Exponential",EXP('Advanced Entry'!U14),'Advanced Entry'!U14)))-'Advanced Entry'!U$6)/('Advanced Entry'!U$7-'Advanced Entry'!U$6)),1))),"No data"))</f>
        <v/>
      </c>
      <c r="V14" s="17">
        <f>IF('Advanced Entry'!V14="","",IFERROR(MAX(0,MIN(10,ROUND(IF('Advanced Entry'!V$8="Decrease Risk",10-10*((IF('Advanced Entry'!V$5="Logarithm",LN(0.001+'Advanced Entry'!V14),IF('Advanced Entry'!V$5="Exponential",EXP('Advanced Entry'!V14),'Advanced Entry'!V14)))-'Advanced Entry'!V$6)/('Advanced Entry'!V$7-'Advanced Entry'!V$6),10*((IF('Advanced Entry'!V$5="Logarithm",LN(0.001+'Advanced Entry'!V14),IF('Advanced Entry'!V$5="Exponential",EXP('Advanced Entry'!V14),'Advanced Entry'!V14)))-'Advanced Entry'!V$6)/('Advanced Entry'!V$7-'Advanced Entry'!V$6)),1))),"No data"))</f>
        <v/>
      </c>
      <c r="W14" s="17">
        <f>IF('Advanced Entry'!W14="","",IFERROR(MAX(0,MIN(10,ROUND(IF('Advanced Entry'!W$8="Decrease Risk",10-10*((IF('Advanced Entry'!W$5="Logarithm",LN(0.001+'Advanced Entry'!W14),IF('Advanced Entry'!W$5="Exponential",EXP('Advanced Entry'!W14),'Advanced Entry'!W14)))-'Advanced Entry'!W$6)/('Advanced Entry'!W$7-'Advanced Entry'!W$6),10*((IF('Advanced Entry'!W$5="Logarithm",LN(0.001+'Advanced Entry'!W14),IF('Advanced Entry'!W$5="Exponential",EXP('Advanced Entry'!W14),'Advanced Entry'!W14)))-'Advanced Entry'!W$6)/('Advanced Entry'!W$7-'Advanced Entry'!W$6)),1))),"No data"))</f>
        <v/>
      </c>
      <c r="X14" s="17">
        <f>IF('Advanced Entry'!X14="","",IFERROR(MAX(0,MIN(10,ROUND(IF('Advanced Entry'!X$8="Decrease Risk",10-10*((IF('Advanced Entry'!X$5="Logarithm",LN(0.001+'Advanced Entry'!X14),IF('Advanced Entry'!X$5="Exponential",EXP('Advanced Entry'!X14),'Advanced Entry'!X14)))-'Advanced Entry'!X$6)/('Advanced Entry'!X$7-'Advanced Entry'!X$6),10*((IF('Advanced Entry'!X$5="Logarithm",LN(0.001+'Advanced Entry'!X14),IF('Advanced Entry'!X$5="Exponential",EXP('Advanced Entry'!X14),'Advanced Entry'!X14)))-'Advanced Entry'!X$6)/('Advanced Entry'!X$7-'Advanced Entry'!X$6)),1))),"No data"))</f>
        <v/>
      </c>
      <c r="Y14" s="17">
        <f>IF('Advanced Entry'!Y14="","",IFERROR(MAX(0,MIN(10,ROUND(IF('Advanced Entry'!Y$8="Decrease Risk",10-10*((IF('Advanced Entry'!Y$5="Logarithm",LN(0.001+'Advanced Entry'!Y14),IF('Advanced Entry'!Y$5="Exponential",EXP('Advanced Entry'!Y14),'Advanced Entry'!Y14)))-'Advanced Entry'!Y$6)/('Advanced Entry'!Y$7-'Advanced Entry'!Y$6),10*((IF('Advanced Entry'!Y$5="Logarithm",LN(0.001+'Advanced Entry'!Y14),IF('Advanced Entry'!Y$5="Exponential",EXP('Advanced Entry'!Y14),'Advanced Entry'!Y14)))-'Advanced Entry'!Y$6)/('Advanced Entry'!Y$7-'Advanced Entry'!Y$6)),1))),"No data"))</f>
        <v/>
      </c>
      <c r="Z14" s="17">
        <f>IF('Advanced Entry'!Z14="","",IFERROR(MAX(0,MIN(10,ROUND(IF('Advanced Entry'!Z$8="Decrease Risk",10-10*((IF('Advanced Entry'!Z$5="Logarithm",LN(0.001+'Advanced Entry'!Z14),IF('Advanced Entry'!Z$5="Exponential",EXP('Advanced Entry'!Z14),'Advanced Entry'!Z14)))-'Advanced Entry'!Z$6)/('Advanced Entry'!Z$7-'Advanced Entry'!Z$6),10*((IF('Advanced Entry'!Z$5="Logarithm",LN(0.001+'Advanced Entry'!Z14),IF('Advanced Entry'!Z$5="Exponential",EXP('Advanced Entry'!Z14),'Advanced Entry'!Z14)))-'Advanced Entry'!Z$6)/('Advanced Entry'!Z$7-'Advanced Entry'!Z$6)),1))),"No data"))</f>
        <v/>
      </c>
      <c r="AA14" s="17">
        <f>IF('Advanced Entry'!AA14="","",IFERROR(MAX(0,MIN(10,ROUND(IF('Advanced Entry'!AA$8="Decrease Risk",10-10*((IF('Advanced Entry'!AA$5="Logarithm",LN(0.001+'Advanced Entry'!AA14),IF('Advanced Entry'!AA$5="Exponential",EXP('Advanced Entry'!AA14),'Advanced Entry'!AA14)))-'Advanced Entry'!AA$6)/('Advanced Entry'!AA$7-'Advanced Entry'!AA$6),10*((IF('Advanced Entry'!AA$5="Logarithm",LN(0.001+'Advanced Entry'!AA14),IF('Advanced Entry'!AA$5="Exponential",EXP('Advanced Entry'!AA14),'Advanced Entry'!AA14)))-'Advanced Entry'!AA$6)/('Advanced Entry'!AA$7-'Advanced Entry'!AA$6)),1))),"No data"))</f>
        <v/>
      </c>
      <c r="AB14" s="17">
        <f>IF('Advanced Entry'!AB14="","",IFERROR(MAX(0,MIN(10,ROUND(IF('Advanced Entry'!AB$8="Decrease Risk",10-10*((IF('Advanced Entry'!AB$5="Logarithm",LN(0.001+'Advanced Entry'!AB14),IF('Advanced Entry'!AB$5="Exponential",EXP('Advanced Entry'!AB14),'Advanced Entry'!AB14)))-'Advanced Entry'!AB$6)/('Advanced Entry'!AB$7-'Advanced Entry'!AB$6),10*((IF('Advanced Entry'!AB$5="Logarithm",LN(0.001+'Advanced Entry'!AB14),IF('Advanced Entry'!AB$5="Exponential",EXP('Advanced Entry'!AB14),'Advanced Entry'!AB14)))-'Advanced Entry'!AB$6)/('Advanced Entry'!AB$7-'Advanced Entry'!AB$6)),1))),"No data"))</f>
        <v/>
      </c>
    </row>
    <row r="15">
      <c r="A15" t="inlineStr">
        <is>
          <t>Arusha</t>
        </is>
      </c>
      <c r="B15" t="inlineStr">
        <is>
          <t>Meru District</t>
        </is>
      </c>
      <c r="C15" t="inlineStr">
        <is>
          <t>C010</t>
        </is>
      </c>
      <c r="D15" s="17">
        <f>IF('Advanced Entry'!D15="","",IFERROR(MAX(0,MIN(10,ROUND(IF('Advanced Entry'!D$8="Decrease Risk",10-10*((IF('Advanced Entry'!D$5="Logarithm",LN(0.001+'Advanced Entry'!D15),IF('Advanced Entry'!D$5="Exponential",EXP('Advanced Entry'!D15),'Advanced Entry'!D15)))-'Advanced Entry'!D$6)/('Advanced Entry'!D$7-'Advanced Entry'!D$6),10*((IF('Advanced Entry'!D$5="Logarithm",LN(0.001+'Advanced Entry'!D15),IF('Advanced Entry'!D$5="Exponential",EXP('Advanced Entry'!D15),'Advanced Entry'!D15)))-'Advanced Entry'!D$6)/('Advanced Entry'!D$7-'Advanced Entry'!D$6)),1))),"No data"))</f>
        <v/>
      </c>
      <c r="E15" s="17">
        <f>IF('Advanced Entry'!E15="","",IFERROR(MAX(0,MIN(10,ROUND(IF('Advanced Entry'!E$8="Decrease Risk",10-10*((IF('Advanced Entry'!E$5="Logarithm",LN(0.001+'Advanced Entry'!E15),IF('Advanced Entry'!E$5="Exponential",EXP('Advanced Entry'!E15),'Advanced Entry'!E15)))-'Advanced Entry'!E$6)/('Advanced Entry'!E$7-'Advanced Entry'!E$6),10*((IF('Advanced Entry'!E$5="Logarithm",LN(0.001+'Advanced Entry'!E15),IF('Advanced Entry'!E$5="Exponential",EXP('Advanced Entry'!E15),'Advanced Entry'!E15)))-'Advanced Entry'!E$6)/('Advanced Entry'!E$7-'Advanced Entry'!E$6)),1))),"No data"))</f>
        <v/>
      </c>
      <c r="F15" s="17">
        <f>IF('Advanced Entry'!F15="","",IFERROR(MAX(0,MIN(10,ROUND(IF('Advanced Entry'!F$8="Decrease Risk",10-10*((IF('Advanced Entry'!F$5="Logarithm",LN(0.001+'Advanced Entry'!F15),IF('Advanced Entry'!F$5="Exponential",EXP('Advanced Entry'!F15),'Advanced Entry'!F15)))-'Advanced Entry'!F$6)/('Advanced Entry'!F$7-'Advanced Entry'!F$6),10*((IF('Advanced Entry'!F$5="Logarithm",LN(0.001+'Advanced Entry'!F15),IF('Advanced Entry'!F$5="Exponential",EXP('Advanced Entry'!F15),'Advanced Entry'!F15)))-'Advanced Entry'!F$6)/('Advanced Entry'!F$7-'Advanced Entry'!F$6)),1))),"No data"))</f>
        <v/>
      </c>
      <c r="G15" s="17">
        <f>IF('Advanced Entry'!G15="","",IFERROR(MAX(0,MIN(10,ROUND(IF('Advanced Entry'!G$8="Decrease Risk",10-10*((IF('Advanced Entry'!G$5="Logarithm",LN(0.001+'Advanced Entry'!G15),IF('Advanced Entry'!G$5="Exponential",EXP('Advanced Entry'!G15),'Advanced Entry'!G15)))-'Advanced Entry'!G$6)/('Advanced Entry'!G$7-'Advanced Entry'!G$6),10*((IF('Advanced Entry'!G$5="Logarithm",LN(0.001+'Advanced Entry'!G15),IF('Advanced Entry'!G$5="Exponential",EXP('Advanced Entry'!G15),'Advanced Entry'!G15)))-'Advanced Entry'!G$6)/('Advanced Entry'!G$7-'Advanced Entry'!G$6)),1))),"No data"))</f>
        <v/>
      </c>
      <c r="H15" s="17">
        <f>IF('Advanced Entry'!H15="","",IFERROR(MAX(0,MIN(10,ROUND(IF('Advanced Entry'!H$8="Decrease Risk",10-10*((IF('Advanced Entry'!H$5="Logarithm",LN(0.001+'Advanced Entry'!H15),IF('Advanced Entry'!H$5="Exponential",EXP('Advanced Entry'!H15),'Advanced Entry'!H15)))-'Advanced Entry'!H$6)/('Advanced Entry'!H$7-'Advanced Entry'!H$6),10*((IF('Advanced Entry'!H$5="Logarithm",LN(0.001+'Advanced Entry'!H15),IF('Advanced Entry'!H$5="Exponential",EXP('Advanced Entry'!H15),'Advanced Entry'!H15)))-'Advanced Entry'!H$6)/('Advanced Entry'!H$7-'Advanced Entry'!H$6)),1))),"No data"))</f>
        <v/>
      </c>
      <c r="I15" s="17">
        <f>IF('Advanced Entry'!I15="","",IFERROR(MAX(0,MIN(10,ROUND(IF('Advanced Entry'!I$8="Decrease Risk",10-10*((IF('Advanced Entry'!I$5="Logarithm",LN(0.001+'Advanced Entry'!I15),IF('Advanced Entry'!I$5="Exponential",EXP('Advanced Entry'!I15),'Advanced Entry'!I15)))-'Advanced Entry'!I$6)/('Advanced Entry'!I$7-'Advanced Entry'!I$6),10*((IF('Advanced Entry'!I$5="Logarithm",LN(0.001+'Advanced Entry'!I15),IF('Advanced Entry'!I$5="Exponential",EXP('Advanced Entry'!I15),'Advanced Entry'!I15)))-'Advanced Entry'!I$6)/('Advanced Entry'!I$7-'Advanced Entry'!I$6)),1))),"No data"))</f>
        <v/>
      </c>
      <c r="J15" s="17">
        <f>IF('Advanced Entry'!J15="","",IFERROR(MAX(0,MIN(10,ROUND(IF('Advanced Entry'!J$8="Decrease Risk",10-10*((IF('Advanced Entry'!J$5="Logarithm",LN(0.001+'Advanced Entry'!J15),IF('Advanced Entry'!J$5="Exponential",EXP('Advanced Entry'!J15),'Advanced Entry'!J15)))-'Advanced Entry'!J$6)/('Advanced Entry'!J$7-'Advanced Entry'!J$6),10*((IF('Advanced Entry'!J$5="Logarithm",LN(0.001+'Advanced Entry'!J15),IF('Advanced Entry'!J$5="Exponential",EXP('Advanced Entry'!J15),'Advanced Entry'!J15)))-'Advanced Entry'!J$6)/('Advanced Entry'!J$7-'Advanced Entry'!J$6)),1))),"No data"))</f>
        <v/>
      </c>
      <c r="K15" s="17">
        <f>IF('Advanced Entry'!K15="","",IFERROR(MAX(0,MIN(10,ROUND(IF('Advanced Entry'!K$8="Decrease Risk",10-10*((IF('Advanced Entry'!K$5="Logarithm",LN(0.001+'Advanced Entry'!K15),IF('Advanced Entry'!K$5="Exponential",EXP('Advanced Entry'!K15),'Advanced Entry'!K15)))-'Advanced Entry'!K$6)/('Advanced Entry'!K$7-'Advanced Entry'!K$6),10*((IF('Advanced Entry'!K$5="Logarithm",LN(0.001+'Advanced Entry'!K15),IF('Advanced Entry'!K$5="Exponential",EXP('Advanced Entry'!K15),'Advanced Entry'!K15)))-'Advanced Entry'!K$6)/('Advanced Entry'!K$7-'Advanced Entry'!K$6)),1))),"No data"))</f>
        <v/>
      </c>
      <c r="L15" s="17">
        <f>IF('Advanced Entry'!L15="","",IFERROR(MAX(0,MIN(10,ROUND(IF('Advanced Entry'!L$8="Decrease Risk",10-10*((IF('Advanced Entry'!L$5="Logarithm",LN(0.001+'Advanced Entry'!L15),IF('Advanced Entry'!L$5="Exponential",EXP('Advanced Entry'!L15),'Advanced Entry'!L15)))-'Advanced Entry'!L$6)/('Advanced Entry'!L$7-'Advanced Entry'!L$6),10*((IF('Advanced Entry'!L$5="Logarithm",LN(0.001+'Advanced Entry'!L15),IF('Advanced Entry'!L$5="Exponential",EXP('Advanced Entry'!L15),'Advanced Entry'!L15)))-'Advanced Entry'!L$6)/('Advanced Entry'!L$7-'Advanced Entry'!L$6)),1))),"No data"))</f>
        <v/>
      </c>
      <c r="M15" s="17">
        <f>IF('Advanced Entry'!M15="","",IFERROR(MAX(0,MIN(10,ROUND(IF('Advanced Entry'!M$8="Decrease Risk",10-10*((IF('Advanced Entry'!M$5="Logarithm",LN(0.001+'Advanced Entry'!M15),IF('Advanced Entry'!M$5="Exponential",EXP('Advanced Entry'!M15),'Advanced Entry'!M15)))-'Advanced Entry'!M$6)/('Advanced Entry'!M$7-'Advanced Entry'!M$6),10*((IF('Advanced Entry'!M$5="Logarithm",LN(0.001+'Advanced Entry'!M15),IF('Advanced Entry'!M$5="Exponential",EXP('Advanced Entry'!M15),'Advanced Entry'!M15)))-'Advanced Entry'!M$6)/('Advanced Entry'!M$7-'Advanced Entry'!M$6)),1))),"No data"))</f>
        <v/>
      </c>
      <c r="N15" s="17">
        <f>IF('Advanced Entry'!N15="","",IFERROR(MAX(0,MIN(10,ROUND(IF('Advanced Entry'!N$8="Decrease Risk",10-10*((IF('Advanced Entry'!N$5="Logarithm",LN(0.001+'Advanced Entry'!N15),IF('Advanced Entry'!N$5="Exponential",EXP('Advanced Entry'!N15),'Advanced Entry'!N15)))-'Advanced Entry'!N$6)/('Advanced Entry'!N$7-'Advanced Entry'!N$6),10*((IF('Advanced Entry'!N$5="Logarithm",LN(0.001+'Advanced Entry'!N15),IF('Advanced Entry'!N$5="Exponential",EXP('Advanced Entry'!N15),'Advanced Entry'!N15)))-'Advanced Entry'!N$6)/('Advanced Entry'!N$7-'Advanced Entry'!N$6)),1))),"No data"))</f>
        <v/>
      </c>
      <c r="O15" s="17">
        <f>IF('Advanced Entry'!O15="","",IFERROR(MAX(0,MIN(10,ROUND(IF('Advanced Entry'!O$8="Decrease Risk",10-10*((IF('Advanced Entry'!O$5="Logarithm",LN(0.001+'Advanced Entry'!O15),IF('Advanced Entry'!O$5="Exponential",EXP('Advanced Entry'!O15),'Advanced Entry'!O15)))-'Advanced Entry'!O$6)/('Advanced Entry'!O$7-'Advanced Entry'!O$6),10*((IF('Advanced Entry'!O$5="Logarithm",LN(0.001+'Advanced Entry'!O15),IF('Advanced Entry'!O$5="Exponential",EXP('Advanced Entry'!O15),'Advanced Entry'!O15)))-'Advanced Entry'!O$6)/('Advanced Entry'!O$7-'Advanced Entry'!O$6)),1))),"No data"))</f>
        <v/>
      </c>
      <c r="P15" s="17">
        <f>IF('Advanced Entry'!P15="","",IFERROR(MAX(0,MIN(10,ROUND(IF('Advanced Entry'!P$8="Decrease Risk",10-10*((IF('Advanced Entry'!P$5="Logarithm",LN(0.001+'Advanced Entry'!P15),IF('Advanced Entry'!P$5="Exponential",EXP('Advanced Entry'!P15),'Advanced Entry'!P15)))-'Advanced Entry'!P$6)/('Advanced Entry'!P$7-'Advanced Entry'!P$6),10*((IF('Advanced Entry'!P$5="Logarithm",LN(0.001+'Advanced Entry'!P15),IF('Advanced Entry'!P$5="Exponential",EXP('Advanced Entry'!P15),'Advanced Entry'!P15)))-'Advanced Entry'!P$6)/('Advanced Entry'!P$7-'Advanced Entry'!P$6)),1))),"No data"))</f>
        <v/>
      </c>
      <c r="Q15" s="17">
        <f>IF('Advanced Entry'!Q15="","",IFERROR(MAX(0,MIN(10,ROUND(IF('Advanced Entry'!Q$8="Decrease Risk",10-10*((IF('Advanced Entry'!Q$5="Logarithm",LN(0.001+'Advanced Entry'!Q15),IF('Advanced Entry'!Q$5="Exponential",EXP('Advanced Entry'!Q15),'Advanced Entry'!Q15)))-'Advanced Entry'!Q$6)/('Advanced Entry'!Q$7-'Advanced Entry'!Q$6),10*((IF('Advanced Entry'!Q$5="Logarithm",LN(0.001+'Advanced Entry'!Q15),IF('Advanced Entry'!Q$5="Exponential",EXP('Advanced Entry'!Q15),'Advanced Entry'!Q15)))-'Advanced Entry'!Q$6)/('Advanced Entry'!Q$7-'Advanced Entry'!Q$6)),1))),"No data"))</f>
        <v/>
      </c>
      <c r="R15" s="17">
        <f>IF('Advanced Entry'!R15="","",IFERROR(MAX(0,MIN(10,ROUND(IF('Advanced Entry'!R$8="Decrease Risk",10-10*((IF('Advanced Entry'!R$5="Logarithm",LN(0.001+'Advanced Entry'!R15),IF('Advanced Entry'!R$5="Exponential",EXP('Advanced Entry'!R15),'Advanced Entry'!R15)))-'Advanced Entry'!R$6)/('Advanced Entry'!R$7-'Advanced Entry'!R$6),10*((IF('Advanced Entry'!R$5="Logarithm",LN(0.001+'Advanced Entry'!R15),IF('Advanced Entry'!R$5="Exponential",EXP('Advanced Entry'!R15),'Advanced Entry'!R15)))-'Advanced Entry'!R$6)/('Advanced Entry'!R$7-'Advanced Entry'!R$6)),1))),"No data"))</f>
        <v/>
      </c>
      <c r="S15" s="17">
        <f>IF('Advanced Entry'!S15="","",IFERROR(MAX(0,MIN(10,ROUND(IF('Advanced Entry'!S$8="Decrease Risk",10-10*((IF('Advanced Entry'!S$5="Logarithm",LN(0.001+'Advanced Entry'!S15),IF('Advanced Entry'!S$5="Exponential",EXP('Advanced Entry'!S15),'Advanced Entry'!S15)))-'Advanced Entry'!S$6)/('Advanced Entry'!S$7-'Advanced Entry'!S$6),10*((IF('Advanced Entry'!S$5="Logarithm",LN(0.001+'Advanced Entry'!S15),IF('Advanced Entry'!S$5="Exponential",EXP('Advanced Entry'!S15),'Advanced Entry'!S15)))-'Advanced Entry'!S$6)/('Advanced Entry'!S$7-'Advanced Entry'!S$6)),1))),"No data"))</f>
        <v/>
      </c>
      <c r="T15" s="17">
        <f>IF('Advanced Entry'!T15="","",IFERROR(MAX(0,MIN(10,ROUND(IF('Advanced Entry'!T$8="Decrease Risk",10-10*((IF('Advanced Entry'!T$5="Logarithm",LN(0.001+'Advanced Entry'!T15),IF('Advanced Entry'!T$5="Exponential",EXP('Advanced Entry'!T15),'Advanced Entry'!T15)))-'Advanced Entry'!T$6)/('Advanced Entry'!T$7-'Advanced Entry'!T$6),10*((IF('Advanced Entry'!T$5="Logarithm",LN(0.001+'Advanced Entry'!T15),IF('Advanced Entry'!T$5="Exponential",EXP('Advanced Entry'!T15),'Advanced Entry'!T15)))-'Advanced Entry'!T$6)/('Advanced Entry'!T$7-'Advanced Entry'!T$6)),1))),"No data"))</f>
        <v/>
      </c>
      <c r="U15" s="17">
        <f>IF('Advanced Entry'!U15="","",IFERROR(MAX(0,MIN(10,ROUND(IF('Advanced Entry'!U$8="Decrease Risk",10-10*((IF('Advanced Entry'!U$5="Logarithm",LN(0.001+'Advanced Entry'!U15),IF('Advanced Entry'!U$5="Exponential",EXP('Advanced Entry'!U15),'Advanced Entry'!U15)))-'Advanced Entry'!U$6)/('Advanced Entry'!U$7-'Advanced Entry'!U$6),10*((IF('Advanced Entry'!U$5="Logarithm",LN(0.001+'Advanced Entry'!U15),IF('Advanced Entry'!U$5="Exponential",EXP('Advanced Entry'!U15),'Advanced Entry'!U15)))-'Advanced Entry'!U$6)/('Advanced Entry'!U$7-'Advanced Entry'!U$6)),1))),"No data"))</f>
        <v/>
      </c>
      <c r="V15" s="17">
        <f>IF('Advanced Entry'!V15="","",IFERROR(MAX(0,MIN(10,ROUND(IF('Advanced Entry'!V$8="Decrease Risk",10-10*((IF('Advanced Entry'!V$5="Logarithm",LN(0.001+'Advanced Entry'!V15),IF('Advanced Entry'!V$5="Exponential",EXP('Advanced Entry'!V15),'Advanced Entry'!V15)))-'Advanced Entry'!V$6)/('Advanced Entry'!V$7-'Advanced Entry'!V$6),10*((IF('Advanced Entry'!V$5="Logarithm",LN(0.001+'Advanced Entry'!V15),IF('Advanced Entry'!V$5="Exponential",EXP('Advanced Entry'!V15),'Advanced Entry'!V15)))-'Advanced Entry'!V$6)/('Advanced Entry'!V$7-'Advanced Entry'!V$6)),1))),"No data"))</f>
        <v/>
      </c>
      <c r="W15" s="17">
        <f>IF('Advanced Entry'!W15="","",IFERROR(MAX(0,MIN(10,ROUND(IF('Advanced Entry'!W$8="Decrease Risk",10-10*((IF('Advanced Entry'!W$5="Logarithm",LN(0.001+'Advanced Entry'!W15),IF('Advanced Entry'!W$5="Exponential",EXP('Advanced Entry'!W15),'Advanced Entry'!W15)))-'Advanced Entry'!W$6)/('Advanced Entry'!W$7-'Advanced Entry'!W$6),10*((IF('Advanced Entry'!W$5="Logarithm",LN(0.001+'Advanced Entry'!W15),IF('Advanced Entry'!W$5="Exponential",EXP('Advanced Entry'!W15),'Advanced Entry'!W15)))-'Advanced Entry'!W$6)/('Advanced Entry'!W$7-'Advanced Entry'!W$6)),1))),"No data"))</f>
        <v/>
      </c>
      <c r="X15" s="17">
        <f>IF('Advanced Entry'!X15="","",IFERROR(MAX(0,MIN(10,ROUND(IF('Advanced Entry'!X$8="Decrease Risk",10-10*((IF('Advanced Entry'!X$5="Logarithm",LN(0.001+'Advanced Entry'!X15),IF('Advanced Entry'!X$5="Exponential",EXP('Advanced Entry'!X15),'Advanced Entry'!X15)))-'Advanced Entry'!X$6)/('Advanced Entry'!X$7-'Advanced Entry'!X$6),10*((IF('Advanced Entry'!X$5="Logarithm",LN(0.001+'Advanced Entry'!X15),IF('Advanced Entry'!X$5="Exponential",EXP('Advanced Entry'!X15),'Advanced Entry'!X15)))-'Advanced Entry'!X$6)/('Advanced Entry'!X$7-'Advanced Entry'!X$6)),1))),"No data"))</f>
        <v/>
      </c>
      <c r="Y15" s="17">
        <f>IF('Advanced Entry'!Y15="","",IFERROR(MAX(0,MIN(10,ROUND(IF('Advanced Entry'!Y$8="Decrease Risk",10-10*((IF('Advanced Entry'!Y$5="Logarithm",LN(0.001+'Advanced Entry'!Y15),IF('Advanced Entry'!Y$5="Exponential",EXP('Advanced Entry'!Y15),'Advanced Entry'!Y15)))-'Advanced Entry'!Y$6)/('Advanced Entry'!Y$7-'Advanced Entry'!Y$6),10*((IF('Advanced Entry'!Y$5="Logarithm",LN(0.001+'Advanced Entry'!Y15),IF('Advanced Entry'!Y$5="Exponential",EXP('Advanced Entry'!Y15),'Advanced Entry'!Y15)))-'Advanced Entry'!Y$6)/('Advanced Entry'!Y$7-'Advanced Entry'!Y$6)),1))),"No data"))</f>
        <v/>
      </c>
      <c r="Z15" s="17">
        <f>IF('Advanced Entry'!Z15="","",IFERROR(MAX(0,MIN(10,ROUND(IF('Advanced Entry'!Z$8="Decrease Risk",10-10*((IF('Advanced Entry'!Z$5="Logarithm",LN(0.001+'Advanced Entry'!Z15),IF('Advanced Entry'!Z$5="Exponential",EXP('Advanced Entry'!Z15),'Advanced Entry'!Z15)))-'Advanced Entry'!Z$6)/('Advanced Entry'!Z$7-'Advanced Entry'!Z$6),10*((IF('Advanced Entry'!Z$5="Logarithm",LN(0.001+'Advanced Entry'!Z15),IF('Advanced Entry'!Z$5="Exponential",EXP('Advanced Entry'!Z15),'Advanced Entry'!Z15)))-'Advanced Entry'!Z$6)/('Advanced Entry'!Z$7-'Advanced Entry'!Z$6)),1))),"No data"))</f>
        <v/>
      </c>
      <c r="AA15" s="17">
        <f>IF('Advanced Entry'!AA15="","",IFERROR(MAX(0,MIN(10,ROUND(IF('Advanced Entry'!AA$8="Decrease Risk",10-10*((IF('Advanced Entry'!AA$5="Logarithm",LN(0.001+'Advanced Entry'!AA15),IF('Advanced Entry'!AA$5="Exponential",EXP('Advanced Entry'!AA15),'Advanced Entry'!AA15)))-'Advanced Entry'!AA$6)/('Advanced Entry'!AA$7-'Advanced Entry'!AA$6),10*((IF('Advanced Entry'!AA$5="Logarithm",LN(0.001+'Advanced Entry'!AA15),IF('Advanced Entry'!AA$5="Exponential",EXP('Advanced Entry'!AA15),'Advanced Entry'!AA15)))-'Advanced Entry'!AA$6)/('Advanced Entry'!AA$7-'Advanced Entry'!AA$6)),1))),"No data"))</f>
        <v/>
      </c>
      <c r="AB15" s="17">
        <f>IF('Advanced Entry'!AB15="","",IFERROR(MAX(0,MIN(10,ROUND(IF('Advanced Entry'!AB$8="Decrease Risk",10-10*((IF('Advanced Entry'!AB$5="Logarithm",LN(0.001+'Advanced Entry'!AB15),IF('Advanced Entry'!AB$5="Exponential",EXP('Advanced Entry'!AB15),'Advanced Entry'!AB15)))-'Advanced Entry'!AB$6)/('Advanced Entry'!AB$7-'Advanced Entry'!AB$6),10*((IF('Advanced Entry'!AB$5="Logarithm",LN(0.001+'Advanced Entry'!AB15),IF('Advanced Entry'!AB$5="Exponential",EXP('Advanced Entry'!AB15),'Advanced Entry'!AB15)))-'Advanced Entry'!AB$6)/('Advanced Entry'!AB$7-'Advanced Entry'!AB$6)),1))),"No data"))</f>
        <v/>
      </c>
    </row>
    <row r="16">
      <c r="A16" t="inlineStr">
        <is>
          <t>Arusha</t>
        </is>
      </c>
      <c r="B16" t="inlineStr">
        <is>
          <t>Monduli District</t>
        </is>
      </c>
      <c r="C16" t="inlineStr">
        <is>
          <t>C009</t>
        </is>
      </c>
      <c r="D16" s="17">
        <f>IF('Advanced Entry'!D16="","",IFERROR(MAX(0,MIN(10,ROUND(IF('Advanced Entry'!D$8="Decrease Risk",10-10*((IF('Advanced Entry'!D$5="Logarithm",LN(0.001+'Advanced Entry'!D16),IF('Advanced Entry'!D$5="Exponential",EXP('Advanced Entry'!D16),'Advanced Entry'!D16)))-'Advanced Entry'!D$6)/('Advanced Entry'!D$7-'Advanced Entry'!D$6),10*((IF('Advanced Entry'!D$5="Logarithm",LN(0.001+'Advanced Entry'!D16),IF('Advanced Entry'!D$5="Exponential",EXP('Advanced Entry'!D16),'Advanced Entry'!D16)))-'Advanced Entry'!D$6)/('Advanced Entry'!D$7-'Advanced Entry'!D$6)),1))),"No data"))</f>
        <v/>
      </c>
      <c r="E16" s="17">
        <f>IF('Advanced Entry'!E16="","",IFERROR(MAX(0,MIN(10,ROUND(IF('Advanced Entry'!E$8="Decrease Risk",10-10*((IF('Advanced Entry'!E$5="Logarithm",LN(0.001+'Advanced Entry'!E16),IF('Advanced Entry'!E$5="Exponential",EXP('Advanced Entry'!E16),'Advanced Entry'!E16)))-'Advanced Entry'!E$6)/('Advanced Entry'!E$7-'Advanced Entry'!E$6),10*((IF('Advanced Entry'!E$5="Logarithm",LN(0.001+'Advanced Entry'!E16),IF('Advanced Entry'!E$5="Exponential",EXP('Advanced Entry'!E16),'Advanced Entry'!E16)))-'Advanced Entry'!E$6)/('Advanced Entry'!E$7-'Advanced Entry'!E$6)),1))),"No data"))</f>
        <v/>
      </c>
      <c r="F16" s="17">
        <f>IF('Advanced Entry'!F16="","",IFERROR(MAX(0,MIN(10,ROUND(IF('Advanced Entry'!F$8="Decrease Risk",10-10*((IF('Advanced Entry'!F$5="Logarithm",LN(0.001+'Advanced Entry'!F16),IF('Advanced Entry'!F$5="Exponential",EXP('Advanced Entry'!F16),'Advanced Entry'!F16)))-'Advanced Entry'!F$6)/('Advanced Entry'!F$7-'Advanced Entry'!F$6),10*((IF('Advanced Entry'!F$5="Logarithm",LN(0.001+'Advanced Entry'!F16),IF('Advanced Entry'!F$5="Exponential",EXP('Advanced Entry'!F16),'Advanced Entry'!F16)))-'Advanced Entry'!F$6)/('Advanced Entry'!F$7-'Advanced Entry'!F$6)),1))),"No data"))</f>
        <v/>
      </c>
      <c r="G16" s="17">
        <f>IF('Advanced Entry'!G16="","",IFERROR(MAX(0,MIN(10,ROUND(IF('Advanced Entry'!G$8="Decrease Risk",10-10*((IF('Advanced Entry'!G$5="Logarithm",LN(0.001+'Advanced Entry'!G16),IF('Advanced Entry'!G$5="Exponential",EXP('Advanced Entry'!G16),'Advanced Entry'!G16)))-'Advanced Entry'!G$6)/('Advanced Entry'!G$7-'Advanced Entry'!G$6),10*((IF('Advanced Entry'!G$5="Logarithm",LN(0.001+'Advanced Entry'!G16),IF('Advanced Entry'!G$5="Exponential",EXP('Advanced Entry'!G16),'Advanced Entry'!G16)))-'Advanced Entry'!G$6)/('Advanced Entry'!G$7-'Advanced Entry'!G$6)),1))),"No data"))</f>
        <v/>
      </c>
      <c r="H16" s="17">
        <f>IF('Advanced Entry'!H16="","",IFERROR(MAX(0,MIN(10,ROUND(IF('Advanced Entry'!H$8="Decrease Risk",10-10*((IF('Advanced Entry'!H$5="Logarithm",LN(0.001+'Advanced Entry'!H16),IF('Advanced Entry'!H$5="Exponential",EXP('Advanced Entry'!H16),'Advanced Entry'!H16)))-'Advanced Entry'!H$6)/('Advanced Entry'!H$7-'Advanced Entry'!H$6),10*((IF('Advanced Entry'!H$5="Logarithm",LN(0.001+'Advanced Entry'!H16),IF('Advanced Entry'!H$5="Exponential",EXP('Advanced Entry'!H16),'Advanced Entry'!H16)))-'Advanced Entry'!H$6)/('Advanced Entry'!H$7-'Advanced Entry'!H$6)),1))),"No data"))</f>
        <v/>
      </c>
      <c r="I16" s="17">
        <f>IF('Advanced Entry'!I16="","",IFERROR(MAX(0,MIN(10,ROUND(IF('Advanced Entry'!I$8="Decrease Risk",10-10*((IF('Advanced Entry'!I$5="Logarithm",LN(0.001+'Advanced Entry'!I16),IF('Advanced Entry'!I$5="Exponential",EXP('Advanced Entry'!I16),'Advanced Entry'!I16)))-'Advanced Entry'!I$6)/('Advanced Entry'!I$7-'Advanced Entry'!I$6),10*((IF('Advanced Entry'!I$5="Logarithm",LN(0.001+'Advanced Entry'!I16),IF('Advanced Entry'!I$5="Exponential",EXP('Advanced Entry'!I16),'Advanced Entry'!I16)))-'Advanced Entry'!I$6)/('Advanced Entry'!I$7-'Advanced Entry'!I$6)),1))),"No data"))</f>
        <v/>
      </c>
      <c r="J16" s="17">
        <f>IF('Advanced Entry'!J16="","",IFERROR(MAX(0,MIN(10,ROUND(IF('Advanced Entry'!J$8="Decrease Risk",10-10*((IF('Advanced Entry'!J$5="Logarithm",LN(0.001+'Advanced Entry'!J16),IF('Advanced Entry'!J$5="Exponential",EXP('Advanced Entry'!J16),'Advanced Entry'!J16)))-'Advanced Entry'!J$6)/('Advanced Entry'!J$7-'Advanced Entry'!J$6),10*((IF('Advanced Entry'!J$5="Logarithm",LN(0.001+'Advanced Entry'!J16),IF('Advanced Entry'!J$5="Exponential",EXP('Advanced Entry'!J16),'Advanced Entry'!J16)))-'Advanced Entry'!J$6)/('Advanced Entry'!J$7-'Advanced Entry'!J$6)),1))),"No data"))</f>
        <v/>
      </c>
      <c r="K16" s="17">
        <f>IF('Advanced Entry'!K16="","",IFERROR(MAX(0,MIN(10,ROUND(IF('Advanced Entry'!K$8="Decrease Risk",10-10*((IF('Advanced Entry'!K$5="Logarithm",LN(0.001+'Advanced Entry'!K16),IF('Advanced Entry'!K$5="Exponential",EXP('Advanced Entry'!K16),'Advanced Entry'!K16)))-'Advanced Entry'!K$6)/('Advanced Entry'!K$7-'Advanced Entry'!K$6),10*((IF('Advanced Entry'!K$5="Logarithm",LN(0.001+'Advanced Entry'!K16),IF('Advanced Entry'!K$5="Exponential",EXP('Advanced Entry'!K16),'Advanced Entry'!K16)))-'Advanced Entry'!K$6)/('Advanced Entry'!K$7-'Advanced Entry'!K$6)),1))),"No data"))</f>
        <v/>
      </c>
      <c r="L16" s="17">
        <f>IF('Advanced Entry'!L16="","",IFERROR(MAX(0,MIN(10,ROUND(IF('Advanced Entry'!L$8="Decrease Risk",10-10*((IF('Advanced Entry'!L$5="Logarithm",LN(0.001+'Advanced Entry'!L16),IF('Advanced Entry'!L$5="Exponential",EXP('Advanced Entry'!L16),'Advanced Entry'!L16)))-'Advanced Entry'!L$6)/('Advanced Entry'!L$7-'Advanced Entry'!L$6),10*((IF('Advanced Entry'!L$5="Logarithm",LN(0.001+'Advanced Entry'!L16),IF('Advanced Entry'!L$5="Exponential",EXP('Advanced Entry'!L16),'Advanced Entry'!L16)))-'Advanced Entry'!L$6)/('Advanced Entry'!L$7-'Advanced Entry'!L$6)),1))),"No data"))</f>
        <v/>
      </c>
      <c r="M16" s="17">
        <f>IF('Advanced Entry'!M16="","",IFERROR(MAX(0,MIN(10,ROUND(IF('Advanced Entry'!M$8="Decrease Risk",10-10*((IF('Advanced Entry'!M$5="Logarithm",LN(0.001+'Advanced Entry'!M16),IF('Advanced Entry'!M$5="Exponential",EXP('Advanced Entry'!M16),'Advanced Entry'!M16)))-'Advanced Entry'!M$6)/('Advanced Entry'!M$7-'Advanced Entry'!M$6),10*((IF('Advanced Entry'!M$5="Logarithm",LN(0.001+'Advanced Entry'!M16),IF('Advanced Entry'!M$5="Exponential",EXP('Advanced Entry'!M16),'Advanced Entry'!M16)))-'Advanced Entry'!M$6)/('Advanced Entry'!M$7-'Advanced Entry'!M$6)),1))),"No data"))</f>
        <v/>
      </c>
      <c r="N16" s="17">
        <f>IF('Advanced Entry'!N16="","",IFERROR(MAX(0,MIN(10,ROUND(IF('Advanced Entry'!N$8="Decrease Risk",10-10*((IF('Advanced Entry'!N$5="Logarithm",LN(0.001+'Advanced Entry'!N16),IF('Advanced Entry'!N$5="Exponential",EXP('Advanced Entry'!N16),'Advanced Entry'!N16)))-'Advanced Entry'!N$6)/('Advanced Entry'!N$7-'Advanced Entry'!N$6),10*((IF('Advanced Entry'!N$5="Logarithm",LN(0.001+'Advanced Entry'!N16),IF('Advanced Entry'!N$5="Exponential",EXP('Advanced Entry'!N16),'Advanced Entry'!N16)))-'Advanced Entry'!N$6)/('Advanced Entry'!N$7-'Advanced Entry'!N$6)),1))),"No data"))</f>
        <v/>
      </c>
      <c r="O16" s="17">
        <f>IF('Advanced Entry'!O16="","",IFERROR(MAX(0,MIN(10,ROUND(IF('Advanced Entry'!O$8="Decrease Risk",10-10*((IF('Advanced Entry'!O$5="Logarithm",LN(0.001+'Advanced Entry'!O16),IF('Advanced Entry'!O$5="Exponential",EXP('Advanced Entry'!O16),'Advanced Entry'!O16)))-'Advanced Entry'!O$6)/('Advanced Entry'!O$7-'Advanced Entry'!O$6),10*((IF('Advanced Entry'!O$5="Logarithm",LN(0.001+'Advanced Entry'!O16),IF('Advanced Entry'!O$5="Exponential",EXP('Advanced Entry'!O16),'Advanced Entry'!O16)))-'Advanced Entry'!O$6)/('Advanced Entry'!O$7-'Advanced Entry'!O$6)),1))),"No data"))</f>
        <v/>
      </c>
      <c r="P16" s="17">
        <f>IF('Advanced Entry'!P16="","",IFERROR(MAX(0,MIN(10,ROUND(IF('Advanced Entry'!P$8="Decrease Risk",10-10*((IF('Advanced Entry'!P$5="Logarithm",LN(0.001+'Advanced Entry'!P16),IF('Advanced Entry'!P$5="Exponential",EXP('Advanced Entry'!P16),'Advanced Entry'!P16)))-'Advanced Entry'!P$6)/('Advanced Entry'!P$7-'Advanced Entry'!P$6),10*((IF('Advanced Entry'!P$5="Logarithm",LN(0.001+'Advanced Entry'!P16),IF('Advanced Entry'!P$5="Exponential",EXP('Advanced Entry'!P16),'Advanced Entry'!P16)))-'Advanced Entry'!P$6)/('Advanced Entry'!P$7-'Advanced Entry'!P$6)),1))),"No data"))</f>
        <v/>
      </c>
      <c r="Q16" s="17">
        <f>IF('Advanced Entry'!Q16="","",IFERROR(MAX(0,MIN(10,ROUND(IF('Advanced Entry'!Q$8="Decrease Risk",10-10*((IF('Advanced Entry'!Q$5="Logarithm",LN(0.001+'Advanced Entry'!Q16),IF('Advanced Entry'!Q$5="Exponential",EXP('Advanced Entry'!Q16),'Advanced Entry'!Q16)))-'Advanced Entry'!Q$6)/('Advanced Entry'!Q$7-'Advanced Entry'!Q$6),10*((IF('Advanced Entry'!Q$5="Logarithm",LN(0.001+'Advanced Entry'!Q16),IF('Advanced Entry'!Q$5="Exponential",EXP('Advanced Entry'!Q16),'Advanced Entry'!Q16)))-'Advanced Entry'!Q$6)/('Advanced Entry'!Q$7-'Advanced Entry'!Q$6)),1))),"No data"))</f>
        <v/>
      </c>
      <c r="R16" s="17">
        <f>IF('Advanced Entry'!R16="","",IFERROR(MAX(0,MIN(10,ROUND(IF('Advanced Entry'!R$8="Decrease Risk",10-10*((IF('Advanced Entry'!R$5="Logarithm",LN(0.001+'Advanced Entry'!R16),IF('Advanced Entry'!R$5="Exponential",EXP('Advanced Entry'!R16),'Advanced Entry'!R16)))-'Advanced Entry'!R$6)/('Advanced Entry'!R$7-'Advanced Entry'!R$6),10*((IF('Advanced Entry'!R$5="Logarithm",LN(0.001+'Advanced Entry'!R16),IF('Advanced Entry'!R$5="Exponential",EXP('Advanced Entry'!R16),'Advanced Entry'!R16)))-'Advanced Entry'!R$6)/('Advanced Entry'!R$7-'Advanced Entry'!R$6)),1))),"No data"))</f>
        <v/>
      </c>
      <c r="S16" s="17">
        <f>IF('Advanced Entry'!S16="","",IFERROR(MAX(0,MIN(10,ROUND(IF('Advanced Entry'!S$8="Decrease Risk",10-10*((IF('Advanced Entry'!S$5="Logarithm",LN(0.001+'Advanced Entry'!S16),IF('Advanced Entry'!S$5="Exponential",EXP('Advanced Entry'!S16),'Advanced Entry'!S16)))-'Advanced Entry'!S$6)/('Advanced Entry'!S$7-'Advanced Entry'!S$6),10*((IF('Advanced Entry'!S$5="Logarithm",LN(0.001+'Advanced Entry'!S16),IF('Advanced Entry'!S$5="Exponential",EXP('Advanced Entry'!S16),'Advanced Entry'!S16)))-'Advanced Entry'!S$6)/('Advanced Entry'!S$7-'Advanced Entry'!S$6)),1))),"No data"))</f>
        <v/>
      </c>
      <c r="T16" s="17">
        <f>IF('Advanced Entry'!T16="","",IFERROR(MAX(0,MIN(10,ROUND(IF('Advanced Entry'!T$8="Decrease Risk",10-10*((IF('Advanced Entry'!T$5="Logarithm",LN(0.001+'Advanced Entry'!T16),IF('Advanced Entry'!T$5="Exponential",EXP('Advanced Entry'!T16),'Advanced Entry'!T16)))-'Advanced Entry'!T$6)/('Advanced Entry'!T$7-'Advanced Entry'!T$6),10*((IF('Advanced Entry'!T$5="Logarithm",LN(0.001+'Advanced Entry'!T16),IF('Advanced Entry'!T$5="Exponential",EXP('Advanced Entry'!T16),'Advanced Entry'!T16)))-'Advanced Entry'!T$6)/('Advanced Entry'!T$7-'Advanced Entry'!T$6)),1))),"No data"))</f>
        <v/>
      </c>
      <c r="U16" s="17">
        <f>IF('Advanced Entry'!U16="","",IFERROR(MAX(0,MIN(10,ROUND(IF('Advanced Entry'!U$8="Decrease Risk",10-10*((IF('Advanced Entry'!U$5="Logarithm",LN(0.001+'Advanced Entry'!U16),IF('Advanced Entry'!U$5="Exponential",EXP('Advanced Entry'!U16),'Advanced Entry'!U16)))-'Advanced Entry'!U$6)/('Advanced Entry'!U$7-'Advanced Entry'!U$6),10*((IF('Advanced Entry'!U$5="Logarithm",LN(0.001+'Advanced Entry'!U16),IF('Advanced Entry'!U$5="Exponential",EXP('Advanced Entry'!U16),'Advanced Entry'!U16)))-'Advanced Entry'!U$6)/('Advanced Entry'!U$7-'Advanced Entry'!U$6)),1))),"No data"))</f>
        <v/>
      </c>
      <c r="V16" s="17">
        <f>IF('Advanced Entry'!V16="","",IFERROR(MAX(0,MIN(10,ROUND(IF('Advanced Entry'!V$8="Decrease Risk",10-10*((IF('Advanced Entry'!V$5="Logarithm",LN(0.001+'Advanced Entry'!V16),IF('Advanced Entry'!V$5="Exponential",EXP('Advanced Entry'!V16),'Advanced Entry'!V16)))-'Advanced Entry'!V$6)/('Advanced Entry'!V$7-'Advanced Entry'!V$6),10*((IF('Advanced Entry'!V$5="Logarithm",LN(0.001+'Advanced Entry'!V16),IF('Advanced Entry'!V$5="Exponential",EXP('Advanced Entry'!V16),'Advanced Entry'!V16)))-'Advanced Entry'!V$6)/('Advanced Entry'!V$7-'Advanced Entry'!V$6)),1))),"No data"))</f>
        <v/>
      </c>
      <c r="W16" s="17">
        <f>IF('Advanced Entry'!W16="","",IFERROR(MAX(0,MIN(10,ROUND(IF('Advanced Entry'!W$8="Decrease Risk",10-10*((IF('Advanced Entry'!W$5="Logarithm",LN(0.001+'Advanced Entry'!W16),IF('Advanced Entry'!W$5="Exponential",EXP('Advanced Entry'!W16),'Advanced Entry'!W16)))-'Advanced Entry'!W$6)/('Advanced Entry'!W$7-'Advanced Entry'!W$6),10*((IF('Advanced Entry'!W$5="Logarithm",LN(0.001+'Advanced Entry'!W16),IF('Advanced Entry'!W$5="Exponential",EXP('Advanced Entry'!W16),'Advanced Entry'!W16)))-'Advanced Entry'!W$6)/('Advanced Entry'!W$7-'Advanced Entry'!W$6)),1))),"No data"))</f>
        <v/>
      </c>
      <c r="X16" s="17">
        <f>IF('Advanced Entry'!X16="","",IFERROR(MAX(0,MIN(10,ROUND(IF('Advanced Entry'!X$8="Decrease Risk",10-10*((IF('Advanced Entry'!X$5="Logarithm",LN(0.001+'Advanced Entry'!X16),IF('Advanced Entry'!X$5="Exponential",EXP('Advanced Entry'!X16),'Advanced Entry'!X16)))-'Advanced Entry'!X$6)/('Advanced Entry'!X$7-'Advanced Entry'!X$6),10*((IF('Advanced Entry'!X$5="Logarithm",LN(0.001+'Advanced Entry'!X16),IF('Advanced Entry'!X$5="Exponential",EXP('Advanced Entry'!X16),'Advanced Entry'!X16)))-'Advanced Entry'!X$6)/('Advanced Entry'!X$7-'Advanced Entry'!X$6)),1))),"No data"))</f>
        <v/>
      </c>
      <c r="Y16" s="17">
        <f>IF('Advanced Entry'!Y16="","",IFERROR(MAX(0,MIN(10,ROUND(IF('Advanced Entry'!Y$8="Decrease Risk",10-10*((IF('Advanced Entry'!Y$5="Logarithm",LN(0.001+'Advanced Entry'!Y16),IF('Advanced Entry'!Y$5="Exponential",EXP('Advanced Entry'!Y16),'Advanced Entry'!Y16)))-'Advanced Entry'!Y$6)/('Advanced Entry'!Y$7-'Advanced Entry'!Y$6),10*((IF('Advanced Entry'!Y$5="Logarithm",LN(0.001+'Advanced Entry'!Y16),IF('Advanced Entry'!Y$5="Exponential",EXP('Advanced Entry'!Y16),'Advanced Entry'!Y16)))-'Advanced Entry'!Y$6)/('Advanced Entry'!Y$7-'Advanced Entry'!Y$6)),1))),"No data"))</f>
        <v/>
      </c>
      <c r="Z16" s="17">
        <f>IF('Advanced Entry'!Z16="","",IFERROR(MAX(0,MIN(10,ROUND(IF('Advanced Entry'!Z$8="Decrease Risk",10-10*((IF('Advanced Entry'!Z$5="Logarithm",LN(0.001+'Advanced Entry'!Z16),IF('Advanced Entry'!Z$5="Exponential",EXP('Advanced Entry'!Z16),'Advanced Entry'!Z16)))-'Advanced Entry'!Z$6)/('Advanced Entry'!Z$7-'Advanced Entry'!Z$6),10*((IF('Advanced Entry'!Z$5="Logarithm",LN(0.001+'Advanced Entry'!Z16),IF('Advanced Entry'!Z$5="Exponential",EXP('Advanced Entry'!Z16),'Advanced Entry'!Z16)))-'Advanced Entry'!Z$6)/('Advanced Entry'!Z$7-'Advanced Entry'!Z$6)),1))),"No data"))</f>
        <v/>
      </c>
      <c r="AA16" s="17">
        <f>IF('Advanced Entry'!AA16="","",IFERROR(MAX(0,MIN(10,ROUND(IF('Advanced Entry'!AA$8="Decrease Risk",10-10*((IF('Advanced Entry'!AA$5="Logarithm",LN(0.001+'Advanced Entry'!AA16),IF('Advanced Entry'!AA$5="Exponential",EXP('Advanced Entry'!AA16),'Advanced Entry'!AA16)))-'Advanced Entry'!AA$6)/('Advanced Entry'!AA$7-'Advanced Entry'!AA$6),10*((IF('Advanced Entry'!AA$5="Logarithm",LN(0.001+'Advanced Entry'!AA16),IF('Advanced Entry'!AA$5="Exponential",EXP('Advanced Entry'!AA16),'Advanced Entry'!AA16)))-'Advanced Entry'!AA$6)/('Advanced Entry'!AA$7-'Advanced Entry'!AA$6)),1))),"No data"))</f>
        <v/>
      </c>
      <c r="AB16" s="17">
        <f>IF('Advanced Entry'!AB16="","",IFERROR(MAX(0,MIN(10,ROUND(IF('Advanced Entry'!AB$8="Decrease Risk",10-10*((IF('Advanced Entry'!AB$5="Logarithm",LN(0.001+'Advanced Entry'!AB16),IF('Advanced Entry'!AB$5="Exponential",EXP('Advanced Entry'!AB16),'Advanced Entry'!AB16)))-'Advanced Entry'!AB$6)/('Advanced Entry'!AB$7-'Advanced Entry'!AB$6),10*((IF('Advanced Entry'!AB$5="Logarithm",LN(0.001+'Advanced Entry'!AB16),IF('Advanced Entry'!AB$5="Exponential",EXP('Advanced Entry'!AB16),'Advanced Entry'!AB16)))-'Advanced Entry'!AB$6)/('Advanced Entry'!AB$7-'Advanced Entry'!AB$6)),1))),"No data"))</f>
        <v/>
      </c>
    </row>
    <row r="17">
      <c r="A17" t="inlineStr">
        <is>
          <t>Arusha</t>
        </is>
      </c>
      <c r="B17" t="inlineStr">
        <is>
          <t>Ngorongoro District</t>
        </is>
      </c>
      <c r="C17" t="inlineStr">
        <is>
          <t>C014</t>
        </is>
      </c>
      <c r="D17" s="17">
        <f>IF('Advanced Entry'!D17="","",IFERROR(MAX(0,MIN(10,ROUND(IF('Advanced Entry'!D$8="Decrease Risk",10-10*((IF('Advanced Entry'!D$5="Logarithm",LN(0.001+'Advanced Entry'!D17),IF('Advanced Entry'!D$5="Exponential",EXP('Advanced Entry'!D17),'Advanced Entry'!D17)))-'Advanced Entry'!D$6)/('Advanced Entry'!D$7-'Advanced Entry'!D$6),10*((IF('Advanced Entry'!D$5="Logarithm",LN(0.001+'Advanced Entry'!D17),IF('Advanced Entry'!D$5="Exponential",EXP('Advanced Entry'!D17),'Advanced Entry'!D17)))-'Advanced Entry'!D$6)/('Advanced Entry'!D$7-'Advanced Entry'!D$6)),1))),"No data"))</f>
        <v/>
      </c>
      <c r="E17" s="17">
        <f>IF('Advanced Entry'!E17="","",IFERROR(MAX(0,MIN(10,ROUND(IF('Advanced Entry'!E$8="Decrease Risk",10-10*((IF('Advanced Entry'!E$5="Logarithm",LN(0.001+'Advanced Entry'!E17),IF('Advanced Entry'!E$5="Exponential",EXP('Advanced Entry'!E17),'Advanced Entry'!E17)))-'Advanced Entry'!E$6)/('Advanced Entry'!E$7-'Advanced Entry'!E$6),10*((IF('Advanced Entry'!E$5="Logarithm",LN(0.001+'Advanced Entry'!E17),IF('Advanced Entry'!E$5="Exponential",EXP('Advanced Entry'!E17),'Advanced Entry'!E17)))-'Advanced Entry'!E$6)/('Advanced Entry'!E$7-'Advanced Entry'!E$6)),1))),"No data"))</f>
        <v/>
      </c>
      <c r="F17" s="17">
        <f>IF('Advanced Entry'!F17="","",IFERROR(MAX(0,MIN(10,ROUND(IF('Advanced Entry'!F$8="Decrease Risk",10-10*((IF('Advanced Entry'!F$5="Logarithm",LN(0.001+'Advanced Entry'!F17),IF('Advanced Entry'!F$5="Exponential",EXP('Advanced Entry'!F17),'Advanced Entry'!F17)))-'Advanced Entry'!F$6)/('Advanced Entry'!F$7-'Advanced Entry'!F$6),10*((IF('Advanced Entry'!F$5="Logarithm",LN(0.001+'Advanced Entry'!F17),IF('Advanced Entry'!F$5="Exponential",EXP('Advanced Entry'!F17),'Advanced Entry'!F17)))-'Advanced Entry'!F$6)/('Advanced Entry'!F$7-'Advanced Entry'!F$6)),1))),"No data"))</f>
        <v/>
      </c>
      <c r="G17" s="17">
        <f>IF('Advanced Entry'!G17="","",IFERROR(MAX(0,MIN(10,ROUND(IF('Advanced Entry'!G$8="Decrease Risk",10-10*((IF('Advanced Entry'!G$5="Logarithm",LN(0.001+'Advanced Entry'!G17),IF('Advanced Entry'!G$5="Exponential",EXP('Advanced Entry'!G17),'Advanced Entry'!G17)))-'Advanced Entry'!G$6)/('Advanced Entry'!G$7-'Advanced Entry'!G$6),10*((IF('Advanced Entry'!G$5="Logarithm",LN(0.001+'Advanced Entry'!G17),IF('Advanced Entry'!G$5="Exponential",EXP('Advanced Entry'!G17),'Advanced Entry'!G17)))-'Advanced Entry'!G$6)/('Advanced Entry'!G$7-'Advanced Entry'!G$6)),1))),"No data"))</f>
        <v/>
      </c>
      <c r="H17" s="17">
        <f>IF('Advanced Entry'!H17="","",IFERROR(MAX(0,MIN(10,ROUND(IF('Advanced Entry'!H$8="Decrease Risk",10-10*((IF('Advanced Entry'!H$5="Logarithm",LN(0.001+'Advanced Entry'!H17),IF('Advanced Entry'!H$5="Exponential",EXP('Advanced Entry'!H17),'Advanced Entry'!H17)))-'Advanced Entry'!H$6)/('Advanced Entry'!H$7-'Advanced Entry'!H$6),10*((IF('Advanced Entry'!H$5="Logarithm",LN(0.001+'Advanced Entry'!H17),IF('Advanced Entry'!H$5="Exponential",EXP('Advanced Entry'!H17),'Advanced Entry'!H17)))-'Advanced Entry'!H$6)/('Advanced Entry'!H$7-'Advanced Entry'!H$6)),1))),"No data"))</f>
        <v/>
      </c>
      <c r="I17" s="17">
        <f>IF('Advanced Entry'!I17="","",IFERROR(MAX(0,MIN(10,ROUND(IF('Advanced Entry'!I$8="Decrease Risk",10-10*((IF('Advanced Entry'!I$5="Logarithm",LN(0.001+'Advanced Entry'!I17),IF('Advanced Entry'!I$5="Exponential",EXP('Advanced Entry'!I17),'Advanced Entry'!I17)))-'Advanced Entry'!I$6)/('Advanced Entry'!I$7-'Advanced Entry'!I$6),10*((IF('Advanced Entry'!I$5="Logarithm",LN(0.001+'Advanced Entry'!I17),IF('Advanced Entry'!I$5="Exponential",EXP('Advanced Entry'!I17),'Advanced Entry'!I17)))-'Advanced Entry'!I$6)/('Advanced Entry'!I$7-'Advanced Entry'!I$6)),1))),"No data"))</f>
        <v/>
      </c>
      <c r="J17" s="17">
        <f>IF('Advanced Entry'!J17="","",IFERROR(MAX(0,MIN(10,ROUND(IF('Advanced Entry'!J$8="Decrease Risk",10-10*((IF('Advanced Entry'!J$5="Logarithm",LN(0.001+'Advanced Entry'!J17),IF('Advanced Entry'!J$5="Exponential",EXP('Advanced Entry'!J17),'Advanced Entry'!J17)))-'Advanced Entry'!J$6)/('Advanced Entry'!J$7-'Advanced Entry'!J$6),10*((IF('Advanced Entry'!J$5="Logarithm",LN(0.001+'Advanced Entry'!J17),IF('Advanced Entry'!J$5="Exponential",EXP('Advanced Entry'!J17),'Advanced Entry'!J17)))-'Advanced Entry'!J$6)/('Advanced Entry'!J$7-'Advanced Entry'!J$6)),1))),"No data"))</f>
        <v/>
      </c>
      <c r="K17" s="17">
        <f>IF('Advanced Entry'!K17="","",IFERROR(MAX(0,MIN(10,ROUND(IF('Advanced Entry'!K$8="Decrease Risk",10-10*((IF('Advanced Entry'!K$5="Logarithm",LN(0.001+'Advanced Entry'!K17),IF('Advanced Entry'!K$5="Exponential",EXP('Advanced Entry'!K17),'Advanced Entry'!K17)))-'Advanced Entry'!K$6)/('Advanced Entry'!K$7-'Advanced Entry'!K$6),10*((IF('Advanced Entry'!K$5="Logarithm",LN(0.001+'Advanced Entry'!K17),IF('Advanced Entry'!K$5="Exponential",EXP('Advanced Entry'!K17),'Advanced Entry'!K17)))-'Advanced Entry'!K$6)/('Advanced Entry'!K$7-'Advanced Entry'!K$6)),1))),"No data"))</f>
        <v/>
      </c>
      <c r="L17" s="17">
        <f>IF('Advanced Entry'!L17="","",IFERROR(MAX(0,MIN(10,ROUND(IF('Advanced Entry'!L$8="Decrease Risk",10-10*((IF('Advanced Entry'!L$5="Logarithm",LN(0.001+'Advanced Entry'!L17),IF('Advanced Entry'!L$5="Exponential",EXP('Advanced Entry'!L17),'Advanced Entry'!L17)))-'Advanced Entry'!L$6)/('Advanced Entry'!L$7-'Advanced Entry'!L$6),10*((IF('Advanced Entry'!L$5="Logarithm",LN(0.001+'Advanced Entry'!L17),IF('Advanced Entry'!L$5="Exponential",EXP('Advanced Entry'!L17),'Advanced Entry'!L17)))-'Advanced Entry'!L$6)/('Advanced Entry'!L$7-'Advanced Entry'!L$6)),1))),"No data"))</f>
        <v/>
      </c>
      <c r="M17" s="17">
        <f>IF('Advanced Entry'!M17="","",IFERROR(MAX(0,MIN(10,ROUND(IF('Advanced Entry'!M$8="Decrease Risk",10-10*((IF('Advanced Entry'!M$5="Logarithm",LN(0.001+'Advanced Entry'!M17),IF('Advanced Entry'!M$5="Exponential",EXP('Advanced Entry'!M17),'Advanced Entry'!M17)))-'Advanced Entry'!M$6)/('Advanced Entry'!M$7-'Advanced Entry'!M$6),10*((IF('Advanced Entry'!M$5="Logarithm",LN(0.001+'Advanced Entry'!M17),IF('Advanced Entry'!M$5="Exponential",EXP('Advanced Entry'!M17),'Advanced Entry'!M17)))-'Advanced Entry'!M$6)/('Advanced Entry'!M$7-'Advanced Entry'!M$6)),1))),"No data"))</f>
        <v/>
      </c>
      <c r="N17" s="17">
        <f>IF('Advanced Entry'!N17="","",IFERROR(MAX(0,MIN(10,ROUND(IF('Advanced Entry'!N$8="Decrease Risk",10-10*((IF('Advanced Entry'!N$5="Logarithm",LN(0.001+'Advanced Entry'!N17),IF('Advanced Entry'!N$5="Exponential",EXP('Advanced Entry'!N17),'Advanced Entry'!N17)))-'Advanced Entry'!N$6)/('Advanced Entry'!N$7-'Advanced Entry'!N$6),10*((IF('Advanced Entry'!N$5="Logarithm",LN(0.001+'Advanced Entry'!N17),IF('Advanced Entry'!N$5="Exponential",EXP('Advanced Entry'!N17),'Advanced Entry'!N17)))-'Advanced Entry'!N$6)/('Advanced Entry'!N$7-'Advanced Entry'!N$6)),1))),"No data"))</f>
        <v/>
      </c>
      <c r="O17" s="17">
        <f>IF('Advanced Entry'!O17="","",IFERROR(MAX(0,MIN(10,ROUND(IF('Advanced Entry'!O$8="Decrease Risk",10-10*((IF('Advanced Entry'!O$5="Logarithm",LN(0.001+'Advanced Entry'!O17),IF('Advanced Entry'!O$5="Exponential",EXP('Advanced Entry'!O17),'Advanced Entry'!O17)))-'Advanced Entry'!O$6)/('Advanced Entry'!O$7-'Advanced Entry'!O$6),10*((IF('Advanced Entry'!O$5="Logarithm",LN(0.001+'Advanced Entry'!O17),IF('Advanced Entry'!O$5="Exponential",EXP('Advanced Entry'!O17),'Advanced Entry'!O17)))-'Advanced Entry'!O$6)/('Advanced Entry'!O$7-'Advanced Entry'!O$6)),1))),"No data"))</f>
        <v/>
      </c>
      <c r="P17" s="17">
        <f>IF('Advanced Entry'!P17="","",IFERROR(MAX(0,MIN(10,ROUND(IF('Advanced Entry'!P$8="Decrease Risk",10-10*((IF('Advanced Entry'!P$5="Logarithm",LN(0.001+'Advanced Entry'!P17),IF('Advanced Entry'!P$5="Exponential",EXP('Advanced Entry'!P17),'Advanced Entry'!P17)))-'Advanced Entry'!P$6)/('Advanced Entry'!P$7-'Advanced Entry'!P$6),10*((IF('Advanced Entry'!P$5="Logarithm",LN(0.001+'Advanced Entry'!P17),IF('Advanced Entry'!P$5="Exponential",EXP('Advanced Entry'!P17),'Advanced Entry'!P17)))-'Advanced Entry'!P$6)/('Advanced Entry'!P$7-'Advanced Entry'!P$6)),1))),"No data"))</f>
        <v/>
      </c>
      <c r="Q17" s="17">
        <f>IF('Advanced Entry'!Q17="","",IFERROR(MAX(0,MIN(10,ROUND(IF('Advanced Entry'!Q$8="Decrease Risk",10-10*((IF('Advanced Entry'!Q$5="Logarithm",LN(0.001+'Advanced Entry'!Q17),IF('Advanced Entry'!Q$5="Exponential",EXP('Advanced Entry'!Q17),'Advanced Entry'!Q17)))-'Advanced Entry'!Q$6)/('Advanced Entry'!Q$7-'Advanced Entry'!Q$6),10*((IF('Advanced Entry'!Q$5="Logarithm",LN(0.001+'Advanced Entry'!Q17),IF('Advanced Entry'!Q$5="Exponential",EXP('Advanced Entry'!Q17),'Advanced Entry'!Q17)))-'Advanced Entry'!Q$6)/('Advanced Entry'!Q$7-'Advanced Entry'!Q$6)),1))),"No data"))</f>
        <v/>
      </c>
      <c r="R17" s="17">
        <f>IF('Advanced Entry'!R17="","",IFERROR(MAX(0,MIN(10,ROUND(IF('Advanced Entry'!R$8="Decrease Risk",10-10*((IF('Advanced Entry'!R$5="Logarithm",LN(0.001+'Advanced Entry'!R17),IF('Advanced Entry'!R$5="Exponential",EXP('Advanced Entry'!R17),'Advanced Entry'!R17)))-'Advanced Entry'!R$6)/('Advanced Entry'!R$7-'Advanced Entry'!R$6),10*((IF('Advanced Entry'!R$5="Logarithm",LN(0.001+'Advanced Entry'!R17),IF('Advanced Entry'!R$5="Exponential",EXP('Advanced Entry'!R17),'Advanced Entry'!R17)))-'Advanced Entry'!R$6)/('Advanced Entry'!R$7-'Advanced Entry'!R$6)),1))),"No data"))</f>
        <v/>
      </c>
      <c r="S17" s="17">
        <f>IF('Advanced Entry'!S17="","",IFERROR(MAX(0,MIN(10,ROUND(IF('Advanced Entry'!S$8="Decrease Risk",10-10*((IF('Advanced Entry'!S$5="Logarithm",LN(0.001+'Advanced Entry'!S17),IF('Advanced Entry'!S$5="Exponential",EXP('Advanced Entry'!S17),'Advanced Entry'!S17)))-'Advanced Entry'!S$6)/('Advanced Entry'!S$7-'Advanced Entry'!S$6),10*((IF('Advanced Entry'!S$5="Logarithm",LN(0.001+'Advanced Entry'!S17),IF('Advanced Entry'!S$5="Exponential",EXP('Advanced Entry'!S17),'Advanced Entry'!S17)))-'Advanced Entry'!S$6)/('Advanced Entry'!S$7-'Advanced Entry'!S$6)),1))),"No data"))</f>
        <v/>
      </c>
      <c r="T17" s="17">
        <f>IF('Advanced Entry'!T17="","",IFERROR(MAX(0,MIN(10,ROUND(IF('Advanced Entry'!T$8="Decrease Risk",10-10*((IF('Advanced Entry'!T$5="Logarithm",LN(0.001+'Advanced Entry'!T17),IF('Advanced Entry'!T$5="Exponential",EXP('Advanced Entry'!T17),'Advanced Entry'!T17)))-'Advanced Entry'!T$6)/('Advanced Entry'!T$7-'Advanced Entry'!T$6),10*((IF('Advanced Entry'!T$5="Logarithm",LN(0.001+'Advanced Entry'!T17),IF('Advanced Entry'!T$5="Exponential",EXP('Advanced Entry'!T17),'Advanced Entry'!T17)))-'Advanced Entry'!T$6)/('Advanced Entry'!T$7-'Advanced Entry'!T$6)),1))),"No data"))</f>
        <v/>
      </c>
      <c r="U17" s="17">
        <f>IF('Advanced Entry'!U17="","",IFERROR(MAX(0,MIN(10,ROUND(IF('Advanced Entry'!U$8="Decrease Risk",10-10*((IF('Advanced Entry'!U$5="Logarithm",LN(0.001+'Advanced Entry'!U17),IF('Advanced Entry'!U$5="Exponential",EXP('Advanced Entry'!U17),'Advanced Entry'!U17)))-'Advanced Entry'!U$6)/('Advanced Entry'!U$7-'Advanced Entry'!U$6),10*((IF('Advanced Entry'!U$5="Logarithm",LN(0.001+'Advanced Entry'!U17),IF('Advanced Entry'!U$5="Exponential",EXP('Advanced Entry'!U17),'Advanced Entry'!U17)))-'Advanced Entry'!U$6)/('Advanced Entry'!U$7-'Advanced Entry'!U$6)),1))),"No data"))</f>
        <v/>
      </c>
      <c r="V17" s="17">
        <f>IF('Advanced Entry'!V17="","",IFERROR(MAX(0,MIN(10,ROUND(IF('Advanced Entry'!V$8="Decrease Risk",10-10*((IF('Advanced Entry'!V$5="Logarithm",LN(0.001+'Advanced Entry'!V17),IF('Advanced Entry'!V$5="Exponential",EXP('Advanced Entry'!V17),'Advanced Entry'!V17)))-'Advanced Entry'!V$6)/('Advanced Entry'!V$7-'Advanced Entry'!V$6),10*((IF('Advanced Entry'!V$5="Logarithm",LN(0.001+'Advanced Entry'!V17),IF('Advanced Entry'!V$5="Exponential",EXP('Advanced Entry'!V17),'Advanced Entry'!V17)))-'Advanced Entry'!V$6)/('Advanced Entry'!V$7-'Advanced Entry'!V$6)),1))),"No data"))</f>
        <v/>
      </c>
      <c r="W17" s="17">
        <f>IF('Advanced Entry'!W17="","",IFERROR(MAX(0,MIN(10,ROUND(IF('Advanced Entry'!W$8="Decrease Risk",10-10*((IF('Advanced Entry'!W$5="Logarithm",LN(0.001+'Advanced Entry'!W17),IF('Advanced Entry'!W$5="Exponential",EXP('Advanced Entry'!W17),'Advanced Entry'!W17)))-'Advanced Entry'!W$6)/('Advanced Entry'!W$7-'Advanced Entry'!W$6),10*((IF('Advanced Entry'!W$5="Logarithm",LN(0.001+'Advanced Entry'!W17),IF('Advanced Entry'!W$5="Exponential",EXP('Advanced Entry'!W17),'Advanced Entry'!W17)))-'Advanced Entry'!W$6)/('Advanced Entry'!W$7-'Advanced Entry'!W$6)),1))),"No data"))</f>
        <v/>
      </c>
      <c r="X17" s="17">
        <f>IF('Advanced Entry'!X17="","",IFERROR(MAX(0,MIN(10,ROUND(IF('Advanced Entry'!X$8="Decrease Risk",10-10*((IF('Advanced Entry'!X$5="Logarithm",LN(0.001+'Advanced Entry'!X17),IF('Advanced Entry'!X$5="Exponential",EXP('Advanced Entry'!X17),'Advanced Entry'!X17)))-'Advanced Entry'!X$6)/('Advanced Entry'!X$7-'Advanced Entry'!X$6),10*((IF('Advanced Entry'!X$5="Logarithm",LN(0.001+'Advanced Entry'!X17),IF('Advanced Entry'!X$5="Exponential",EXP('Advanced Entry'!X17),'Advanced Entry'!X17)))-'Advanced Entry'!X$6)/('Advanced Entry'!X$7-'Advanced Entry'!X$6)),1))),"No data"))</f>
        <v/>
      </c>
      <c r="Y17" s="17">
        <f>IF('Advanced Entry'!Y17="","",IFERROR(MAX(0,MIN(10,ROUND(IF('Advanced Entry'!Y$8="Decrease Risk",10-10*((IF('Advanced Entry'!Y$5="Logarithm",LN(0.001+'Advanced Entry'!Y17),IF('Advanced Entry'!Y$5="Exponential",EXP('Advanced Entry'!Y17),'Advanced Entry'!Y17)))-'Advanced Entry'!Y$6)/('Advanced Entry'!Y$7-'Advanced Entry'!Y$6),10*((IF('Advanced Entry'!Y$5="Logarithm",LN(0.001+'Advanced Entry'!Y17),IF('Advanced Entry'!Y$5="Exponential",EXP('Advanced Entry'!Y17),'Advanced Entry'!Y17)))-'Advanced Entry'!Y$6)/('Advanced Entry'!Y$7-'Advanced Entry'!Y$6)),1))),"No data"))</f>
        <v/>
      </c>
      <c r="Z17" s="17">
        <f>IF('Advanced Entry'!Z17="","",IFERROR(MAX(0,MIN(10,ROUND(IF('Advanced Entry'!Z$8="Decrease Risk",10-10*((IF('Advanced Entry'!Z$5="Logarithm",LN(0.001+'Advanced Entry'!Z17),IF('Advanced Entry'!Z$5="Exponential",EXP('Advanced Entry'!Z17),'Advanced Entry'!Z17)))-'Advanced Entry'!Z$6)/('Advanced Entry'!Z$7-'Advanced Entry'!Z$6),10*((IF('Advanced Entry'!Z$5="Logarithm",LN(0.001+'Advanced Entry'!Z17),IF('Advanced Entry'!Z$5="Exponential",EXP('Advanced Entry'!Z17),'Advanced Entry'!Z17)))-'Advanced Entry'!Z$6)/('Advanced Entry'!Z$7-'Advanced Entry'!Z$6)),1))),"No data"))</f>
        <v/>
      </c>
      <c r="AA17" s="17">
        <f>IF('Advanced Entry'!AA17="","",IFERROR(MAX(0,MIN(10,ROUND(IF('Advanced Entry'!AA$8="Decrease Risk",10-10*((IF('Advanced Entry'!AA$5="Logarithm",LN(0.001+'Advanced Entry'!AA17),IF('Advanced Entry'!AA$5="Exponential",EXP('Advanced Entry'!AA17),'Advanced Entry'!AA17)))-'Advanced Entry'!AA$6)/('Advanced Entry'!AA$7-'Advanced Entry'!AA$6),10*((IF('Advanced Entry'!AA$5="Logarithm",LN(0.001+'Advanced Entry'!AA17),IF('Advanced Entry'!AA$5="Exponential",EXP('Advanced Entry'!AA17),'Advanced Entry'!AA17)))-'Advanced Entry'!AA$6)/('Advanced Entry'!AA$7-'Advanced Entry'!AA$6)),1))),"No data"))</f>
        <v/>
      </c>
      <c r="AB17" s="17">
        <f>IF('Advanced Entry'!AB17="","",IFERROR(MAX(0,MIN(10,ROUND(IF('Advanced Entry'!AB$8="Decrease Risk",10-10*((IF('Advanced Entry'!AB$5="Logarithm",LN(0.001+'Advanced Entry'!AB17),IF('Advanced Entry'!AB$5="Exponential",EXP('Advanced Entry'!AB17),'Advanced Entry'!AB17)))-'Advanced Entry'!AB$6)/('Advanced Entry'!AB$7-'Advanced Entry'!AB$6),10*((IF('Advanced Entry'!AB$5="Logarithm",LN(0.001+'Advanced Entry'!AB17),IF('Advanced Entry'!AB$5="Exponential",EXP('Advanced Entry'!AB17),'Advanced Entry'!AB17)))-'Advanced Entry'!AB$6)/('Advanced Entry'!AB$7-'Advanced Entry'!AB$6)),1))),"No data"))</f>
        <v/>
      </c>
    </row>
    <row r="18">
      <c r="A18" t="inlineStr">
        <is>
          <t>Dar es Salaam</t>
        </is>
      </c>
      <c r="B18" t="inlineStr">
        <is>
          <t>Dar Es Salaam City</t>
        </is>
      </c>
      <c r="C18" t="inlineStr">
        <is>
          <t>C053</t>
        </is>
      </c>
      <c r="D18" s="17">
        <f>IF('Advanced Entry'!D18="","",IFERROR(MAX(0,MIN(10,ROUND(IF('Advanced Entry'!D$8="Decrease Risk",10-10*((IF('Advanced Entry'!D$5="Logarithm",LN(0.001+'Advanced Entry'!D18),IF('Advanced Entry'!D$5="Exponential",EXP('Advanced Entry'!D18),'Advanced Entry'!D18)))-'Advanced Entry'!D$6)/('Advanced Entry'!D$7-'Advanced Entry'!D$6),10*((IF('Advanced Entry'!D$5="Logarithm",LN(0.001+'Advanced Entry'!D18),IF('Advanced Entry'!D$5="Exponential",EXP('Advanced Entry'!D18),'Advanced Entry'!D18)))-'Advanced Entry'!D$6)/('Advanced Entry'!D$7-'Advanced Entry'!D$6)),1))),"No data"))</f>
        <v/>
      </c>
      <c r="E18" s="17">
        <f>IF('Advanced Entry'!E18="","",IFERROR(MAX(0,MIN(10,ROUND(IF('Advanced Entry'!E$8="Decrease Risk",10-10*((IF('Advanced Entry'!E$5="Logarithm",LN(0.001+'Advanced Entry'!E18),IF('Advanced Entry'!E$5="Exponential",EXP('Advanced Entry'!E18),'Advanced Entry'!E18)))-'Advanced Entry'!E$6)/('Advanced Entry'!E$7-'Advanced Entry'!E$6),10*((IF('Advanced Entry'!E$5="Logarithm",LN(0.001+'Advanced Entry'!E18),IF('Advanced Entry'!E$5="Exponential",EXP('Advanced Entry'!E18),'Advanced Entry'!E18)))-'Advanced Entry'!E$6)/('Advanced Entry'!E$7-'Advanced Entry'!E$6)),1))),"No data"))</f>
        <v/>
      </c>
      <c r="F18" s="17">
        <f>IF('Advanced Entry'!F18="","",IFERROR(MAX(0,MIN(10,ROUND(IF('Advanced Entry'!F$8="Decrease Risk",10-10*((IF('Advanced Entry'!F$5="Logarithm",LN(0.001+'Advanced Entry'!F18),IF('Advanced Entry'!F$5="Exponential",EXP('Advanced Entry'!F18),'Advanced Entry'!F18)))-'Advanced Entry'!F$6)/('Advanced Entry'!F$7-'Advanced Entry'!F$6),10*((IF('Advanced Entry'!F$5="Logarithm",LN(0.001+'Advanced Entry'!F18),IF('Advanced Entry'!F$5="Exponential",EXP('Advanced Entry'!F18),'Advanced Entry'!F18)))-'Advanced Entry'!F$6)/('Advanced Entry'!F$7-'Advanced Entry'!F$6)),1))),"No data"))</f>
        <v/>
      </c>
      <c r="G18" s="17">
        <f>IF('Advanced Entry'!G18="","",IFERROR(MAX(0,MIN(10,ROUND(IF('Advanced Entry'!G$8="Decrease Risk",10-10*((IF('Advanced Entry'!G$5="Logarithm",LN(0.001+'Advanced Entry'!G18),IF('Advanced Entry'!G$5="Exponential",EXP('Advanced Entry'!G18),'Advanced Entry'!G18)))-'Advanced Entry'!G$6)/('Advanced Entry'!G$7-'Advanced Entry'!G$6),10*((IF('Advanced Entry'!G$5="Logarithm",LN(0.001+'Advanced Entry'!G18),IF('Advanced Entry'!G$5="Exponential",EXP('Advanced Entry'!G18),'Advanced Entry'!G18)))-'Advanced Entry'!G$6)/('Advanced Entry'!G$7-'Advanced Entry'!G$6)),1))),"No data"))</f>
        <v/>
      </c>
      <c r="H18" s="17">
        <f>IF('Advanced Entry'!H18="","",IFERROR(MAX(0,MIN(10,ROUND(IF('Advanced Entry'!H$8="Decrease Risk",10-10*((IF('Advanced Entry'!H$5="Logarithm",LN(0.001+'Advanced Entry'!H18),IF('Advanced Entry'!H$5="Exponential",EXP('Advanced Entry'!H18),'Advanced Entry'!H18)))-'Advanced Entry'!H$6)/('Advanced Entry'!H$7-'Advanced Entry'!H$6),10*((IF('Advanced Entry'!H$5="Logarithm",LN(0.001+'Advanced Entry'!H18),IF('Advanced Entry'!H$5="Exponential",EXP('Advanced Entry'!H18),'Advanced Entry'!H18)))-'Advanced Entry'!H$6)/('Advanced Entry'!H$7-'Advanced Entry'!H$6)),1))),"No data"))</f>
        <v/>
      </c>
      <c r="I18" s="17">
        <f>IF('Advanced Entry'!I18="","",IFERROR(MAX(0,MIN(10,ROUND(IF('Advanced Entry'!I$8="Decrease Risk",10-10*((IF('Advanced Entry'!I$5="Logarithm",LN(0.001+'Advanced Entry'!I18),IF('Advanced Entry'!I$5="Exponential",EXP('Advanced Entry'!I18),'Advanced Entry'!I18)))-'Advanced Entry'!I$6)/('Advanced Entry'!I$7-'Advanced Entry'!I$6),10*((IF('Advanced Entry'!I$5="Logarithm",LN(0.001+'Advanced Entry'!I18),IF('Advanced Entry'!I$5="Exponential",EXP('Advanced Entry'!I18),'Advanced Entry'!I18)))-'Advanced Entry'!I$6)/('Advanced Entry'!I$7-'Advanced Entry'!I$6)),1))),"No data"))</f>
        <v/>
      </c>
      <c r="J18" s="17">
        <f>IF('Advanced Entry'!J18="","",IFERROR(MAX(0,MIN(10,ROUND(IF('Advanced Entry'!J$8="Decrease Risk",10-10*((IF('Advanced Entry'!J$5="Logarithm",LN(0.001+'Advanced Entry'!J18),IF('Advanced Entry'!J$5="Exponential",EXP('Advanced Entry'!J18),'Advanced Entry'!J18)))-'Advanced Entry'!J$6)/('Advanced Entry'!J$7-'Advanced Entry'!J$6),10*((IF('Advanced Entry'!J$5="Logarithm",LN(0.001+'Advanced Entry'!J18),IF('Advanced Entry'!J$5="Exponential",EXP('Advanced Entry'!J18),'Advanced Entry'!J18)))-'Advanced Entry'!J$6)/('Advanced Entry'!J$7-'Advanced Entry'!J$6)),1))),"No data"))</f>
        <v/>
      </c>
      <c r="K18" s="17">
        <f>IF('Advanced Entry'!K18="","",IFERROR(MAX(0,MIN(10,ROUND(IF('Advanced Entry'!K$8="Decrease Risk",10-10*((IF('Advanced Entry'!K$5="Logarithm",LN(0.001+'Advanced Entry'!K18),IF('Advanced Entry'!K$5="Exponential",EXP('Advanced Entry'!K18),'Advanced Entry'!K18)))-'Advanced Entry'!K$6)/('Advanced Entry'!K$7-'Advanced Entry'!K$6),10*((IF('Advanced Entry'!K$5="Logarithm",LN(0.001+'Advanced Entry'!K18),IF('Advanced Entry'!K$5="Exponential",EXP('Advanced Entry'!K18),'Advanced Entry'!K18)))-'Advanced Entry'!K$6)/('Advanced Entry'!K$7-'Advanced Entry'!K$6)),1))),"No data"))</f>
        <v/>
      </c>
      <c r="L18" s="17">
        <f>IF('Advanced Entry'!L18="","",IFERROR(MAX(0,MIN(10,ROUND(IF('Advanced Entry'!L$8="Decrease Risk",10-10*((IF('Advanced Entry'!L$5="Logarithm",LN(0.001+'Advanced Entry'!L18),IF('Advanced Entry'!L$5="Exponential",EXP('Advanced Entry'!L18),'Advanced Entry'!L18)))-'Advanced Entry'!L$6)/('Advanced Entry'!L$7-'Advanced Entry'!L$6),10*((IF('Advanced Entry'!L$5="Logarithm",LN(0.001+'Advanced Entry'!L18),IF('Advanced Entry'!L$5="Exponential",EXP('Advanced Entry'!L18),'Advanced Entry'!L18)))-'Advanced Entry'!L$6)/('Advanced Entry'!L$7-'Advanced Entry'!L$6)),1))),"No data"))</f>
        <v/>
      </c>
      <c r="M18" s="17">
        <f>IF('Advanced Entry'!M18="","",IFERROR(MAX(0,MIN(10,ROUND(IF('Advanced Entry'!M$8="Decrease Risk",10-10*((IF('Advanced Entry'!M$5="Logarithm",LN(0.001+'Advanced Entry'!M18),IF('Advanced Entry'!M$5="Exponential",EXP('Advanced Entry'!M18),'Advanced Entry'!M18)))-'Advanced Entry'!M$6)/('Advanced Entry'!M$7-'Advanced Entry'!M$6),10*((IF('Advanced Entry'!M$5="Logarithm",LN(0.001+'Advanced Entry'!M18),IF('Advanced Entry'!M$5="Exponential",EXP('Advanced Entry'!M18),'Advanced Entry'!M18)))-'Advanced Entry'!M$6)/('Advanced Entry'!M$7-'Advanced Entry'!M$6)),1))),"No data"))</f>
        <v/>
      </c>
      <c r="N18" s="17">
        <f>IF('Advanced Entry'!N18="","",IFERROR(MAX(0,MIN(10,ROUND(IF('Advanced Entry'!N$8="Decrease Risk",10-10*((IF('Advanced Entry'!N$5="Logarithm",LN(0.001+'Advanced Entry'!N18),IF('Advanced Entry'!N$5="Exponential",EXP('Advanced Entry'!N18),'Advanced Entry'!N18)))-'Advanced Entry'!N$6)/('Advanced Entry'!N$7-'Advanced Entry'!N$6),10*((IF('Advanced Entry'!N$5="Logarithm",LN(0.001+'Advanced Entry'!N18),IF('Advanced Entry'!N$5="Exponential",EXP('Advanced Entry'!N18),'Advanced Entry'!N18)))-'Advanced Entry'!N$6)/('Advanced Entry'!N$7-'Advanced Entry'!N$6)),1))),"No data"))</f>
        <v/>
      </c>
      <c r="O18" s="17">
        <f>IF('Advanced Entry'!O18="","",IFERROR(MAX(0,MIN(10,ROUND(IF('Advanced Entry'!O$8="Decrease Risk",10-10*((IF('Advanced Entry'!O$5="Logarithm",LN(0.001+'Advanced Entry'!O18),IF('Advanced Entry'!O$5="Exponential",EXP('Advanced Entry'!O18),'Advanced Entry'!O18)))-'Advanced Entry'!O$6)/('Advanced Entry'!O$7-'Advanced Entry'!O$6),10*((IF('Advanced Entry'!O$5="Logarithm",LN(0.001+'Advanced Entry'!O18),IF('Advanced Entry'!O$5="Exponential",EXP('Advanced Entry'!O18),'Advanced Entry'!O18)))-'Advanced Entry'!O$6)/('Advanced Entry'!O$7-'Advanced Entry'!O$6)),1))),"No data"))</f>
        <v/>
      </c>
      <c r="P18" s="17">
        <f>IF('Advanced Entry'!P18="","",IFERROR(MAX(0,MIN(10,ROUND(IF('Advanced Entry'!P$8="Decrease Risk",10-10*((IF('Advanced Entry'!P$5="Logarithm",LN(0.001+'Advanced Entry'!P18),IF('Advanced Entry'!P$5="Exponential",EXP('Advanced Entry'!P18),'Advanced Entry'!P18)))-'Advanced Entry'!P$6)/('Advanced Entry'!P$7-'Advanced Entry'!P$6),10*((IF('Advanced Entry'!P$5="Logarithm",LN(0.001+'Advanced Entry'!P18),IF('Advanced Entry'!P$5="Exponential",EXP('Advanced Entry'!P18),'Advanced Entry'!P18)))-'Advanced Entry'!P$6)/('Advanced Entry'!P$7-'Advanced Entry'!P$6)),1))),"No data"))</f>
        <v/>
      </c>
      <c r="Q18" s="17">
        <f>IF('Advanced Entry'!Q18="","",IFERROR(MAX(0,MIN(10,ROUND(IF('Advanced Entry'!Q$8="Decrease Risk",10-10*((IF('Advanced Entry'!Q$5="Logarithm",LN(0.001+'Advanced Entry'!Q18),IF('Advanced Entry'!Q$5="Exponential",EXP('Advanced Entry'!Q18),'Advanced Entry'!Q18)))-'Advanced Entry'!Q$6)/('Advanced Entry'!Q$7-'Advanced Entry'!Q$6),10*((IF('Advanced Entry'!Q$5="Logarithm",LN(0.001+'Advanced Entry'!Q18),IF('Advanced Entry'!Q$5="Exponential",EXP('Advanced Entry'!Q18),'Advanced Entry'!Q18)))-'Advanced Entry'!Q$6)/('Advanced Entry'!Q$7-'Advanced Entry'!Q$6)),1))),"No data"))</f>
        <v/>
      </c>
      <c r="R18" s="17">
        <f>IF('Advanced Entry'!R18="","",IFERROR(MAX(0,MIN(10,ROUND(IF('Advanced Entry'!R$8="Decrease Risk",10-10*((IF('Advanced Entry'!R$5="Logarithm",LN(0.001+'Advanced Entry'!R18),IF('Advanced Entry'!R$5="Exponential",EXP('Advanced Entry'!R18),'Advanced Entry'!R18)))-'Advanced Entry'!R$6)/('Advanced Entry'!R$7-'Advanced Entry'!R$6),10*((IF('Advanced Entry'!R$5="Logarithm",LN(0.001+'Advanced Entry'!R18),IF('Advanced Entry'!R$5="Exponential",EXP('Advanced Entry'!R18),'Advanced Entry'!R18)))-'Advanced Entry'!R$6)/('Advanced Entry'!R$7-'Advanced Entry'!R$6)),1))),"No data"))</f>
        <v/>
      </c>
      <c r="S18" s="17">
        <f>IF('Advanced Entry'!S18="","",IFERROR(MAX(0,MIN(10,ROUND(IF('Advanced Entry'!S$8="Decrease Risk",10-10*((IF('Advanced Entry'!S$5="Logarithm",LN(0.001+'Advanced Entry'!S18),IF('Advanced Entry'!S$5="Exponential",EXP('Advanced Entry'!S18),'Advanced Entry'!S18)))-'Advanced Entry'!S$6)/('Advanced Entry'!S$7-'Advanced Entry'!S$6),10*((IF('Advanced Entry'!S$5="Logarithm",LN(0.001+'Advanced Entry'!S18),IF('Advanced Entry'!S$5="Exponential",EXP('Advanced Entry'!S18),'Advanced Entry'!S18)))-'Advanced Entry'!S$6)/('Advanced Entry'!S$7-'Advanced Entry'!S$6)),1))),"No data"))</f>
        <v/>
      </c>
      <c r="T18" s="17">
        <f>IF('Advanced Entry'!T18="","",IFERROR(MAX(0,MIN(10,ROUND(IF('Advanced Entry'!T$8="Decrease Risk",10-10*((IF('Advanced Entry'!T$5="Logarithm",LN(0.001+'Advanced Entry'!T18),IF('Advanced Entry'!T$5="Exponential",EXP('Advanced Entry'!T18),'Advanced Entry'!T18)))-'Advanced Entry'!T$6)/('Advanced Entry'!T$7-'Advanced Entry'!T$6),10*((IF('Advanced Entry'!T$5="Logarithm",LN(0.001+'Advanced Entry'!T18),IF('Advanced Entry'!T$5="Exponential",EXP('Advanced Entry'!T18),'Advanced Entry'!T18)))-'Advanced Entry'!T$6)/('Advanced Entry'!T$7-'Advanced Entry'!T$6)),1))),"No data"))</f>
        <v/>
      </c>
      <c r="U18" s="17">
        <f>IF('Advanced Entry'!U18="","",IFERROR(MAX(0,MIN(10,ROUND(IF('Advanced Entry'!U$8="Decrease Risk",10-10*((IF('Advanced Entry'!U$5="Logarithm",LN(0.001+'Advanced Entry'!U18),IF('Advanced Entry'!U$5="Exponential",EXP('Advanced Entry'!U18),'Advanced Entry'!U18)))-'Advanced Entry'!U$6)/('Advanced Entry'!U$7-'Advanced Entry'!U$6),10*((IF('Advanced Entry'!U$5="Logarithm",LN(0.001+'Advanced Entry'!U18),IF('Advanced Entry'!U$5="Exponential",EXP('Advanced Entry'!U18),'Advanced Entry'!U18)))-'Advanced Entry'!U$6)/('Advanced Entry'!U$7-'Advanced Entry'!U$6)),1))),"No data"))</f>
        <v/>
      </c>
      <c r="V18" s="17">
        <f>IF('Advanced Entry'!V18="","",IFERROR(MAX(0,MIN(10,ROUND(IF('Advanced Entry'!V$8="Decrease Risk",10-10*((IF('Advanced Entry'!V$5="Logarithm",LN(0.001+'Advanced Entry'!V18),IF('Advanced Entry'!V$5="Exponential",EXP('Advanced Entry'!V18),'Advanced Entry'!V18)))-'Advanced Entry'!V$6)/('Advanced Entry'!V$7-'Advanced Entry'!V$6),10*((IF('Advanced Entry'!V$5="Logarithm",LN(0.001+'Advanced Entry'!V18),IF('Advanced Entry'!V$5="Exponential",EXP('Advanced Entry'!V18),'Advanced Entry'!V18)))-'Advanced Entry'!V$6)/('Advanced Entry'!V$7-'Advanced Entry'!V$6)),1))),"No data"))</f>
        <v/>
      </c>
      <c r="W18" s="17">
        <f>IF('Advanced Entry'!W18="","",IFERROR(MAX(0,MIN(10,ROUND(IF('Advanced Entry'!W$8="Decrease Risk",10-10*((IF('Advanced Entry'!W$5="Logarithm",LN(0.001+'Advanced Entry'!W18),IF('Advanced Entry'!W$5="Exponential",EXP('Advanced Entry'!W18),'Advanced Entry'!W18)))-'Advanced Entry'!W$6)/('Advanced Entry'!W$7-'Advanced Entry'!W$6),10*((IF('Advanced Entry'!W$5="Logarithm",LN(0.001+'Advanced Entry'!W18),IF('Advanced Entry'!W$5="Exponential",EXP('Advanced Entry'!W18),'Advanced Entry'!W18)))-'Advanced Entry'!W$6)/('Advanced Entry'!W$7-'Advanced Entry'!W$6)),1))),"No data"))</f>
        <v/>
      </c>
      <c r="X18" s="17">
        <f>IF('Advanced Entry'!X18="","",IFERROR(MAX(0,MIN(10,ROUND(IF('Advanced Entry'!X$8="Decrease Risk",10-10*((IF('Advanced Entry'!X$5="Logarithm",LN(0.001+'Advanced Entry'!X18),IF('Advanced Entry'!X$5="Exponential",EXP('Advanced Entry'!X18),'Advanced Entry'!X18)))-'Advanced Entry'!X$6)/('Advanced Entry'!X$7-'Advanced Entry'!X$6),10*((IF('Advanced Entry'!X$5="Logarithm",LN(0.001+'Advanced Entry'!X18),IF('Advanced Entry'!X$5="Exponential",EXP('Advanced Entry'!X18),'Advanced Entry'!X18)))-'Advanced Entry'!X$6)/('Advanced Entry'!X$7-'Advanced Entry'!X$6)),1))),"No data"))</f>
        <v/>
      </c>
      <c r="Y18" s="17">
        <f>IF('Advanced Entry'!Y18="","",IFERROR(MAX(0,MIN(10,ROUND(IF('Advanced Entry'!Y$8="Decrease Risk",10-10*((IF('Advanced Entry'!Y$5="Logarithm",LN(0.001+'Advanced Entry'!Y18),IF('Advanced Entry'!Y$5="Exponential",EXP('Advanced Entry'!Y18),'Advanced Entry'!Y18)))-'Advanced Entry'!Y$6)/('Advanced Entry'!Y$7-'Advanced Entry'!Y$6),10*((IF('Advanced Entry'!Y$5="Logarithm",LN(0.001+'Advanced Entry'!Y18),IF('Advanced Entry'!Y$5="Exponential",EXP('Advanced Entry'!Y18),'Advanced Entry'!Y18)))-'Advanced Entry'!Y$6)/('Advanced Entry'!Y$7-'Advanced Entry'!Y$6)),1))),"No data"))</f>
        <v/>
      </c>
      <c r="Z18" s="17">
        <f>IF('Advanced Entry'!Z18="","",IFERROR(MAX(0,MIN(10,ROUND(IF('Advanced Entry'!Z$8="Decrease Risk",10-10*((IF('Advanced Entry'!Z$5="Logarithm",LN(0.001+'Advanced Entry'!Z18),IF('Advanced Entry'!Z$5="Exponential",EXP('Advanced Entry'!Z18),'Advanced Entry'!Z18)))-'Advanced Entry'!Z$6)/('Advanced Entry'!Z$7-'Advanced Entry'!Z$6),10*((IF('Advanced Entry'!Z$5="Logarithm",LN(0.001+'Advanced Entry'!Z18),IF('Advanced Entry'!Z$5="Exponential",EXP('Advanced Entry'!Z18),'Advanced Entry'!Z18)))-'Advanced Entry'!Z$6)/('Advanced Entry'!Z$7-'Advanced Entry'!Z$6)),1))),"No data"))</f>
        <v/>
      </c>
      <c r="AA18" s="17">
        <f>IF('Advanced Entry'!AA18="","",IFERROR(MAX(0,MIN(10,ROUND(IF('Advanced Entry'!AA$8="Decrease Risk",10-10*((IF('Advanced Entry'!AA$5="Logarithm",LN(0.001+'Advanced Entry'!AA18),IF('Advanced Entry'!AA$5="Exponential",EXP('Advanced Entry'!AA18),'Advanced Entry'!AA18)))-'Advanced Entry'!AA$6)/('Advanced Entry'!AA$7-'Advanced Entry'!AA$6),10*((IF('Advanced Entry'!AA$5="Logarithm",LN(0.001+'Advanced Entry'!AA18),IF('Advanced Entry'!AA$5="Exponential",EXP('Advanced Entry'!AA18),'Advanced Entry'!AA18)))-'Advanced Entry'!AA$6)/('Advanced Entry'!AA$7-'Advanced Entry'!AA$6)),1))),"No data"))</f>
        <v/>
      </c>
      <c r="AB18" s="17">
        <f>IF('Advanced Entry'!AB18="","",IFERROR(MAX(0,MIN(10,ROUND(IF('Advanced Entry'!AB$8="Decrease Risk",10-10*((IF('Advanced Entry'!AB$5="Logarithm",LN(0.001+'Advanced Entry'!AB18),IF('Advanced Entry'!AB$5="Exponential",EXP('Advanced Entry'!AB18),'Advanced Entry'!AB18)))-'Advanced Entry'!AB$6)/('Advanced Entry'!AB$7-'Advanced Entry'!AB$6),10*((IF('Advanced Entry'!AB$5="Logarithm",LN(0.001+'Advanced Entry'!AB18),IF('Advanced Entry'!AB$5="Exponential",EXP('Advanced Entry'!AB18),'Advanced Entry'!AB18)))-'Advanced Entry'!AB$6)/('Advanced Entry'!AB$7-'Advanced Entry'!AB$6)),1))),"No data"))</f>
        <v/>
      </c>
    </row>
    <row r="19">
      <c r="A19" t="inlineStr">
        <is>
          <t>Dar es Salaam</t>
        </is>
      </c>
      <c r="B19" t="inlineStr">
        <is>
          <t>Kigamboni Municipal</t>
        </is>
      </c>
      <c r="C19" t="inlineStr">
        <is>
          <t>C055</t>
        </is>
      </c>
      <c r="D19" s="17">
        <f>IF('Advanced Entry'!D19="","",IFERROR(MAX(0,MIN(10,ROUND(IF('Advanced Entry'!D$8="Decrease Risk",10-10*((IF('Advanced Entry'!D$5="Logarithm",LN(0.001+'Advanced Entry'!D19),IF('Advanced Entry'!D$5="Exponential",EXP('Advanced Entry'!D19),'Advanced Entry'!D19)))-'Advanced Entry'!D$6)/('Advanced Entry'!D$7-'Advanced Entry'!D$6),10*((IF('Advanced Entry'!D$5="Logarithm",LN(0.001+'Advanced Entry'!D19),IF('Advanced Entry'!D$5="Exponential",EXP('Advanced Entry'!D19),'Advanced Entry'!D19)))-'Advanced Entry'!D$6)/('Advanced Entry'!D$7-'Advanced Entry'!D$6)),1))),"No data"))</f>
        <v/>
      </c>
      <c r="E19" s="17">
        <f>IF('Advanced Entry'!E19="","",IFERROR(MAX(0,MIN(10,ROUND(IF('Advanced Entry'!E$8="Decrease Risk",10-10*((IF('Advanced Entry'!E$5="Logarithm",LN(0.001+'Advanced Entry'!E19),IF('Advanced Entry'!E$5="Exponential",EXP('Advanced Entry'!E19),'Advanced Entry'!E19)))-'Advanced Entry'!E$6)/('Advanced Entry'!E$7-'Advanced Entry'!E$6),10*((IF('Advanced Entry'!E$5="Logarithm",LN(0.001+'Advanced Entry'!E19),IF('Advanced Entry'!E$5="Exponential",EXP('Advanced Entry'!E19),'Advanced Entry'!E19)))-'Advanced Entry'!E$6)/('Advanced Entry'!E$7-'Advanced Entry'!E$6)),1))),"No data"))</f>
        <v/>
      </c>
      <c r="F19" s="17">
        <f>IF('Advanced Entry'!F19="","",IFERROR(MAX(0,MIN(10,ROUND(IF('Advanced Entry'!F$8="Decrease Risk",10-10*((IF('Advanced Entry'!F$5="Logarithm",LN(0.001+'Advanced Entry'!F19),IF('Advanced Entry'!F$5="Exponential",EXP('Advanced Entry'!F19),'Advanced Entry'!F19)))-'Advanced Entry'!F$6)/('Advanced Entry'!F$7-'Advanced Entry'!F$6),10*((IF('Advanced Entry'!F$5="Logarithm",LN(0.001+'Advanced Entry'!F19),IF('Advanced Entry'!F$5="Exponential",EXP('Advanced Entry'!F19),'Advanced Entry'!F19)))-'Advanced Entry'!F$6)/('Advanced Entry'!F$7-'Advanced Entry'!F$6)),1))),"No data"))</f>
        <v/>
      </c>
      <c r="G19" s="17">
        <f>IF('Advanced Entry'!G19="","",IFERROR(MAX(0,MIN(10,ROUND(IF('Advanced Entry'!G$8="Decrease Risk",10-10*((IF('Advanced Entry'!G$5="Logarithm",LN(0.001+'Advanced Entry'!G19),IF('Advanced Entry'!G$5="Exponential",EXP('Advanced Entry'!G19),'Advanced Entry'!G19)))-'Advanced Entry'!G$6)/('Advanced Entry'!G$7-'Advanced Entry'!G$6),10*((IF('Advanced Entry'!G$5="Logarithm",LN(0.001+'Advanced Entry'!G19),IF('Advanced Entry'!G$5="Exponential",EXP('Advanced Entry'!G19),'Advanced Entry'!G19)))-'Advanced Entry'!G$6)/('Advanced Entry'!G$7-'Advanced Entry'!G$6)),1))),"No data"))</f>
        <v/>
      </c>
      <c r="H19" s="17">
        <f>IF('Advanced Entry'!H19="","",IFERROR(MAX(0,MIN(10,ROUND(IF('Advanced Entry'!H$8="Decrease Risk",10-10*((IF('Advanced Entry'!H$5="Logarithm",LN(0.001+'Advanced Entry'!H19),IF('Advanced Entry'!H$5="Exponential",EXP('Advanced Entry'!H19),'Advanced Entry'!H19)))-'Advanced Entry'!H$6)/('Advanced Entry'!H$7-'Advanced Entry'!H$6),10*((IF('Advanced Entry'!H$5="Logarithm",LN(0.001+'Advanced Entry'!H19),IF('Advanced Entry'!H$5="Exponential",EXP('Advanced Entry'!H19),'Advanced Entry'!H19)))-'Advanced Entry'!H$6)/('Advanced Entry'!H$7-'Advanced Entry'!H$6)),1))),"No data"))</f>
        <v/>
      </c>
      <c r="I19" s="17">
        <f>IF('Advanced Entry'!I19="","",IFERROR(MAX(0,MIN(10,ROUND(IF('Advanced Entry'!I$8="Decrease Risk",10-10*((IF('Advanced Entry'!I$5="Logarithm",LN(0.001+'Advanced Entry'!I19),IF('Advanced Entry'!I$5="Exponential",EXP('Advanced Entry'!I19),'Advanced Entry'!I19)))-'Advanced Entry'!I$6)/('Advanced Entry'!I$7-'Advanced Entry'!I$6),10*((IF('Advanced Entry'!I$5="Logarithm",LN(0.001+'Advanced Entry'!I19),IF('Advanced Entry'!I$5="Exponential",EXP('Advanced Entry'!I19),'Advanced Entry'!I19)))-'Advanced Entry'!I$6)/('Advanced Entry'!I$7-'Advanced Entry'!I$6)),1))),"No data"))</f>
        <v/>
      </c>
      <c r="J19" s="17">
        <f>IF('Advanced Entry'!J19="","",IFERROR(MAX(0,MIN(10,ROUND(IF('Advanced Entry'!J$8="Decrease Risk",10-10*((IF('Advanced Entry'!J$5="Logarithm",LN(0.001+'Advanced Entry'!J19),IF('Advanced Entry'!J$5="Exponential",EXP('Advanced Entry'!J19),'Advanced Entry'!J19)))-'Advanced Entry'!J$6)/('Advanced Entry'!J$7-'Advanced Entry'!J$6),10*((IF('Advanced Entry'!J$5="Logarithm",LN(0.001+'Advanced Entry'!J19),IF('Advanced Entry'!J$5="Exponential",EXP('Advanced Entry'!J19),'Advanced Entry'!J19)))-'Advanced Entry'!J$6)/('Advanced Entry'!J$7-'Advanced Entry'!J$6)),1))),"No data"))</f>
        <v/>
      </c>
      <c r="K19" s="17">
        <f>IF('Advanced Entry'!K19="","",IFERROR(MAX(0,MIN(10,ROUND(IF('Advanced Entry'!K$8="Decrease Risk",10-10*((IF('Advanced Entry'!K$5="Logarithm",LN(0.001+'Advanced Entry'!K19),IF('Advanced Entry'!K$5="Exponential",EXP('Advanced Entry'!K19),'Advanced Entry'!K19)))-'Advanced Entry'!K$6)/('Advanced Entry'!K$7-'Advanced Entry'!K$6),10*((IF('Advanced Entry'!K$5="Logarithm",LN(0.001+'Advanced Entry'!K19),IF('Advanced Entry'!K$5="Exponential",EXP('Advanced Entry'!K19),'Advanced Entry'!K19)))-'Advanced Entry'!K$6)/('Advanced Entry'!K$7-'Advanced Entry'!K$6)),1))),"No data"))</f>
        <v/>
      </c>
      <c r="L19" s="17">
        <f>IF('Advanced Entry'!L19="","",IFERROR(MAX(0,MIN(10,ROUND(IF('Advanced Entry'!L$8="Decrease Risk",10-10*((IF('Advanced Entry'!L$5="Logarithm",LN(0.001+'Advanced Entry'!L19),IF('Advanced Entry'!L$5="Exponential",EXP('Advanced Entry'!L19),'Advanced Entry'!L19)))-'Advanced Entry'!L$6)/('Advanced Entry'!L$7-'Advanced Entry'!L$6),10*((IF('Advanced Entry'!L$5="Logarithm",LN(0.001+'Advanced Entry'!L19),IF('Advanced Entry'!L$5="Exponential",EXP('Advanced Entry'!L19),'Advanced Entry'!L19)))-'Advanced Entry'!L$6)/('Advanced Entry'!L$7-'Advanced Entry'!L$6)),1))),"No data"))</f>
        <v/>
      </c>
      <c r="M19" s="17">
        <f>IF('Advanced Entry'!M19="","",IFERROR(MAX(0,MIN(10,ROUND(IF('Advanced Entry'!M$8="Decrease Risk",10-10*((IF('Advanced Entry'!M$5="Logarithm",LN(0.001+'Advanced Entry'!M19),IF('Advanced Entry'!M$5="Exponential",EXP('Advanced Entry'!M19),'Advanced Entry'!M19)))-'Advanced Entry'!M$6)/('Advanced Entry'!M$7-'Advanced Entry'!M$6),10*((IF('Advanced Entry'!M$5="Logarithm",LN(0.001+'Advanced Entry'!M19),IF('Advanced Entry'!M$5="Exponential",EXP('Advanced Entry'!M19),'Advanced Entry'!M19)))-'Advanced Entry'!M$6)/('Advanced Entry'!M$7-'Advanced Entry'!M$6)),1))),"No data"))</f>
        <v/>
      </c>
      <c r="N19" s="17">
        <f>IF('Advanced Entry'!N19="","",IFERROR(MAX(0,MIN(10,ROUND(IF('Advanced Entry'!N$8="Decrease Risk",10-10*((IF('Advanced Entry'!N$5="Logarithm",LN(0.001+'Advanced Entry'!N19),IF('Advanced Entry'!N$5="Exponential",EXP('Advanced Entry'!N19),'Advanced Entry'!N19)))-'Advanced Entry'!N$6)/('Advanced Entry'!N$7-'Advanced Entry'!N$6),10*((IF('Advanced Entry'!N$5="Logarithm",LN(0.001+'Advanced Entry'!N19),IF('Advanced Entry'!N$5="Exponential",EXP('Advanced Entry'!N19),'Advanced Entry'!N19)))-'Advanced Entry'!N$6)/('Advanced Entry'!N$7-'Advanced Entry'!N$6)),1))),"No data"))</f>
        <v/>
      </c>
      <c r="O19" s="17">
        <f>IF('Advanced Entry'!O19="","",IFERROR(MAX(0,MIN(10,ROUND(IF('Advanced Entry'!O$8="Decrease Risk",10-10*((IF('Advanced Entry'!O$5="Logarithm",LN(0.001+'Advanced Entry'!O19),IF('Advanced Entry'!O$5="Exponential",EXP('Advanced Entry'!O19),'Advanced Entry'!O19)))-'Advanced Entry'!O$6)/('Advanced Entry'!O$7-'Advanced Entry'!O$6),10*((IF('Advanced Entry'!O$5="Logarithm",LN(0.001+'Advanced Entry'!O19),IF('Advanced Entry'!O$5="Exponential",EXP('Advanced Entry'!O19),'Advanced Entry'!O19)))-'Advanced Entry'!O$6)/('Advanced Entry'!O$7-'Advanced Entry'!O$6)),1))),"No data"))</f>
        <v/>
      </c>
      <c r="P19" s="17">
        <f>IF('Advanced Entry'!P19="","",IFERROR(MAX(0,MIN(10,ROUND(IF('Advanced Entry'!P$8="Decrease Risk",10-10*((IF('Advanced Entry'!P$5="Logarithm",LN(0.001+'Advanced Entry'!P19),IF('Advanced Entry'!P$5="Exponential",EXP('Advanced Entry'!P19),'Advanced Entry'!P19)))-'Advanced Entry'!P$6)/('Advanced Entry'!P$7-'Advanced Entry'!P$6),10*((IF('Advanced Entry'!P$5="Logarithm",LN(0.001+'Advanced Entry'!P19),IF('Advanced Entry'!P$5="Exponential",EXP('Advanced Entry'!P19),'Advanced Entry'!P19)))-'Advanced Entry'!P$6)/('Advanced Entry'!P$7-'Advanced Entry'!P$6)),1))),"No data"))</f>
        <v/>
      </c>
      <c r="Q19" s="17">
        <f>IF('Advanced Entry'!Q19="","",IFERROR(MAX(0,MIN(10,ROUND(IF('Advanced Entry'!Q$8="Decrease Risk",10-10*((IF('Advanced Entry'!Q$5="Logarithm",LN(0.001+'Advanced Entry'!Q19),IF('Advanced Entry'!Q$5="Exponential",EXP('Advanced Entry'!Q19),'Advanced Entry'!Q19)))-'Advanced Entry'!Q$6)/('Advanced Entry'!Q$7-'Advanced Entry'!Q$6),10*((IF('Advanced Entry'!Q$5="Logarithm",LN(0.001+'Advanced Entry'!Q19),IF('Advanced Entry'!Q$5="Exponential",EXP('Advanced Entry'!Q19),'Advanced Entry'!Q19)))-'Advanced Entry'!Q$6)/('Advanced Entry'!Q$7-'Advanced Entry'!Q$6)),1))),"No data"))</f>
        <v/>
      </c>
      <c r="R19" s="17">
        <f>IF('Advanced Entry'!R19="","",IFERROR(MAX(0,MIN(10,ROUND(IF('Advanced Entry'!R$8="Decrease Risk",10-10*((IF('Advanced Entry'!R$5="Logarithm",LN(0.001+'Advanced Entry'!R19),IF('Advanced Entry'!R$5="Exponential",EXP('Advanced Entry'!R19),'Advanced Entry'!R19)))-'Advanced Entry'!R$6)/('Advanced Entry'!R$7-'Advanced Entry'!R$6),10*((IF('Advanced Entry'!R$5="Logarithm",LN(0.001+'Advanced Entry'!R19),IF('Advanced Entry'!R$5="Exponential",EXP('Advanced Entry'!R19),'Advanced Entry'!R19)))-'Advanced Entry'!R$6)/('Advanced Entry'!R$7-'Advanced Entry'!R$6)),1))),"No data"))</f>
        <v/>
      </c>
      <c r="S19" s="17">
        <f>IF('Advanced Entry'!S19="","",IFERROR(MAX(0,MIN(10,ROUND(IF('Advanced Entry'!S$8="Decrease Risk",10-10*((IF('Advanced Entry'!S$5="Logarithm",LN(0.001+'Advanced Entry'!S19),IF('Advanced Entry'!S$5="Exponential",EXP('Advanced Entry'!S19),'Advanced Entry'!S19)))-'Advanced Entry'!S$6)/('Advanced Entry'!S$7-'Advanced Entry'!S$6),10*((IF('Advanced Entry'!S$5="Logarithm",LN(0.001+'Advanced Entry'!S19),IF('Advanced Entry'!S$5="Exponential",EXP('Advanced Entry'!S19),'Advanced Entry'!S19)))-'Advanced Entry'!S$6)/('Advanced Entry'!S$7-'Advanced Entry'!S$6)),1))),"No data"))</f>
        <v/>
      </c>
      <c r="T19" s="17">
        <f>IF('Advanced Entry'!T19="","",IFERROR(MAX(0,MIN(10,ROUND(IF('Advanced Entry'!T$8="Decrease Risk",10-10*((IF('Advanced Entry'!T$5="Logarithm",LN(0.001+'Advanced Entry'!T19),IF('Advanced Entry'!T$5="Exponential",EXP('Advanced Entry'!T19),'Advanced Entry'!T19)))-'Advanced Entry'!T$6)/('Advanced Entry'!T$7-'Advanced Entry'!T$6),10*((IF('Advanced Entry'!T$5="Logarithm",LN(0.001+'Advanced Entry'!T19),IF('Advanced Entry'!T$5="Exponential",EXP('Advanced Entry'!T19),'Advanced Entry'!T19)))-'Advanced Entry'!T$6)/('Advanced Entry'!T$7-'Advanced Entry'!T$6)),1))),"No data"))</f>
        <v/>
      </c>
      <c r="U19" s="17">
        <f>IF('Advanced Entry'!U19="","",IFERROR(MAX(0,MIN(10,ROUND(IF('Advanced Entry'!U$8="Decrease Risk",10-10*((IF('Advanced Entry'!U$5="Logarithm",LN(0.001+'Advanced Entry'!U19),IF('Advanced Entry'!U$5="Exponential",EXP('Advanced Entry'!U19),'Advanced Entry'!U19)))-'Advanced Entry'!U$6)/('Advanced Entry'!U$7-'Advanced Entry'!U$6),10*((IF('Advanced Entry'!U$5="Logarithm",LN(0.001+'Advanced Entry'!U19),IF('Advanced Entry'!U$5="Exponential",EXP('Advanced Entry'!U19),'Advanced Entry'!U19)))-'Advanced Entry'!U$6)/('Advanced Entry'!U$7-'Advanced Entry'!U$6)),1))),"No data"))</f>
        <v/>
      </c>
      <c r="V19" s="17">
        <f>IF('Advanced Entry'!V19="","",IFERROR(MAX(0,MIN(10,ROUND(IF('Advanced Entry'!V$8="Decrease Risk",10-10*((IF('Advanced Entry'!V$5="Logarithm",LN(0.001+'Advanced Entry'!V19),IF('Advanced Entry'!V$5="Exponential",EXP('Advanced Entry'!V19),'Advanced Entry'!V19)))-'Advanced Entry'!V$6)/('Advanced Entry'!V$7-'Advanced Entry'!V$6),10*((IF('Advanced Entry'!V$5="Logarithm",LN(0.001+'Advanced Entry'!V19),IF('Advanced Entry'!V$5="Exponential",EXP('Advanced Entry'!V19),'Advanced Entry'!V19)))-'Advanced Entry'!V$6)/('Advanced Entry'!V$7-'Advanced Entry'!V$6)),1))),"No data"))</f>
        <v/>
      </c>
      <c r="W19" s="17">
        <f>IF('Advanced Entry'!W19="","",IFERROR(MAX(0,MIN(10,ROUND(IF('Advanced Entry'!W$8="Decrease Risk",10-10*((IF('Advanced Entry'!W$5="Logarithm",LN(0.001+'Advanced Entry'!W19),IF('Advanced Entry'!W$5="Exponential",EXP('Advanced Entry'!W19),'Advanced Entry'!W19)))-'Advanced Entry'!W$6)/('Advanced Entry'!W$7-'Advanced Entry'!W$6),10*((IF('Advanced Entry'!W$5="Logarithm",LN(0.001+'Advanced Entry'!W19),IF('Advanced Entry'!W$5="Exponential",EXP('Advanced Entry'!W19),'Advanced Entry'!W19)))-'Advanced Entry'!W$6)/('Advanced Entry'!W$7-'Advanced Entry'!W$6)),1))),"No data"))</f>
        <v/>
      </c>
      <c r="X19" s="17">
        <f>IF('Advanced Entry'!X19="","",IFERROR(MAX(0,MIN(10,ROUND(IF('Advanced Entry'!X$8="Decrease Risk",10-10*((IF('Advanced Entry'!X$5="Logarithm",LN(0.001+'Advanced Entry'!X19),IF('Advanced Entry'!X$5="Exponential",EXP('Advanced Entry'!X19),'Advanced Entry'!X19)))-'Advanced Entry'!X$6)/('Advanced Entry'!X$7-'Advanced Entry'!X$6),10*((IF('Advanced Entry'!X$5="Logarithm",LN(0.001+'Advanced Entry'!X19),IF('Advanced Entry'!X$5="Exponential",EXP('Advanced Entry'!X19),'Advanced Entry'!X19)))-'Advanced Entry'!X$6)/('Advanced Entry'!X$7-'Advanced Entry'!X$6)),1))),"No data"))</f>
        <v/>
      </c>
      <c r="Y19" s="17">
        <f>IF('Advanced Entry'!Y19="","",IFERROR(MAX(0,MIN(10,ROUND(IF('Advanced Entry'!Y$8="Decrease Risk",10-10*((IF('Advanced Entry'!Y$5="Logarithm",LN(0.001+'Advanced Entry'!Y19),IF('Advanced Entry'!Y$5="Exponential",EXP('Advanced Entry'!Y19),'Advanced Entry'!Y19)))-'Advanced Entry'!Y$6)/('Advanced Entry'!Y$7-'Advanced Entry'!Y$6),10*((IF('Advanced Entry'!Y$5="Logarithm",LN(0.001+'Advanced Entry'!Y19),IF('Advanced Entry'!Y$5="Exponential",EXP('Advanced Entry'!Y19),'Advanced Entry'!Y19)))-'Advanced Entry'!Y$6)/('Advanced Entry'!Y$7-'Advanced Entry'!Y$6)),1))),"No data"))</f>
        <v/>
      </c>
      <c r="Z19" s="17">
        <f>IF('Advanced Entry'!Z19="","",IFERROR(MAX(0,MIN(10,ROUND(IF('Advanced Entry'!Z$8="Decrease Risk",10-10*((IF('Advanced Entry'!Z$5="Logarithm",LN(0.001+'Advanced Entry'!Z19),IF('Advanced Entry'!Z$5="Exponential",EXP('Advanced Entry'!Z19),'Advanced Entry'!Z19)))-'Advanced Entry'!Z$6)/('Advanced Entry'!Z$7-'Advanced Entry'!Z$6),10*((IF('Advanced Entry'!Z$5="Logarithm",LN(0.001+'Advanced Entry'!Z19),IF('Advanced Entry'!Z$5="Exponential",EXP('Advanced Entry'!Z19),'Advanced Entry'!Z19)))-'Advanced Entry'!Z$6)/('Advanced Entry'!Z$7-'Advanced Entry'!Z$6)),1))),"No data"))</f>
        <v/>
      </c>
      <c r="AA19" s="17">
        <f>IF('Advanced Entry'!AA19="","",IFERROR(MAX(0,MIN(10,ROUND(IF('Advanced Entry'!AA$8="Decrease Risk",10-10*((IF('Advanced Entry'!AA$5="Logarithm",LN(0.001+'Advanced Entry'!AA19),IF('Advanced Entry'!AA$5="Exponential",EXP('Advanced Entry'!AA19),'Advanced Entry'!AA19)))-'Advanced Entry'!AA$6)/('Advanced Entry'!AA$7-'Advanced Entry'!AA$6),10*((IF('Advanced Entry'!AA$5="Logarithm",LN(0.001+'Advanced Entry'!AA19),IF('Advanced Entry'!AA$5="Exponential",EXP('Advanced Entry'!AA19),'Advanced Entry'!AA19)))-'Advanced Entry'!AA$6)/('Advanced Entry'!AA$7-'Advanced Entry'!AA$6)),1))),"No data"))</f>
        <v/>
      </c>
      <c r="AB19" s="17">
        <f>IF('Advanced Entry'!AB19="","",IFERROR(MAX(0,MIN(10,ROUND(IF('Advanced Entry'!AB$8="Decrease Risk",10-10*((IF('Advanced Entry'!AB$5="Logarithm",LN(0.001+'Advanced Entry'!AB19),IF('Advanced Entry'!AB$5="Exponential",EXP('Advanced Entry'!AB19),'Advanced Entry'!AB19)))-'Advanced Entry'!AB$6)/('Advanced Entry'!AB$7-'Advanced Entry'!AB$6),10*((IF('Advanced Entry'!AB$5="Logarithm",LN(0.001+'Advanced Entry'!AB19),IF('Advanced Entry'!AB$5="Exponential",EXP('Advanced Entry'!AB19),'Advanced Entry'!AB19)))-'Advanced Entry'!AB$6)/('Advanced Entry'!AB$7-'Advanced Entry'!AB$6)),1))),"No data"))</f>
        <v/>
      </c>
    </row>
    <row r="20">
      <c r="A20" t="inlineStr">
        <is>
          <t>Dar es Salaam</t>
        </is>
      </c>
      <c r="B20" t="inlineStr">
        <is>
          <t>Kinondoni Municipal</t>
        </is>
      </c>
      <c r="C20" t="inlineStr">
        <is>
          <t>C052</t>
        </is>
      </c>
      <c r="D20" s="17">
        <f>IF('Advanced Entry'!D20="","",IFERROR(MAX(0,MIN(10,ROUND(IF('Advanced Entry'!D$8="Decrease Risk",10-10*((IF('Advanced Entry'!D$5="Logarithm",LN(0.001+'Advanced Entry'!D20),IF('Advanced Entry'!D$5="Exponential",EXP('Advanced Entry'!D20),'Advanced Entry'!D20)))-'Advanced Entry'!D$6)/('Advanced Entry'!D$7-'Advanced Entry'!D$6),10*((IF('Advanced Entry'!D$5="Logarithm",LN(0.001+'Advanced Entry'!D20),IF('Advanced Entry'!D$5="Exponential",EXP('Advanced Entry'!D20),'Advanced Entry'!D20)))-'Advanced Entry'!D$6)/('Advanced Entry'!D$7-'Advanced Entry'!D$6)),1))),"No data"))</f>
        <v/>
      </c>
      <c r="E20" s="17">
        <f>IF('Advanced Entry'!E20="","",IFERROR(MAX(0,MIN(10,ROUND(IF('Advanced Entry'!E$8="Decrease Risk",10-10*((IF('Advanced Entry'!E$5="Logarithm",LN(0.001+'Advanced Entry'!E20),IF('Advanced Entry'!E$5="Exponential",EXP('Advanced Entry'!E20),'Advanced Entry'!E20)))-'Advanced Entry'!E$6)/('Advanced Entry'!E$7-'Advanced Entry'!E$6),10*((IF('Advanced Entry'!E$5="Logarithm",LN(0.001+'Advanced Entry'!E20),IF('Advanced Entry'!E$5="Exponential",EXP('Advanced Entry'!E20),'Advanced Entry'!E20)))-'Advanced Entry'!E$6)/('Advanced Entry'!E$7-'Advanced Entry'!E$6)),1))),"No data"))</f>
        <v/>
      </c>
      <c r="F20" s="17">
        <f>IF('Advanced Entry'!F20="","",IFERROR(MAX(0,MIN(10,ROUND(IF('Advanced Entry'!F$8="Decrease Risk",10-10*((IF('Advanced Entry'!F$5="Logarithm",LN(0.001+'Advanced Entry'!F20),IF('Advanced Entry'!F$5="Exponential",EXP('Advanced Entry'!F20),'Advanced Entry'!F20)))-'Advanced Entry'!F$6)/('Advanced Entry'!F$7-'Advanced Entry'!F$6),10*((IF('Advanced Entry'!F$5="Logarithm",LN(0.001+'Advanced Entry'!F20),IF('Advanced Entry'!F$5="Exponential",EXP('Advanced Entry'!F20),'Advanced Entry'!F20)))-'Advanced Entry'!F$6)/('Advanced Entry'!F$7-'Advanced Entry'!F$6)),1))),"No data"))</f>
        <v/>
      </c>
      <c r="G20" s="17">
        <f>IF('Advanced Entry'!G20="","",IFERROR(MAX(0,MIN(10,ROUND(IF('Advanced Entry'!G$8="Decrease Risk",10-10*((IF('Advanced Entry'!G$5="Logarithm",LN(0.001+'Advanced Entry'!G20),IF('Advanced Entry'!G$5="Exponential",EXP('Advanced Entry'!G20),'Advanced Entry'!G20)))-'Advanced Entry'!G$6)/('Advanced Entry'!G$7-'Advanced Entry'!G$6),10*((IF('Advanced Entry'!G$5="Logarithm",LN(0.001+'Advanced Entry'!G20),IF('Advanced Entry'!G$5="Exponential",EXP('Advanced Entry'!G20),'Advanced Entry'!G20)))-'Advanced Entry'!G$6)/('Advanced Entry'!G$7-'Advanced Entry'!G$6)),1))),"No data"))</f>
        <v/>
      </c>
      <c r="H20" s="17">
        <f>IF('Advanced Entry'!H20="","",IFERROR(MAX(0,MIN(10,ROUND(IF('Advanced Entry'!H$8="Decrease Risk",10-10*((IF('Advanced Entry'!H$5="Logarithm",LN(0.001+'Advanced Entry'!H20),IF('Advanced Entry'!H$5="Exponential",EXP('Advanced Entry'!H20),'Advanced Entry'!H20)))-'Advanced Entry'!H$6)/('Advanced Entry'!H$7-'Advanced Entry'!H$6),10*((IF('Advanced Entry'!H$5="Logarithm",LN(0.001+'Advanced Entry'!H20),IF('Advanced Entry'!H$5="Exponential",EXP('Advanced Entry'!H20),'Advanced Entry'!H20)))-'Advanced Entry'!H$6)/('Advanced Entry'!H$7-'Advanced Entry'!H$6)),1))),"No data"))</f>
        <v/>
      </c>
      <c r="I20" s="17">
        <f>IF('Advanced Entry'!I20="","",IFERROR(MAX(0,MIN(10,ROUND(IF('Advanced Entry'!I$8="Decrease Risk",10-10*((IF('Advanced Entry'!I$5="Logarithm",LN(0.001+'Advanced Entry'!I20),IF('Advanced Entry'!I$5="Exponential",EXP('Advanced Entry'!I20),'Advanced Entry'!I20)))-'Advanced Entry'!I$6)/('Advanced Entry'!I$7-'Advanced Entry'!I$6),10*((IF('Advanced Entry'!I$5="Logarithm",LN(0.001+'Advanced Entry'!I20),IF('Advanced Entry'!I$5="Exponential",EXP('Advanced Entry'!I20),'Advanced Entry'!I20)))-'Advanced Entry'!I$6)/('Advanced Entry'!I$7-'Advanced Entry'!I$6)),1))),"No data"))</f>
        <v/>
      </c>
      <c r="J20" s="17">
        <f>IF('Advanced Entry'!J20="","",IFERROR(MAX(0,MIN(10,ROUND(IF('Advanced Entry'!J$8="Decrease Risk",10-10*((IF('Advanced Entry'!J$5="Logarithm",LN(0.001+'Advanced Entry'!J20),IF('Advanced Entry'!J$5="Exponential",EXP('Advanced Entry'!J20),'Advanced Entry'!J20)))-'Advanced Entry'!J$6)/('Advanced Entry'!J$7-'Advanced Entry'!J$6),10*((IF('Advanced Entry'!J$5="Logarithm",LN(0.001+'Advanced Entry'!J20),IF('Advanced Entry'!J$5="Exponential",EXP('Advanced Entry'!J20),'Advanced Entry'!J20)))-'Advanced Entry'!J$6)/('Advanced Entry'!J$7-'Advanced Entry'!J$6)),1))),"No data"))</f>
        <v/>
      </c>
      <c r="K20" s="17">
        <f>IF('Advanced Entry'!K20="","",IFERROR(MAX(0,MIN(10,ROUND(IF('Advanced Entry'!K$8="Decrease Risk",10-10*((IF('Advanced Entry'!K$5="Logarithm",LN(0.001+'Advanced Entry'!K20),IF('Advanced Entry'!K$5="Exponential",EXP('Advanced Entry'!K20),'Advanced Entry'!K20)))-'Advanced Entry'!K$6)/('Advanced Entry'!K$7-'Advanced Entry'!K$6),10*((IF('Advanced Entry'!K$5="Logarithm",LN(0.001+'Advanced Entry'!K20),IF('Advanced Entry'!K$5="Exponential",EXP('Advanced Entry'!K20),'Advanced Entry'!K20)))-'Advanced Entry'!K$6)/('Advanced Entry'!K$7-'Advanced Entry'!K$6)),1))),"No data"))</f>
        <v/>
      </c>
      <c r="L20" s="17">
        <f>IF('Advanced Entry'!L20="","",IFERROR(MAX(0,MIN(10,ROUND(IF('Advanced Entry'!L$8="Decrease Risk",10-10*((IF('Advanced Entry'!L$5="Logarithm",LN(0.001+'Advanced Entry'!L20),IF('Advanced Entry'!L$5="Exponential",EXP('Advanced Entry'!L20),'Advanced Entry'!L20)))-'Advanced Entry'!L$6)/('Advanced Entry'!L$7-'Advanced Entry'!L$6),10*((IF('Advanced Entry'!L$5="Logarithm",LN(0.001+'Advanced Entry'!L20),IF('Advanced Entry'!L$5="Exponential",EXP('Advanced Entry'!L20),'Advanced Entry'!L20)))-'Advanced Entry'!L$6)/('Advanced Entry'!L$7-'Advanced Entry'!L$6)),1))),"No data"))</f>
        <v/>
      </c>
      <c r="M20" s="17">
        <f>IF('Advanced Entry'!M20="","",IFERROR(MAX(0,MIN(10,ROUND(IF('Advanced Entry'!M$8="Decrease Risk",10-10*((IF('Advanced Entry'!M$5="Logarithm",LN(0.001+'Advanced Entry'!M20),IF('Advanced Entry'!M$5="Exponential",EXP('Advanced Entry'!M20),'Advanced Entry'!M20)))-'Advanced Entry'!M$6)/('Advanced Entry'!M$7-'Advanced Entry'!M$6),10*((IF('Advanced Entry'!M$5="Logarithm",LN(0.001+'Advanced Entry'!M20),IF('Advanced Entry'!M$5="Exponential",EXP('Advanced Entry'!M20),'Advanced Entry'!M20)))-'Advanced Entry'!M$6)/('Advanced Entry'!M$7-'Advanced Entry'!M$6)),1))),"No data"))</f>
        <v/>
      </c>
      <c r="N20" s="17">
        <f>IF('Advanced Entry'!N20="","",IFERROR(MAX(0,MIN(10,ROUND(IF('Advanced Entry'!N$8="Decrease Risk",10-10*((IF('Advanced Entry'!N$5="Logarithm",LN(0.001+'Advanced Entry'!N20),IF('Advanced Entry'!N$5="Exponential",EXP('Advanced Entry'!N20),'Advanced Entry'!N20)))-'Advanced Entry'!N$6)/('Advanced Entry'!N$7-'Advanced Entry'!N$6),10*((IF('Advanced Entry'!N$5="Logarithm",LN(0.001+'Advanced Entry'!N20),IF('Advanced Entry'!N$5="Exponential",EXP('Advanced Entry'!N20),'Advanced Entry'!N20)))-'Advanced Entry'!N$6)/('Advanced Entry'!N$7-'Advanced Entry'!N$6)),1))),"No data"))</f>
        <v/>
      </c>
      <c r="O20" s="17">
        <f>IF('Advanced Entry'!O20="","",IFERROR(MAX(0,MIN(10,ROUND(IF('Advanced Entry'!O$8="Decrease Risk",10-10*((IF('Advanced Entry'!O$5="Logarithm",LN(0.001+'Advanced Entry'!O20),IF('Advanced Entry'!O$5="Exponential",EXP('Advanced Entry'!O20),'Advanced Entry'!O20)))-'Advanced Entry'!O$6)/('Advanced Entry'!O$7-'Advanced Entry'!O$6),10*((IF('Advanced Entry'!O$5="Logarithm",LN(0.001+'Advanced Entry'!O20),IF('Advanced Entry'!O$5="Exponential",EXP('Advanced Entry'!O20),'Advanced Entry'!O20)))-'Advanced Entry'!O$6)/('Advanced Entry'!O$7-'Advanced Entry'!O$6)),1))),"No data"))</f>
        <v/>
      </c>
      <c r="P20" s="17">
        <f>IF('Advanced Entry'!P20="","",IFERROR(MAX(0,MIN(10,ROUND(IF('Advanced Entry'!P$8="Decrease Risk",10-10*((IF('Advanced Entry'!P$5="Logarithm",LN(0.001+'Advanced Entry'!P20),IF('Advanced Entry'!P$5="Exponential",EXP('Advanced Entry'!P20),'Advanced Entry'!P20)))-'Advanced Entry'!P$6)/('Advanced Entry'!P$7-'Advanced Entry'!P$6),10*((IF('Advanced Entry'!P$5="Logarithm",LN(0.001+'Advanced Entry'!P20),IF('Advanced Entry'!P$5="Exponential",EXP('Advanced Entry'!P20),'Advanced Entry'!P20)))-'Advanced Entry'!P$6)/('Advanced Entry'!P$7-'Advanced Entry'!P$6)),1))),"No data"))</f>
        <v/>
      </c>
      <c r="Q20" s="17">
        <f>IF('Advanced Entry'!Q20="","",IFERROR(MAX(0,MIN(10,ROUND(IF('Advanced Entry'!Q$8="Decrease Risk",10-10*((IF('Advanced Entry'!Q$5="Logarithm",LN(0.001+'Advanced Entry'!Q20),IF('Advanced Entry'!Q$5="Exponential",EXP('Advanced Entry'!Q20),'Advanced Entry'!Q20)))-'Advanced Entry'!Q$6)/('Advanced Entry'!Q$7-'Advanced Entry'!Q$6),10*((IF('Advanced Entry'!Q$5="Logarithm",LN(0.001+'Advanced Entry'!Q20),IF('Advanced Entry'!Q$5="Exponential",EXP('Advanced Entry'!Q20),'Advanced Entry'!Q20)))-'Advanced Entry'!Q$6)/('Advanced Entry'!Q$7-'Advanced Entry'!Q$6)),1))),"No data"))</f>
        <v/>
      </c>
      <c r="R20" s="17">
        <f>IF('Advanced Entry'!R20="","",IFERROR(MAX(0,MIN(10,ROUND(IF('Advanced Entry'!R$8="Decrease Risk",10-10*((IF('Advanced Entry'!R$5="Logarithm",LN(0.001+'Advanced Entry'!R20),IF('Advanced Entry'!R$5="Exponential",EXP('Advanced Entry'!R20),'Advanced Entry'!R20)))-'Advanced Entry'!R$6)/('Advanced Entry'!R$7-'Advanced Entry'!R$6),10*((IF('Advanced Entry'!R$5="Logarithm",LN(0.001+'Advanced Entry'!R20),IF('Advanced Entry'!R$5="Exponential",EXP('Advanced Entry'!R20),'Advanced Entry'!R20)))-'Advanced Entry'!R$6)/('Advanced Entry'!R$7-'Advanced Entry'!R$6)),1))),"No data"))</f>
        <v/>
      </c>
      <c r="S20" s="17">
        <f>IF('Advanced Entry'!S20="","",IFERROR(MAX(0,MIN(10,ROUND(IF('Advanced Entry'!S$8="Decrease Risk",10-10*((IF('Advanced Entry'!S$5="Logarithm",LN(0.001+'Advanced Entry'!S20),IF('Advanced Entry'!S$5="Exponential",EXP('Advanced Entry'!S20),'Advanced Entry'!S20)))-'Advanced Entry'!S$6)/('Advanced Entry'!S$7-'Advanced Entry'!S$6),10*((IF('Advanced Entry'!S$5="Logarithm",LN(0.001+'Advanced Entry'!S20),IF('Advanced Entry'!S$5="Exponential",EXP('Advanced Entry'!S20),'Advanced Entry'!S20)))-'Advanced Entry'!S$6)/('Advanced Entry'!S$7-'Advanced Entry'!S$6)),1))),"No data"))</f>
        <v/>
      </c>
      <c r="T20" s="17">
        <f>IF('Advanced Entry'!T20="","",IFERROR(MAX(0,MIN(10,ROUND(IF('Advanced Entry'!T$8="Decrease Risk",10-10*((IF('Advanced Entry'!T$5="Logarithm",LN(0.001+'Advanced Entry'!T20),IF('Advanced Entry'!T$5="Exponential",EXP('Advanced Entry'!T20),'Advanced Entry'!T20)))-'Advanced Entry'!T$6)/('Advanced Entry'!T$7-'Advanced Entry'!T$6),10*((IF('Advanced Entry'!T$5="Logarithm",LN(0.001+'Advanced Entry'!T20),IF('Advanced Entry'!T$5="Exponential",EXP('Advanced Entry'!T20),'Advanced Entry'!T20)))-'Advanced Entry'!T$6)/('Advanced Entry'!T$7-'Advanced Entry'!T$6)),1))),"No data"))</f>
        <v/>
      </c>
      <c r="U20" s="17">
        <f>IF('Advanced Entry'!U20="","",IFERROR(MAX(0,MIN(10,ROUND(IF('Advanced Entry'!U$8="Decrease Risk",10-10*((IF('Advanced Entry'!U$5="Logarithm",LN(0.001+'Advanced Entry'!U20),IF('Advanced Entry'!U$5="Exponential",EXP('Advanced Entry'!U20),'Advanced Entry'!U20)))-'Advanced Entry'!U$6)/('Advanced Entry'!U$7-'Advanced Entry'!U$6),10*((IF('Advanced Entry'!U$5="Logarithm",LN(0.001+'Advanced Entry'!U20),IF('Advanced Entry'!U$5="Exponential",EXP('Advanced Entry'!U20),'Advanced Entry'!U20)))-'Advanced Entry'!U$6)/('Advanced Entry'!U$7-'Advanced Entry'!U$6)),1))),"No data"))</f>
        <v/>
      </c>
      <c r="V20" s="17">
        <f>IF('Advanced Entry'!V20="","",IFERROR(MAX(0,MIN(10,ROUND(IF('Advanced Entry'!V$8="Decrease Risk",10-10*((IF('Advanced Entry'!V$5="Logarithm",LN(0.001+'Advanced Entry'!V20),IF('Advanced Entry'!V$5="Exponential",EXP('Advanced Entry'!V20),'Advanced Entry'!V20)))-'Advanced Entry'!V$6)/('Advanced Entry'!V$7-'Advanced Entry'!V$6),10*((IF('Advanced Entry'!V$5="Logarithm",LN(0.001+'Advanced Entry'!V20),IF('Advanced Entry'!V$5="Exponential",EXP('Advanced Entry'!V20),'Advanced Entry'!V20)))-'Advanced Entry'!V$6)/('Advanced Entry'!V$7-'Advanced Entry'!V$6)),1))),"No data"))</f>
        <v/>
      </c>
      <c r="W20" s="17">
        <f>IF('Advanced Entry'!W20="","",IFERROR(MAX(0,MIN(10,ROUND(IF('Advanced Entry'!W$8="Decrease Risk",10-10*((IF('Advanced Entry'!W$5="Logarithm",LN(0.001+'Advanced Entry'!W20),IF('Advanced Entry'!W$5="Exponential",EXP('Advanced Entry'!W20),'Advanced Entry'!W20)))-'Advanced Entry'!W$6)/('Advanced Entry'!W$7-'Advanced Entry'!W$6),10*((IF('Advanced Entry'!W$5="Logarithm",LN(0.001+'Advanced Entry'!W20),IF('Advanced Entry'!W$5="Exponential",EXP('Advanced Entry'!W20),'Advanced Entry'!W20)))-'Advanced Entry'!W$6)/('Advanced Entry'!W$7-'Advanced Entry'!W$6)),1))),"No data"))</f>
        <v/>
      </c>
      <c r="X20" s="17">
        <f>IF('Advanced Entry'!X20="","",IFERROR(MAX(0,MIN(10,ROUND(IF('Advanced Entry'!X$8="Decrease Risk",10-10*((IF('Advanced Entry'!X$5="Logarithm",LN(0.001+'Advanced Entry'!X20),IF('Advanced Entry'!X$5="Exponential",EXP('Advanced Entry'!X20),'Advanced Entry'!X20)))-'Advanced Entry'!X$6)/('Advanced Entry'!X$7-'Advanced Entry'!X$6),10*((IF('Advanced Entry'!X$5="Logarithm",LN(0.001+'Advanced Entry'!X20),IF('Advanced Entry'!X$5="Exponential",EXP('Advanced Entry'!X20),'Advanced Entry'!X20)))-'Advanced Entry'!X$6)/('Advanced Entry'!X$7-'Advanced Entry'!X$6)),1))),"No data"))</f>
        <v/>
      </c>
      <c r="Y20" s="17">
        <f>IF('Advanced Entry'!Y20="","",IFERROR(MAX(0,MIN(10,ROUND(IF('Advanced Entry'!Y$8="Decrease Risk",10-10*((IF('Advanced Entry'!Y$5="Logarithm",LN(0.001+'Advanced Entry'!Y20),IF('Advanced Entry'!Y$5="Exponential",EXP('Advanced Entry'!Y20),'Advanced Entry'!Y20)))-'Advanced Entry'!Y$6)/('Advanced Entry'!Y$7-'Advanced Entry'!Y$6),10*((IF('Advanced Entry'!Y$5="Logarithm",LN(0.001+'Advanced Entry'!Y20),IF('Advanced Entry'!Y$5="Exponential",EXP('Advanced Entry'!Y20),'Advanced Entry'!Y20)))-'Advanced Entry'!Y$6)/('Advanced Entry'!Y$7-'Advanced Entry'!Y$6)),1))),"No data"))</f>
        <v/>
      </c>
      <c r="Z20" s="17">
        <f>IF('Advanced Entry'!Z20="","",IFERROR(MAX(0,MIN(10,ROUND(IF('Advanced Entry'!Z$8="Decrease Risk",10-10*((IF('Advanced Entry'!Z$5="Logarithm",LN(0.001+'Advanced Entry'!Z20),IF('Advanced Entry'!Z$5="Exponential",EXP('Advanced Entry'!Z20),'Advanced Entry'!Z20)))-'Advanced Entry'!Z$6)/('Advanced Entry'!Z$7-'Advanced Entry'!Z$6),10*((IF('Advanced Entry'!Z$5="Logarithm",LN(0.001+'Advanced Entry'!Z20),IF('Advanced Entry'!Z$5="Exponential",EXP('Advanced Entry'!Z20),'Advanced Entry'!Z20)))-'Advanced Entry'!Z$6)/('Advanced Entry'!Z$7-'Advanced Entry'!Z$6)),1))),"No data"))</f>
        <v/>
      </c>
      <c r="AA20" s="17">
        <f>IF('Advanced Entry'!AA20="","",IFERROR(MAX(0,MIN(10,ROUND(IF('Advanced Entry'!AA$8="Decrease Risk",10-10*((IF('Advanced Entry'!AA$5="Logarithm",LN(0.001+'Advanced Entry'!AA20),IF('Advanced Entry'!AA$5="Exponential",EXP('Advanced Entry'!AA20),'Advanced Entry'!AA20)))-'Advanced Entry'!AA$6)/('Advanced Entry'!AA$7-'Advanced Entry'!AA$6),10*((IF('Advanced Entry'!AA$5="Logarithm",LN(0.001+'Advanced Entry'!AA20),IF('Advanced Entry'!AA$5="Exponential",EXP('Advanced Entry'!AA20),'Advanced Entry'!AA20)))-'Advanced Entry'!AA$6)/('Advanced Entry'!AA$7-'Advanced Entry'!AA$6)),1))),"No data"))</f>
        <v/>
      </c>
      <c r="AB20" s="17">
        <f>IF('Advanced Entry'!AB20="","",IFERROR(MAX(0,MIN(10,ROUND(IF('Advanced Entry'!AB$8="Decrease Risk",10-10*((IF('Advanced Entry'!AB$5="Logarithm",LN(0.001+'Advanced Entry'!AB20),IF('Advanced Entry'!AB$5="Exponential",EXP('Advanced Entry'!AB20),'Advanced Entry'!AB20)))-'Advanced Entry'!AB$6)/('Advanced Entry'!AB$7-'Advanced Entry'!AB$6),10*((IF('Advanced Entry'!AB$5="Logarithm",LN(0.001+'Advanced Entry'!AB20),IF('Advanced Entry'!AB$5="Exponential",EXP('Advanced Entry'!AB20),'Advanced Entry'!AB20)))-'Advanced Entry'!AB$6)/('Advanced Entry'!AB$7-'Advanced Entry'!AB$6)),1))),"No data"))</f>
        <v/>
      </c>
    </row>
    <row r="21">
      <c r="A21" t="inlineStr">
        <is>
          <t>Dar es Salaam</t>
        </is>
      </c>
      <c r="B21" t="inlineStr">
        <is>
          <t>Temeke Municipal</t>
        </is>
      </c>
      <c r="C21" t="inlineStr">
        <is>
          <t>C054</t>
        </is>
      </c>
      <c r="D21" s="17">
        <f>IF('Advanced Entry'!D21="","",IFERROR(MAX(0,MIN(10,ROUND(IF('Advanced Entry'!D$8="Decrease Risk",10-10*((IF('Advanced Entry'!D$5="Logarithm",LN(0.001+'Advanced Entry'!D21),IF('Advanced Entry'!D$5="Exponential",EXP('Advanced Entry'!D21),'Advanced Entry'!D21)))-'Advanced Entry'!D$6)/('Advanced Entry'!D$7-'Advanced Entry'!D$6),10*((IF('Advanced Entry'!D$5="Logarithm",LN(0.001+'Advanced Entry'!D21),IF('Advanced Entry'!D$5="Exponential",EXP('Advanced Entry'!D21),'Advanced Entry'!D21)))-'Advanced Entry'!D$6)/('Advanced Entry'!D$7-'Advanced Entry'!D$6)),1))),"No data"))</f>
        <v/>
      </c>
      <c r="E21" s="17">
        <f>IF('Advanced Entry'!E21="","",IFERROR(MAX(0,MIN(10,ROUND(IF('Advanced Entry'!E$8="Decrease Risk",10-10*((IF('Advanced Entry'!E$5="Logarithm",LN(0.001+'Advanced Entry'!E21),IF('Advanced Entry'!E$5="Exponential",EXP('Advanced Entry'!E21),'Advanced Entry'!E21)))-'Advanced Entry'!E$6)/('Advanced Entry'!E$7-'Advanced Entry'!E$6),10*((IF('Advanced Entry'!E$5="Logarithm",LN(0.001+'Advanced Entry'!E21),IF('Advanced Entry'!E$5="Exponential",EXP('Advanced Entry'!E21),'Advanced Entry'!E21)))-'Advanced Entry'!E$6)/('Advanced Entry'!E$7-'Advanced Entry'!E$6)),1))),"No data"))</f>
        <v/>
      </c>
      <c r="F21" s="17">
        <f>IF('Advanced Entry'!F21="","",IFERROR(MAX(0,MIN(10,ROUND(IF('Advanced Entry'!F$8="Decrease Risk",10-10*((IF('Advanced Entry'!F$5="Logarithm",LN(0.001+'Advanced Entry'!F21),IF('Advanced Entry'!F$5="Exponential",EXP('Advanced Entry'!F21),'Advanced Entry'!F21)))-'Advanced Entry'!F$6)/('Advanced Entry'!F$7-'Advanced Entry'!F$6),10*((IF('Advanced Entry'!F$5="Logarithm",LN(0.001+'Advanced Entry'!F21),IF('Advanced Entry'!F$5="Exponential",EXP('Advanced Entry'!F21),'Advanced Entry'!F21)))-'Advanced Entry'!F$6)/('Advanced Entry'!F$7-'Advanced Entry'!F$6)),1))),"No data"))</f>
        <v/>
      </c>
      <c r="G21" s="17">
        <f>IF('Advanced Entry'!G21="","",IFERROR(MAX(0,MIN(10,ROUND(IF('Advanced Entry'!G$8="Decrease Risk",10-10*((IF('Advanced Entry'!G$5="Logarithm",LN(0.001+'Advanced Entry'!G21),IF('Advanced Entry'!G$5="Exponential",EXP('Advanced Entry'!G21),'Advanced Entry'!G21)))-'Advanced Entry'!G$6)/('Advanced Entry'!G$7-'Advanced Entry'!G$6),10*((IF('Advanced Entry'!G$5="Logarithm",LN(0.001+'Advanced Entry'!G21),IF('Advanced Entry'!G$5="Exponential",EXP('Advanced Entry'!G21),'Advanced Entry'!G21)))-'Advanced Entry'!G$6)/('Advanced Entry'!G$7-'Advanced Entry'!G$6)),1))),"No data"))</f>
        <v/>
      </c>
      <c r="H21" s="17">
        <f>IF('Advanced Entry'!H21="","",IFERROR(MAX(0,MIN(10,ROUND(IF('Advanced Entry'!H$8="Decrease Risk",10-10*((IF('Advanced Entry'!H$5="Logarithm",LN(0.001+'Advanced Entry'!H21),IF('Advanced Entry'!H$5="Exponential",EXP('Advanced Entry'!H21),'Advanced Entry'!H21)))-'Advanced Entry'!H$6)/('Advanced Entry'!H$7-'Advanced Entry'!H$6),10*((IF('Advanced Entry'!H$5="Logarithm",LN(0.001+'Advanced Entry'!H21),IF('Advanced Entry'!H$5="Exponential",EXP('Advanced Entry'!H21),'Advanced Entry'!H21)))-'Advanced Entry'!H$6)/('Advanced Entry'!H$7-'Advanced Entry'!H$6)),1))),"No data"))</f>
        <v/>
      </c>
      <c r="I21" s="17">
        <f>IF('Advanced Entry'!I21="","",IFERROR(MAX(0,MIN(10,ROUND(IF('Advanced Entry'!I$8="Decrease Risk",10-10*((IF('Advanced Entry'!I$5="Logarithm",LN(0.001+'Advanced Entry'!I21),IF('Advanced Entry'!I$5="Exponential",EXP('Advanced Entry'!I21),'Advanced Entry'!I21)))-'Advanced Entry'!I$6)/('Advanced Entry'!I$7-'Advanced Entry'!I$6),10*((IF('Advanced Entry'!I$5="Logarithm",LN(0.001+'Advanced Entry'!I21),IF('Advanced Entry'!I$5="Exponential",EXP('Advanced Entry'!I21),'Advanced Entry'!I21)))-'Advanced Entry'!I$6)/('Advanced Entry'!I$7-'Advanced Entry'!I$6)),1))),"No data"))</f>
        <v/>
      </c>
      <c r="J21" s="17">
        <f>IF('Advanced Entry'!J21="","",IFERROR(MAX(0,MIN(10,ROUND(IF('Advanced Entry'!J$8="Decrease Risk",10-10*((IF('Advanced Entry'!J$5="Logarithm",LN(0.001+'Advanced Entry'!J21),IF('Advanced Entry'!J$5="Exponential",EXP('Advanced Entry'!J21),'Advanced Entry'!J21)))-'Advanced Entry'!J$6)/('Advanced Entry'!J$7-'Advanced Entry'!J$6),10*((IF('Advanced Entry'!J$5="Logarithm",LN(0.001+'Advanced Entry'!J21),IF('Advanced Entry'!J$5="Exponential",EXP('Advanced Entry'!J21),'Advanced Entry'!J21)))-'Advanced Entry'!J$6)/('Advanced Entry'!J$7-'Advanced Entry'!J$6)),1))),"No data"))</f>
        <v/>
      </c>
      <c r="K21" s="17">
        <f>IF('Advanced Entry'!K21="","",IFERROR(MAX(0,MIN(10,ROUND(IF('Advanced Entry'!K$8="Decrease Risk",10-10*((IF('Advanced Entry'!K$5="Logarithm",LN(0.001+'Advanced Entry'!K21),IF('Advanced Entry'!K$5="Exponential",EXP('Advanced Entry'!K21),'Advanced Entry'!K21)))-'Advanced Entry'!K$6)/('Advanced Entry'!K$7-'Advanced Entry'!K$6),10*((IF('Advanced Entry'!K$5="Logarithm",LN(0.001+'Advanced Entry'!K21),IF('Advanced Entry'!K$5="Exponential",EXP('Advanced Entry'!K21),'Advanced Entry'!K21)))-'Advanced Entry'!K$6)/('Advanced Entry'!K$7-'Advanced Entry'!K$6)),1))),"No data"))</f>
        <v/>
      </c>
      <c r="L21" s="17">
        <f>IF('Advanced Entry'!L21="","",IFERROR(MAX(0,MIN(10,ROUND(IF('Advanced Entry'!L$8="Decrease Risk",10-10*((IF('Advanced Entry'!L$5="Logarithm",LN(0.001+'Advanced Entry'!L21),IF('Advanced Entry'!L$5="Exponential",EXP('Advanced Entry'!L21),'Advanced Entry'!L21)))-'Advanced Entry'!L$6)/('Advanced Entry'!L$7-'Advanced Entry'!L$6),10*((IF('Advanced Entry'!L$5="Logarithm",LN(0.001+'Advanced Entry'!L21),IF('Advanced Entry'!L$5="Exponential",EXP('Advanced Entry'!L21),'Advanced Entry'!L21)))-'Advanced Entry'!L$6)/('Advanced Entry'!L$7-'Advanced Entry'!L$6)),1))),"No data"))</f>
        <v/>
      </c>
      <c r="M21" s="17">
        <f>IF('Advanced Entry'!M21="","",IFERROR(MAX(0,MIN(10,ROUND(IF('Advanced Entry'!M$8="Decrease Risk",10-10*((IF('Advanced Entry'!M$5="Logarithm",LN(0.001+'Advanced Entry'!M21),IF('Advanced Entry'!M$5="Exponential",EXP('Advanced Entry'!M21),'Advanced Entry'!M21)))-'Advanced Entry'!M$6)/('Advanced Entry'!M$7-'Advanced Entry'!M$6),10*((IF('Advanced Entry'!M$5="Logarithm",LN(0.001+'Advanced Entry'!M21),IF('Advanced Entry'!M$5="Exponential",EXP('Advanced Entry'!M21),'Advanced Entry'!M21)))-'Advanced Entry'!M$6)/('Advanced Entry'!M$7-'Advanced Entry'!M$6)),1))),"No data"))</f>
        <v/>
      </c>
      <c r="N21" s="17">
        <f>IF('Advanced Entry'!N21="","",IFERROR(MAX(0,MIN(10,ROUND(IF('Advanced Entry'!N$8="Decrease Risk",10-10*((IF('Advanced Entry'!N$5="Logarithm",LN(0.001+'Advanced Entry'!N21),IF('Advanced Entry'!N$5="Exponential",EXP('Advanced Entry'!N21),'Advanced Entry'!N21)))-'Advanced Entry'!N$6)/('Advanced Entry'!N$7-'Advanced Entry'!N$6),10*((IF('Advanced Entry'!N$5="Logarithm",LN(0.001+'Advanced Entry'!N21),IF('Advanced Entry'!N$5="Exponential",EXP('Advanced Entry'!N21),'Advanced Entry'!N21)))-'Advanced Entry'!N$6)/('Advanced Entry'!N$7-'Advanced Entry'!N$6)),1))),"No data"))</f>
        <v/>
      </c>
      <c r="O21" s="17">
        <f>IF('Advanced Entry'!O21="","",IFERROR(MAX(0,MIN(10,ROUND(IF('Advanced Entry'!O$8="Decrease Risk",10-10*((IF('Advanced Entry'!O$5="Logarithm",LN(0.001+'Advanced Entry'!O21),IF('Advanced Entry'!O$5="Exponential",EXP('Advanced Entry'!O21),'Advanced Entry'!O21)))-'Advanced Entry'!O$6)/('Advanced Entry'!O$7-'Advanced Entry'!O$6),10*((IF('Advanced Entry'!O$5="Logarithm",LN(0.001+'Advanced Entry'!O21),IF('Advanced Entry'!O$5="Exponential",EXP('Advanced Entry'!O21),'Advanced Entry'!O21)))-'Advanced Entry'!O$6)/('Advanced Entry'!O$7-'Advanced Entry'!O$6)),1))),"No data"))</f>
        <v/>
      </c>
      <c r="P21" s="17">
        <f>IF('Advanced Entry'!P21="","",IFERROR(MAX(0,MIN(10,ROUND(IF('Advanced Entry'!P$8="Decrease Risk",10-10*((IF('Advanced Entry'!P$5="Logarithm",LN(0.001+'Advanced Entry'!P21),IF('Advanced Entry'!P$5="Exponential",EXP('Advanced Entry'!P21),'Advanced Entry'!P21)))-'Advanced Entry'!P$6)/('Advanced Entry'!P$7-'Advanced Entry'!P$6),10*((IF('Advanced Entry'!P$5="Logarithm",LN(0.001+'Advanced Entry'!P21),IF('Advanced Entry'!P$5="Exponential",EXP('Advanced Entry'!P21),'Advanced Entry'!P21)))-'Advanced Entry'!P$6)/('Advanced Entry'!P$7-'Advanced Entry'!P$6)),1))),"No data"))</f>
        <v/>
      </c>
      <c r="Q21" s="17">
        <f>IF('Advanced Entry'!Q21="","",IFERROR(MAX(0,MIN(10,ROUND(IF('Advanced Entry'!Q$8="Decrease Risk",10-10*((IF('Advanced Entry'!Q$5="Logarithm",LN(0.001+'Advanced Entry'!Q21),IF('Advanced Entry'!Q$5="Exponential",EXP('Advanced Entry'!Q21),'Advanced Entry'!Q21)))-'Advanced Entry'!Q$6)/('Advanced Entry'!Q$7-'Advanced Entry'!Q$6),10*((IF('Advanced Entry'!Q$5="Logarithm",LN(0.001+'Advanced Entry'!Q21),IF('Advanced Entry'!Q$5="Exponential",EXP('Advanced Entry'!Q21),'Advanced Entry'!Q21)))-'Advanced Entry'!Q$6)/('Advanced Entry'!Q$7-'Advanced Entry'!Q$6)),1))),"No data"))</f>
        <v/>
      </c>
      <c r="R21" s="17">
        <f>IF('Advanced Entry'!R21="","",IFERROR(MAX(0,MIN(10,ROUND(IF('Advanced Entry'!R$8="Decrease Risk",10-10*((IF('Advanced Entry'!R$5="Logarithm",LN(0.001+'Advanced Entry'!R21),IF('Advanced Entry'!R$5="Exponential",EXP('Advanced Entry'!R21),'Advanced Entry'!R21)))-'Advanced Entry'!R$6)/('Advanced Entry'!R$7-'Advanced Entry'!R$6),10*((IF('Advanced Entry'!R$5="Logarithm",LN(0.001+'Advanced Entry'!R21),IF('Advanced Entry'!R$5="Exponential",EXP('Advanced Entry'!R21),'Advanced Entry'!R21)))-'Advanced Entry'!R$6)/('Advanced Entry'!R$7-'Advanced Entry'!R$6)),1))),"No data"))</f>
        <v/>
      </c>
      <c r="S21" s="17">
        <f>IF('Advanced Entry'!S21="","",IFERROR(MAX(0,MIN(10,ROUND(IF('Advanced Entry'!S$8="Decrease Risk",10-10*((IF('Advanced Entry'!S$5="Logarithm",LN(0.001+'Advanced Entry'!S21),IF('Advanced Entry'!S$5="Exponential",EXP('Advanced Entry'!S21),'Advanced Entry'!S21)))-'Advanced Entry'!S$6)/('Advanced Entry'!S$7-'Advanced Entry'!S$6),10*((IF('Advanced Entry'!S$5="Logarithm",LN(0.001+'Advanced Entry'!S21),IF('Advanced Entry'!S$5="Exponential",EXP('Advanced Entry'!S21),'Advanced Entry'!S21)))-'Advanced Entry'!S$6)/('Advanced Entry'!S$7-'Advanced Entry'!S$6)),1))),"No data"))</f>
        <v/>
      </c>
      <c r="T21" s="17">
        <f>IF('Advanced Entry'!T21="","",IFERROR(MAX(0,MIN(10,ROUND(IF('Advanced Entry'!T$8="Decrease Risk",10-10*((IF('Advanced Entry'!T$5="Logarithm",LN(0.001+'Advanced Entry'!T21),IF('Advanced Entry'!T$5="Exponential",EXP('Advanced Entry'!T21),'Advanced Entry'!T21)))-'Advanced Entry'!T$6)/('Advanced Entry'!T$7-'Advanced Entry'!T$6),10*((IF('Advanced Entry'!T$5="Logarithm",LN(0.001+'Advanced Entry'!T21),IF('Advanced Entry'!T$5="Exponential",EXP('Advanced Entry'!T21),'Advanced Entry'!T21)))-'Advanced Entry'!T$6)/('Advanced Entry'!T$7-'Advanced Entry'!T$6)),1))),"No data"))</f>
        <v/>
      </c>
      <c r="U21" s="17">
        <f>IF('Advanced Entry'!U21="","",IFERROR(MAX(0,MIN(10,ROUND(IF('Advanced Entry'!U$8="Decrease Risk",10-10*((IF('Advanced Entry'!U$5="Logarithm",LN(0.001+'Advanced Entry'!U21),IF('Advanced Entry'!U$5="Exponential",EXP('Advanced Entry'!U21),'Advanced Entry'!U21)))-'Advanced Entry'!U$6)/('Advanced Entry'!U$7-'Advanced Entry'!U$6),10*((IF('Advanced Entry'!U$5="Logarithm",LN(0.001+'Advanced Entry'!U21),IF('Advanced Entry'!U$5="Exponential",EXP('Advanced Entry'!U21),'Advanced Entry'!U21)))-'Advanced Entry'!U$6)/('Advanced Entry'!U$7-'Advanced Entry'!U$6)),1))),"No data"))</f>
        <v/>
      </c>
      <c r="V21" s="17">
        <f>IF('Advanced Entry'!V21="","",IFERROR(MAX(0,MIN(10,ROUND(IF('Advanced Entry'!V$8="Decrease Risk",10-10*((IF('Advanced Entry'!V$5="Logarithm",LN(0.001+'Advanced Entry'!V21),IF('Advanced Entry'!V$5="Exponential",EXP('Advanced Entry'!V21),'Advanced Entry'!V21)))-'Advanced Entry'!V$6)/('Advanced Entry'!V$7-'Advanced Entry'!V$6),10*((IF('Advanced Entry'!V$5="Logarithm",LN(0.001+'Advanced Entry'!V21),IF('Advanced Entry'!V$5="Exponential",EXP('Advanced Entry'!V21),'Advanced Entry'!V21)))-'Advanced Entry'!V$6)/('Advanced Entry'!V$7-'Advanced Entry'!V$6)),1))),"No data"))</f>
        <v/>
      </c>
      <c r="W21" s="17">
        <f>IF('Advanced Entry'!W21="","",IFERROR(MAX(0,MIN(10,ROUND(IF('Advanced Entry'!W$8="Decrease Risk",10-10*((IF('Advanced Entry'!W$5="Logarithm",LN(0.001+'Advanced Entry'!W21),IF('Advanced Entry'!W$5="Exponential",EXP('Advanced Entry'!W21),'Advanced Entry'!W21)))-'Advanced Entry'!W$6)/('Advanced Entry'!W$7-'Advanced Entry'!W$6),10*((IF('Advanced Entry'!W$5="Logarithm",LN(0.001+'Advanced Entry'!W21),IF('Advanced Entry'!W$5="Exponential",EXP('Advanced Entry'!W21),'Advanced Entry'!W21)))-'Advanced Entry'!W$6)/('Advanced Entry'!W$7-'Advanced Entry'!W$6)),1))),"No data"))</f>
        <v/>
      </c>
      <c r="X21" s="17">
        <f>IF('Advanced Entry'!X21="","",IFERROR(MAX(0,MIN(10,ROUND(IF('Advanced Entry'!X$8="Decrease Risk",10-10*((IF('Advanced Entry'!X$5="Logarithm",LN(0.001+'Advanced Entry'!X21),IF('Advanced Entry'!X$5="Exponential",EXP('Advanced Entry'!X21),'Advanced Entry'!X21)))-'Advanced Entry'!X$6)/('Advanced Entry'!X$7-'Advanced Entry'!X$6),10*((IF('Advanced Entry'!X$5="Logarithm",LN(0.001+'Advanced Entry'!X21),IF('Advanced Entry'!X$5="Exponential",EXP('Advanced Entry'!X21),'Advanced Entry'!X21)))-'Advanced Entry'!X$6)/('Advanced Entry'!X$7-'Advanced Entry'!X$6)),1))),"No data"))</f>
        <v/>
      </c>
      <c r="Y21" s="17">
        <f>IF('Advanced Entry'!Y21="","",IFERROR(MAX(0,MIN(10,ROUND(IF('Advanced Entry'!Y$8="Decrease Risk",10-10*((IF('Advanced Entry'!Y$5="Logarithm",LN(0.001+'Advanced Entry'!Y21),IF('Advanced Entry'!Y$5="Exponential",EXP('Advanced Entry'!Y21),'Advanced Entry'!Y21)))-'Advanced Entry'!Y$6)/('Advanced Entry'!Y$7-'Advanced Entry'!Y$6),10*((IF('Advanced Entry'!Y$5="Logarithm",LN(0.001+'Advanced Entry'!Y21),IF('Advanced Entry'!Y$5="Exponential",EXP('Advanced Entry'!Y21),'Advanced Entry'!Y21)))-'Advanced Entry'!Y$6)/('Advanced Entry'!Y$7-'Advanced Entry'!Y$6)),1))),"No data"))</f>
        <v/>
      </c>
      <c r="Z21" s="17">
        <f>IF('Advanced Entry'!Z21="","",IFERROR(MAX(0,MIN(10,ROUND(IF('Advanced Entry'!Z$8="Decrease Risk",10-10*((IF('Advanced Entry'!Z$5="Logarithm",LN(0.001+'Advanced Entry'!Z21),IF('Advanced Entry'!Z$5="Exponential",EXP('Advanced Entry'!Z21),'Advanced Entry'!Z21)))-'Advanced Entry'!Z$6)/('Advanced Entry'!Z$7-'Advanced Entry'!Z$6),10*((IF('Advanced Entry'!Z$5="Logarithm",LN(0.001+'Advanced Entry'!Z21),IF('Advanced Entry'!Z$5="Exponential",EXP('Advanced Entry'!Z21),'Advanced Entry'!Z21)))-'Advanced Entry'!Z$6)/('Advanced Entry'!Z$7-'Advanced Entry'!Z$6)),1))),"No data"))</f>
        <v/>
      </c>
      <c r="AA21" s="17">
        <f>IF('Advanced Entry'!AA21="","",IFERROR(MAX(0,MIN(10,ROUND(IF('Advanced Entry'!AA$8="Decrease Risk",10-10*((IF('Advanced Entry'!AA$5="Logarithm",LN(0.001+'Advanced Entry'!AA21),IF('Advanced Entry'!AA$5="Exponential",EXP('Advanced Entry'!AA21),'Advanced Entry'!AA21)))-'Advanced Entry'!AA$6)/('Advanced Entry'!AA$7-'Advanced Entry'!AA$6),10*((IF('Advanced Entry'!AA$5="Logarithm",LN(0.001+'Advanced Entry'!AA21),IF('Advanced Entry'!AA$5="Exponential",EXP('Advanced Entry'!AA21),'Advanced Entry'!AA21)))-'Advanced Entry'!AA$6)/('Advanced Entry'!AA$7-'Advanced Entry'!AA$6)),1))),"No data"))</f>
        <v/>
      </c>
      <c r="AB21" s="17">
        <f>IF('Advanced Entry'!AB21="","",IFERROR(MAX(0,MIN(10,ROUND(IF('Advanced Entry'!AB$8="Decrease Risk",10-10*((IF('Advanced Entry'!AB$5="Logarithm",LN(0.001+'Advanced Entry'!AB21),IF('Advanced Entry'!AB$5="Exponential",EXP('Advanced Entry'!AB21),'Advanced Entry'!AB21)))-'Advanced Entry'!AB$6)/('Advanced Entry'!AB$7-'Advanced Entry'!AB$6),10*((IF('Advanced Entry'!AB$5="Logarithm",LN(0.001+'Advanced Entry'!AB21),IF('Advanced Entry'!AB$5="Exponential",EXP('Advanced Entry'!AB21),'Advanced Entry'!AB21)))-'Advanced Entry'!AB$6)/('Advanced Entry'!AB$7-'Advanced Entry'!AB$6)),1))),"No data"))</f>
        <v/>
      </c>
    </row>
    <row r="22">
      <c r="A22" t="inlineStr">
        <is>
          <t>Dar es Salaam</t>
        </is>
      </c>
      <c r="B22" t="inlineStr">
        <is>
          <t>Ubungo Municipal</t>
        </is>
      </c>
      <c r="C22" t="inlineStr">
        <is>
          <t>C056</t>
        </is>
      </c>
      <c r="D22" s="17">
        <f>IF('Advanced Entry'!D22="","",IFERROR(MAX(0,MIN(10,ROUND(IF('Advanced Entry'!D$8="Decrease Risk",10-10*((IF('Advanced Entry'!D$5="Logarithm",LN(0.001+'Advanced Entry'!D22),IF('Advanced Entry'!D$5="Exponential",EXP('Advanced Entry'!D22),'Advanced Entry'!D22)))-'Advanced Entry'!D$6)/('Advanced Entry'!D$7-'Advanced Entry'!D$6),10*((IF('Advanced Entry'!D$5="Logarithm",LN(0.001+'Advanced Entry'!D22),IF('Advanced Entry'!D$5="Exponential",EXP('Advanced Entry'!D22),'Advanced Entry'!D22)))-'Advanced Entry'!D$6)/('Advanced Entry'!D$7-'Advanced Entry'!D$6)),1))),"No data"))</f>
        <v/>
      </c>
      <c r="E22" s="17">
        <f>IF('Advanced Entry'!E22="","",IFERROR(MAX(0,MIN(10,ROUND(IF('Advanced Entry'!E$8="Decrease Risk",10-10*((IF('Advanced Entry'!E$5="Logarithm",LN(0.001+'Advanced Entry'!E22),IF('Advanced Entry'!E$5="Exponential",EXP('Advanced Entry'!E22),'Advanced Entry'!E22)))-'Advanced Entry'!E$6)/('Advanced Entry'!E$7-'Advanced Entry'!E$6),10*((IF('Advanced Entry'!E$5="Logarithm",LN(0.001+'Advanced Entry'!E22),IF('Advanced Entry'!E$5="Exponential",EXP('Advanced Entry'!E22),'Advanced Entry'!E22)))-'Advanced Entry'!E$6)/('Advanced Entry'!E$7-'Advanced Entry'!E$6)),1))),"No data"))</f>
        <v/>
      </c>
      <c r="F22" s="17">
        <f>IF('Advanced Entry'!F22="","",IFERROR(MAX(0,MIN(10,ROUND(IF('Advanced Entry'!F$8="Decrease Risk",10-10*((IF('Advanced Entry'!F$5="Logarithm",LN(0.001+'Advanced Entry'!F22),IF('Advanced Entry'!F$5="Exponential",EXP('Advanced Entry'!F22),'Advanced Entry'!F22)))-'Advanced Entry'!F$6)/('Advanced Entry'!F$7-'Advanced Entry'!F$6),10*((IF('Advanced Entry'!F$5="Logarithm",LN(0.001+'Advanced Entry'!F22),IF('Advanced Entry'!F$5="Exponential",EXP('Advanced Entry'!F22),'Advanced Entry'!F22)))-'Advanced Entry'!F$6)/('Advanced Entry'!F$7-'Advanced Entry'!F$6)),1))),"No data"))</f>
        <v/>
      </c>
      <c r="G22" s="17">
        <f>IF('Advanced Entry'!G22="","",IFERROR(MAX(0,MIN(10,ROUND(IF('Advanced Entry'!G$8="Decrease Risk",10-10*((IF('Advanced Entry'!G$5="Logarithm",LN(0.001+'Advanced Entry'!G22),IF('Advanced Entry'!G$5="Exponential",EXP('Advanced Entry'!G22),'Advanced Entry'!G22)))-'Advanced Entry'!G$6)/('Advanced Entry'!G$7-'Advanced Entry'!G$6),10*((IF('Advanced Entry'!G$5="Logarithm",LN(0.001+'Advanced Entry'!G22),IF('Advanced Entry'!G$5="Exponential",EXP('Advanced Entry'!G22),'Advanced Entry'!G22)))-'Advanced Entry'!G$6)/('Advanced Entry'!G$7-'Advanced Entry'!G$6)),1))),"No data"))</f>
        <v/>
      </c>
      <c r="H22" s="17">
        <f>IF('Advanced Entry'!H22="","",IFERROR(MAX(0,MIN(10,ROUND(IF('Advanced Entry'!H$8="Decrease Risk",10-10*((IF('Advanced Entry'!H$5="Logarithm",LN(0.001+'Advanced Entry'!H22),IF('Advanced Entry'!H$5="Exponential",EXP('Advanced Entry'!H22),'Advanced Entry'!H22)))-'Advanced Entry'!H$6)/('Advanced Entry'!H$7-'Advanced Entry'!H$6),10*((IF('Advanced Entry'!H$5="Logarithm",LN(0.001+'Advanced Entry'!H22),IF('Advanced Entry'!H$5="Exponential",EXP('Advanced Entry'!H22),'Advanced Entry'!H22)))-'Advanced Entry'!H$6)/('Advanced Entry'!H$7-'Advanced Entry'!H$6)),1))),"No data"))</f>
        <v/>
      </c>
      <c r="I22" s="17">
        <f>IF('Advanced Entry'!I22="","",IFERROR(MAX(0,MIN(10,ROUND(IF('Advanced Entry'!I$8="Decrease Risk",10-10*((IF('Advanced Entry'!I$5="Logarithm",LN(0.001+'Advanced Entry'!I22),IF('Advanced Entry'!I$5="Exponential",EXP('Advanced Entry'!I22),'Advanced Entry'!I22)))-'Advanced Entry'!I$6)/('Advanced Entry'!I$7-'Advanced Entry'!I$6),10*((IF('Advanced Entry'!I$5="Logarithm",LN(0.001+'Advanced Entry'!I22),IF('Advanced Entry'!I$5="Exponential",EXP('Advanced Entry'!I22),'Advanced Entry'!I22)))-'Advanced Entry'!I$6)/('Advanced Entry'!I$7-'Advanced Entry'!I$6)),1))),"No data"))</f>
        <v/>
      </c>
      <c r="J22" s="17">
        <f>IF('Advanced Entry'!J22="","",IFERROR(MAX(0,MIN(10,ROUND(IF('Advanced Entry'!J$8="Decrease Risk",10-10*((IF('Advanced Entry'!J$5="Logarithm",LN(0.001+'Advanced Entry'!J22),IF('Advanced Entry'!J$5="Exponential",EXP('Advanced Entry'!J22),'Advanced Entry'!J22)))-'Advanced Entry'!J$6)/('Advanced Entry'!J$7-'Advanced Entry'!J$6),10*((IF('Advanced Entry'!J$5="Logarithm",LN(0.001+'Advanced Entry'!J22),IF('Advanced Entry'!J$5="Exponential",EXP('Advanced Entry'!J22),'Advanced Entry'!J22)))-'Advanced Entry'!J$6)/('Advanced Entry'!J$7-'Advanced Entry'!J$6)),1))),"No data"))</f>
        <v/>
      </c>
      <c r="K22" s="17">
        <f>IF('Advanced Entry'!K22="","",IFERROR(MAX(0,MIN(10,ROUND(IF('Advanced Entry'!K$8="Decrease Risk",10-10*((IF('Advanced Entry'!K$5="Logarithm",LN(0.001+'Advanced Entry'!K22),IF('Advanced Entry'!K$5="Exponential",EXP('Advanced Entry'!K22),'Advanced Entry'!K22)))-'Advanced Entry'!K$6)/('Advanced Entry'!K$7-'Advanced Entry'!K$6),10*((IF('Advanced Entry'!K$5="Logarithm",LN(0.001+'Advanced Entry'!K22),IF('Advanced Entry'!K$5="Exponential",EXP('Advanced Entry'!K22),'Advanced Entry'!K22)))-'Advanced Entry'!K$6)/('Advanced Entry'!K$7-'Advanced Entry'!K$6)),1))),"No data"))</f>
        <v/>
      </c>
      <c r="L22" s="17">
        <f>IF('Advanced Entry'!L22="","",IFERROR(MAX(0,MIN(10,ROUND(IF('Advanced Entry'!L$8="Decrease Risk",10-10*((IF('Advanced Entry'!L$5="Logarithm",LN(0.001+'Advanced Entry'!L22),IF('Advanced Entry'!L$5="Exponential",EXP('Advanced Entry'!L22),'Advanced Entry'!L22)))-'Advanced Entry'!L$6)/('Advanced Entry'!L$7-'Advanced Entry'!L$6),10*((IF('Advanced Entry'!L$5="Logarithm",LN(0.001+'Advanced Entry'!L22),IF('Advanced Entry'!L$5="Exponential",EXP('Advanced Entry'!L22),'Advanced Entry'!L22)))-'Advanced Entry'!L$6)/('Advanced Entry'!L$7-'Advanced Entry'!L$6)),1))),"No data"))</f>
        <v/>
      </c>
      <c r="M22" s="17">
        <f>IF('Advanced Entry'!M22="","",IFERROR(MAX(0,MIN(10,ROUND(IF('Advanced Entry'!M$8="Decrease Risk",10-10*((IF('Advanced Entry'!M$5="Logarithm",LN(0.001+'Advanced Entry'!M22),IF('Advanced Entry'!M$5="Exponential",EXP('Advanced Entry'!M22),'Advanced Entry'!M22)))-'Advanced Entry'!M$6)/('Advanced Entry'!M$7-'Advanced Entry'!M$6),10*((IF('Advanced Entry'!M$5="Logarithm",LN(0.001+'Advanced Entry'!M22),IF('Advanced Entry'!M$5="Exponential",EXP('Advanced Entry'!M22),'Advanced Entry'!M22)))-'Advanced Entry'!M$6)/('Advanced Entry'!M$7-'Advanced Entry'!M$6)),1))),"No data"))</f>
        <v/>
      </c>
      <c r="N22" s="17">
        <f>IF('Advanced Entry'!N22="","",IFERROR(MAX(0,MIN(10,ROUND(IF('Advanced Entry'!N$8="Decrease Risk",10-10*((IF('Advanced Entry'!N$5="Logarithm",LN(0.001+'Advanced Entry'!N22),IF('Advanced Entry'!N$5="Exponential",EXP('Advanced Entry'!N22),'Advanced Entry'!N22)))-'Advanced Entry'!N$6)/('Advanced Entry'!N$7-'Advanced Entry'!N$6),10*((IF('Advanced Entry'!N$5="Logarithm",LN(0.001+'Advanced Entry'!N22),IF('Advanced Entry'!N$5="Exponential",EXP('Advanced Entry'!N22),'Advanced Entry'!N22)))-'Advanced Entry'!N$6)/('Advanced Entry'!N$7-'Advanced Entry'!N$6)),1))),"No data"))</f>
        <v/>
      </c>
      <c r="O22" s="17">
        <f>IF('Advanced Entry'!O22="","",IFERROR(MAX(0,MIN(10,ROUND(IF('Advanced Entry'!O$8="Decrease Risk",10-10*((IF('Advanced Entry'!O$5="Logarithm",LN(0.001+'Advanced Entry'!O22),IF('Advanced Entry'!O$5="Exponential",EXP('Advanced Entry'!O22),'Advanced Entry'!O22)))-'Advanced Entry'!O$6)/('Advanced Entry'!O$7-'Advanced Entry'!O$6),10*((IF('Advanced Entry'!O$5="Logarithm",LN(0.001+'Advanced Entry'!O22),IF('Advanced Entry'!O$5="Exponential",EXP('Advanced Entry'!O22),'Advanced Entry'!O22)))-'Advanced Entry'!O$6)/('Advanced Entry'!O$7-'Advanced Entry'!O$6)),1))),"No data"))</f>
        <v/>
      </c>
      <c r="P22" s="17">
        <f>IF('Advanced Entry'!P22="","",IFERROR(MAX(0,MIN(10,ROUND(IF('Advanced Entry'!P$8="Decrease Risk",10-10*((IF('Advanced Entry'!P$5="Logarithm",LN(0.001+'Advanced Entry'!P22),IF('Advanced Entry'!P$5="Exponential",EXP('Advanced Entry'!P22),'Advanced Entry'!P22)))-'Advanced Entry'!P$6)/('Advanced Entry'!P$7-'Advanced Entry'!P$6),10*((IF('Advanced Entry'!P$5="Logarithm",LN(0.001+'Advanced Entry'!P22),IF('Advanced Entry'!P$5="Exponential",EXP('Advanced Entry'!P22),'Advanced Entry'!P22)))-'Advanced Entry'!P$6)/('Advanced Entry'!P$7-'Advanced Entry'!P$6)),1))),"No data"))</f>
        <v/>
      </c>
      <c r="Q22" s="17">
        <f>IF('Advanced Entry'!Q22="","",IFERROR(MAX(0,MIN(10,ROUND(IF('Advanced Entry'!Q$8="Decrease Risk",10-10*((IF('Advanced Entry'!Q$5="Logarithm",LN(0.001+'Advanced Entry'!Q22),IF('Advanced Entry'!Q$5="Exponential",EXP('Advanced Entry'!Q22),'Advanced Entry'!Q22)))-'Advanced Entry'!Q$6)/('Advanced Entry'!Q$7-'Advanced Entry'!Q$6),10*((IF('Advanced Entry'!Q$5="Logarithm",LN(0.001+'Advanced Entry'!Q22),IF('Advanced Entry'!Q$5="Exponential",EXP('Advanced Entry'!Q22),'Advanced Entry'!Q22)))-'Advanced Entry'!Q$6)/('Advanced Entry'!Q$7-'Advanced Entry'!Q$6)),1))),"No data"))</f>
        <v/>
      </c>
      <c r="R22" s="17">
        <f>IF('Advanced Entry'!R22="","",IFERROR(MAX(0,MIN(10,ROUND(IF('Advanced Entry'!R$8="Decrease Risk",10-10*((IF('Advanced Entry'!R$5="Logarithm",LN(0.001+'Advanced Entry'!R22),IF('Advanced Entry'!R$5="Exponential",EXP('Advanced Entry'!R22),'Advanced Entry'!R22)))-'Advanced Entry'!R$6)/('Advanced Entry'!R$7-'Advanced Entry'!R$6),10*((IF('Advanced Entry'!R$5="Logarithm",LN(0.001+'Advanced Entry'!R22),IF('Advanced Entry'!R$5="Exponential",EXP('Advanced Entry'!R22),'Advanced Entry'!R22)))-'Advanced Entry'!R$6)/('Advanced Entry'!R$7-'Advanced Entry'!R$6)),1))),"No data"))</f>
        <v/>
      </c>
      <c r="S22" s="17">
        <f>IF('Advanced Entry'!S22="","",IFERROR(MAX(0,MIN(10,ROUND(IF('Advanced Entry'!S$8="Decrease Risk",10-10*((IF('Advanced Entry'!S$5="Logarithm",LN(0.001+'Advanced Entry'!S22),IF('Advanced Entry'!S$5="Exponential",EXP('Advanced Entry'!S22),'Advanced Entry'!S22)))-'Advanced Entry'!S$6)/('Advanced Entry'!S$7-'Advanced Entry'!S$6),10*((IF('Advanced Entry'!S$5="Logarithm",LN(0.001+'Advanced Entry'!S22),IF('Advanced Entry'!S$5="Exponential",EXP('Advanced Entry'!S22),'Advanced Entry'!S22)))-'Advanced Entry'!S$6)/('Advanced Entry'!S$7-'Advanced Entry'!S$6)),1))),"No data"))</f>
        <v/>
      </c>
      <c r="T22" s="17">
        <f>IF('Advanced Entry'!T22="","",IFERROR(MAX(0,MIN(10,ROUND(IF('Advanced Entry'!T$8="Decrease Risk",10-10*((IF('Advanced Entry'!T$5="Logarithm",LN(0.001+'Advanced Entry'!T22),IF('Advanced Entry'!T$5="Exponential",EXP('Advanced Entry'!T22),'Advanced Entry'!T22)))-'Advanced Entry'!T$6)/('Advanced Entry'!T$7-'Advanced Entry'!T$6),10*((IF('Advanced Entry'!T$5="Logarithm",LN(0.001+'Advanced Entry'!T22),IF('Advanced Entry'!T$5="Exponential",EXP('Advanced Entry'!T22),'Advanced Entry'!T22)))-'Advanced Entry'!T$6)/('Advanced Entry'!T$7-'Advanced Entry'!T$6)),1))),"No data"))</f>
        <v/>
      </c>
      <c r="U22" s="17">
        <f>IF('Advanced Entry'!U22="","",IFERROR(MAX(0,MIN(10,ROUND(IF('Advanced Entry'!U$8="Decrease Risk",10-10*((IF('Advanced Entry'!U$5="Logarithm",LN(0.001+'Advanced Entry'!U22),IF('Advanced Entry'!U$5="Exponential",EXP('Advanced Entry'!U22),'Advanced Entry'!U22)))-'Advanced Entry'!U$6)/('Advanced Entry'!U$7-'Advanced Entry'!U$6),10*((IF('Advanced Entry'!U$5="Logarithm",LN(0.001+'Advanced Entry'!U22),IF('Advanced Entry'!U$5="Exponential",EXP('Advanced Entry'!U22),'Advanced Entry'!U22)))-'Advanced Entry'!U$6)/('Advanced Entry'!U$7-'Advanced Entry'!U$6)),1))),"No data"))</f>
        <v/>
      </c>
      <c r="V22" s="17">
        <f>IF('Advanced Entry'!V22="","",IFERROR(MAX(0,MIN(10,ROUND(IF('Advanced Entry'!V$8="Decrease Risk",10-10*((IF('Advanced Entry'!V$5="Logarithm",LN(0.001+'Advanced Entry'!V22),IF('Advanced Entry'!V$5="Exponential",EXP('Advanced Entry'!V22),'Advanced Entry'!V22)))-'Advanced Entry'!V$6)/('Advanced Entry'!V$7-'Advanced Entry'!V$6),10*((IF('Advanced Entry'!V$5="Logarithm",LN(0.001+'Advanced Entry'!V22),IF('Advanced Entry'!V$5="Exponential",EXP('Advanced Entry'!V22),'Advanced Entry'!V22)))-'Advanced Entry'!V$6)/('Advanced Entry'!V$7-'Advanced Entry'!V$6)),1))),"No data"))</f>
        <v/>
      </c>
      <c r="W22" s="17">
        <f>IF('Advanced Entry'!W22="","",IFERROR(MAX(0,MIN(10,ROUND(IF('Advanced Entry'!W$8="Decrease Risk",10-10*((IF('Advanced Entry'!W$5="Logarithm",LN(0.001+'Advanced Entry'!W22),IF('Advanced Entry'!W$5="Exponential",EXP('Advanced Entry'!W22),'Advanced Entry'!W22)))-'Advanced Entry'!W$6)/('Advanced Entry'!W$7-'Advanced Entry'!W$6),10*((IF('Advanced Entry'!W$5="Logarithm",LN(0.001+'Advanced Entry'!W22),IF('Advanced Entry'!W$5="Exponential",EXP('Advanced Entry'!W22),'Advanced Entry'!W22)))-'Advanced Entry'!W$6)/('Advanced Entry'!W$7-'Advanced Entry'!W$6)),1))),"No data"))</f>
        <v/>
      </c>
      <c r="X22" s="17">
        <f>IF('Advanced Entry'!X22="","",IFERROR(MAX(0,MIN(10,ROUND(IF('Advanced Entry'!X$8="Decrease Risk",10-10*((IF('Advanced Entry'!X$5="Logarithm",LN(0.001+'Advanced Entry'!X22),IF('Advanced Entry'!X$5="Exponential",EXP('Advanced Entry'!X22),'Advanced Entry'!X22)))-'Advanced Entry'!X$6)/('Advanced Entry'!X$7-'Advanced Entry'!X$6),10*((IF('Advanced Entry'!X$5="Logarithm",LN(0.001+'Advanced Entry'!X22),IF('Advanced Entry'!X$5="Exponential",EXP('Advanced Entry'!X22),'Advanced Entry'!X22)))-'Advanced Entry'!X$6)/('Advanced Entry'!X$7-'Advanced Entry'!X$6)),1))),"No data"))</f>
        <v/>
      </c>
      <c r="Y22" s="17">
        <f>IF('Advanced Entry'!Y22="","",IFERROR(MAX(0,MIN(10,ROUND(IF('Advanced Entry'!Y$8="Decrease Risk",10-10*((IF('Advanced Entry'!Y$5="Logarithm",LN(0.001+'Advanced Entry'!Y22),IF('Advanced Entry'!Y$5="Exponential",EXP('Advanced Entry'!Y22),'Advanced Entry'!Y22)))-'Advanced Entry'!Y$6)/('Advanced Entry'!Y$7-'Advanced Entry'!Y$6),10*((IF('Advanced Entry'!Y$5="Logarithm",LN(0.001+'Advanced Entry'!Y22),IF('Advanced Entry'!Y$5="Exponential",EXP('Advanced Entry'!Y22),'Advanced Entry'!Y22)))-'Advanced Entry'!Y$6)/('Advanced Entry'!Y$7-'Advanced Entry'!Y$6)),1))),"No data"))</f>
        <v/>
      </c>
      <c r="Z22" s="17">
        <f>IF('Advanced Entry'!Z22="","",IFERROR(MAX(0,MIN(10,ROUND(IF('Advanced Entry'!Z$8="Decrease Risk",10-10*((IF('Advanced Entry'!Z$5="Logarithm",LN(0.001+'Advanced Entry'!Z22),IF('Advanced Entry'!Z$5="Exponential",EXP('Advanced Entry'!Z22),'Advanced Entry'!Z22)))-'Advanced Entry'!Z$6)/('Advanced Entry'!Z$7-'Advanced Entry'!Z$6),10*((IF('Advanced Entry'!Z$5="Logarithm",LN(0.001+'Advanced Entry'!Z22),IF('Advanced Entry'!Z$5="Exponential",EXP('Advanced Entry'!Z22),'Advanced Entry'!Z22)))-'Advanced Entry'!Z$6)/('Advanced Entry'!Z$7-'Advanced Entry'!Z$6)),1))),"No data"))</f>
        <v/>
      </c>
      <c r="AA22" s="17">
        <f>IF('Advanced Entry'!AA22="","",IFERROR(MAX(0,MIN(10,ROUND(IF('Advanced Entry'!AA$8="Decrease Risk",10-10*((IF('Advanced Entry'!AA$5="Logarithm",LN(0.001+'Advanced Entry'!AA22),IF('Advanced Entry'!AA$5="Exponential",EXP('Advanced Entry'!AA22),'Advanced Entry'!AA22)))-'Advanced Entry'!AA$6)/('Advanced Entry'!AA$7-'Advanced Entry'!AA$6),10*((IF('Advanced Entry'!AA$5="Logarithm",LN(0.001+'Advanced Entry'!AA22),IF('Advanced Entry'!AA$5="Exponential",EXP('Advanced Entry'!AA22),'Advanced Entry'!AA22)))-'Advanced Entry'!AA$6)/('Advanced Entry'!AA$7-'Advanced Entry'!AA$6)),1))),"No data"))</f>
        <v/>
      </c>
      <c r="AB22" s="17">
        <f>IF('Advanced Entry'!AB22="","",IFERROR(MAX(0,MIN(10,ROUND(IF('Advanced Entry'!AB$8="Decrease Risk",10-10*((IF('Advanced Entry'!AB$5="Logarithm",LN(0.001+'Advanced Entry'!AB22),IF('Advanced Entry'!AB$5="Exponential",EXP('Advanced Entry'!AB22),'Advanced Entry'!AB22)))-'Advanced Entry'!AB$6)/('Advanced Entry'!AB$7-'Advanced Entry'!AB$6),10*((IF('Advanced Entry'!AB$5="Logarithm",LN(0.001+'Advanced Entry'!AB22),IF('Advanced Entry'!AB$5="Exponential",EXP('Advanced Entry'!AB22),'Advanced Entry'!AB22)))-'Advanced Entry'!AB$6)/('Advanced Entry'!AB$7-'Advanced Entry'!AB$6)),1))),"No data"))</f>
        <v/>
      </c>
    </row>
    <row r="23">
      <c r="A23" t="inlineStr">
        <is>
          <t>Dodoma</t>
        </is>
      </c>
      <c r="B23" t="inlineStr">
        <is>
          <t>Bahi District</t>
        </is>
      </c>
      <c r="C23" t="inlineStr">
        <is>
          <t>C007</t>
        </is>
      </c>
      <c r="D23" s="17">
        <f>IF('Advanced Entry'!D23="","",IFERROR(MAX(0,MIN(10,ROUND(IF('Advanced Entry'!D$8="Decrease Risk",10-10*((IF('Advanced Entry'!D$5="Logarithm",LN(0.001+'Advanced Entry'!D23),IF('Advanced Entry'!D$5="Exponential",EXP('Advanced Entry'!D23),'Advanced Entry'!D23)))-'Advanced Entry'!D$6)/('Advanced Entry'!D$7-'Advanced Entry'!D$6),10*((IF('Advanced Entry'!D$5="Logarithm",LN(0.001+'Advanced Entry'!D23),IF('Advanced Entry'!D$5="Exponential",EXP('Advanced Entry'!D23),'Advanced Entry'!D23)))-'Advanced Entry'!D$6)/('Advanced Entry'!D$7-'Advanced Entry'!D$6)),1))),"No data"))</f>
        <v/>
      </c>
      <c r="E23" s="17">
        <f>IF('Advanced Entry'!E23="","",IFERROR(MAX(0,MIN(10,ROUND(IF('Advanced Entry'!E$8="Decrease Risk",10-10*((IF('Advanced Entry'!E$5="Logarithm",LN(0.001+'Advanced Entry'!E23),IF('Advanced Entry'!E$5="Exponential",EXP('Advanced Entry'!E23),'Advanced Entry'!E23)))-'Advanced Entry'!E$6)/('Advanced Entry'!E$7-'Advanced Entry'!E$6),10*((IF('Advanced Entry'!E$5="Logarithm",LN(0.001+'Advanced Entry'!E23),IF('Advanced Entry'!E$5="Exponential",EXP('Advanced Entry'!E23),'Advanced Entry'!E23)))-'Advanced Entry'!E$6)/('Advanced Entry'!E$7-'Advanced Entry'!E$6)),1))),"No data"))</f>
        <v/>
      </c>
      <c r="F23" s="17">
        <f>IF('Advanced Entry'!F23="","",IFERROR(MAX(0,MIN(10,ROUND(IF('Advanced Entry'!F$8="Decrease Risk",10-10*((IF('Advanced Entry'!F$5="Logarithm",LN(0.001+'Advanced Entry'!F23),IF('Advanced Entry'!F$5="Exponential",EXP('Advanced Entry'!F23),'Advanced Entry'!F23)))-'Advanced Entry'!F$6)/('Advanced Entry'!F$7-'Advanced Entry'!F$6),10*((IF('Advanced Entry'!F$5="Logarithm",LN(0.001+'Advanced Entry'!F23),IF('Advanced Entry'!F$5="Exponential",EXP('Advanced Entry'!F23),'Advanced Entry'!F23)))-'Advanced Entry'!F$6)/('Advanced Entry'!F$7-'Advanced Entry'!F$6)),1))),"No data"))</f>
        <v/>
      </c>
      <c r="G23" s="17">
        <f>IF('Advanced Entry'!G23="","",IFERROR(MAX(0,MIN(10,ROUND(IF('Advanced Entry'!G$8="Decrease Risk",10-10*((IF('Advanced Entry'!G$5="Logarithm",LN(0.001+'Advanced Entry'!G23),IF('Advanced Entry'!G$5="Exponential",EXP('Advanced Entry'!G23),'Advanced Entry'!G23)))-'Advanced Entry'!G$6)/('Advanced Entry'!G$7-'Advanced Entry'!G$6),10*((IF('Advanced Entry'!G$5="Logarithm",LN(0.001+'Advanced Entry'!G23),IF('Advanced Entry'!G$5="Exponential",EXP('Advanced Entry'!G23),'Advanced Entry'!G23)))-'Advanced Entry'!G$6)/('Advanced Entry'!G$7-'Advanced Entry'!G$6)),1))),"No data"))</f>
        <v/>
      </c>
      <c r="H23" s="17">
        <f>IF('Advanced Entry'!H23="","",IFERROR(MAX(0,MIN(10,ROUND(IF('Advanced Entry'!H$8="Decrease Risk",10-10*((IF('Advanced Entry'!H$5="Logarithm",LN(0.001+'Advanced Entry'!H23),IF('Advanced Entry'!H$5="Exponential",EXP('Advanced Entry'!H23),'Advanced Entry'!H23)))-'Advanced Entry'!H$6)/('Advanced Entry'!H$7-'Advanced Entry'!H$6),10*((IF('Advanced Entry'!H$5="Logarithm",LN(0.001+'Advanced Entry'!H23),IF('Advanced Entry'!H$5="Exponential",EXP('Advanced Entry'!H23),'Advanced Entry'!H23)))-'Advanced Entry'!H$6)/('Advanced Entry'!H$7-'Advanced Entry'!H$6)),1))),"No data"))</f>
        <v/>
      </c>
      <c r="I23" s="17">
        <f>IF('Advanced Entry'!I23="","",IFERROR(MAX(0,MIN(10,ROUND(IF('Advanced Entry'!I$8="Decrease Risk",10-10*((IF('Advanced Entry'!I$5="Logarithm",LN(0.001+'Advanced Entry'!I23),IF('Advanced Entry'!I$5="Exponential",EXP('Advanced Entry'!I23),'Advanced Entry'!I23)))-'Advanced Entry'!I$6)/('Advanced Entry'!I$7-'Advanced Entry'!I$6),10*((IF('Advanced Entry'!I$5="Logarithm",LN(0.001+'Advanced Entry'!I23),IF('Advanced Entry'!I$5="Exponential",EXP('Advanced Entry'!I23),'Advanced Entry'!I23)))-'Advanced Entry'!I$6)/('Advanced Entry'!I$7-'Advanced Entry'!I$6)),1))),"No data"))</f>
        <v/>
      </c>
      <c r="J23" s="17">
        <f>IF('Advanced Entry'!J23="","",IFERROR(MAX(0,MIN(10,ROUND(IF('Advanced Entry'!J$8="Decrease Risk",10-10*((IF('Advanced Entry'!J$5="Logarithm",LN(0.001+'Advanced Entry'!J23),IF('Advanced Entry'!J$5="Exponential",EXP('Advanced Entry'!J23),'Advanced Entry'!J23)))-'Advanced Entry'!J$6)/('Advanced Entry'!J$7-'Advanced Entry'!J$6),10*((IF('Advanced Entry'!J$5="Logarithm",LN(0.001+'Advanced Entry'!J23),IF('Advanced Entry'!J$5="Exponential",EXP('Advanced Entry'!J23),'Advanced Entry'!J23)))-'Advanced Entry'!J$6)/('Advanced Entry'!J$7-'Advanced Entry'!J$6)),1))),"No data"))</f>
        <v/>
      </c>
      <c r="K23" s="17">
        <f>IF('Advanced Entry'!K23="","",IFERROR(MAX(0,MIN(10,ROUND(IF('Advanced Entry'!K$8="Decrease Risk",10-10*((IF('Advanced Entry'!K$5="Logarithm",LN(0.001+'Advanced Entry'!K23),IF('Advanced Entry'!K$5="Exponential",EXP('Advanced Entry'!K23),'Advanced Entry'!K23)))-'Advanced Entry'!K$6)/('Advanced Entry'!K$7-'Advanced Entry'!K$6),10*((IF('Advanced Entry'!K$5="Logarithm",LN(0.001+'Advanced Entry'!K23),IF('Advanced Entry'!K$5="Exponential",EXP('Advanced Entry'!K23),'Advanced Entry'!K23)))-'Advanced Entry'!K$6)/('Advanced Entry'!K$7-'Advanced Entry'!K$6)),1))),"No data"))</f>
        <v/>
      </c>
      <c r="L23" s="17">
        <f>IF('Advanced Entry'!L23="","",IFERROR(MAX(0,MIN(10,ROUND(IF('Advanced Entry'!L$8="Decrease Risk",10-10*((IF('Advanced Entry'!L$5="Logarithm",LN(0.001+'Advanced Entry'!L23),IF('Advanced Entry'!L$5="Exponential",EXP('Advanced Entry'!L23),'Advanced Entry'!L23)))-'Advanced Entry'!L$6)/('Advanced Entry'!L$7-'Advanced Entry'!L$6),10*((IF('Advanced Entry'!L$5="Logarithm",LN(0.001+'Advanced Entry'!L23),IF('Advanced Entry'!L$5="Exponential",EXP('Advanced Entry'!L23),'Advanced Entry'!L23)))-'Advanced Entry'!L$6)/('Advanced Entry'!L$7-'Advanced Entry'!L$6)),1))),"No data"))</f>
        <v/>
      </c>
      <c r="M23" s="17">
        <f>IF('Advanced Entry'!M23="","",IFERROR(MAX(0,MIN(10,ROUND(IF('Advanced Entry'!M$8="Decrease Risk",10-10*((IF('Advanced Entry'!M$5="Logarithm",LN(0.001+'Advanced Entry'!M23),IF('Advanced Entry'!M$5="Exponential",EXP('Advanced Entry'!M23),'Advanced Entry'!M23)))-'Advanced Entry'!M$6)/('Advanced Entry'!M$7-'Advanced Entry'!M$6),10*((IF('Advanced Entry'!M$5="Logarithm",LN(0.001+'Advanced Entry'!M23),IF('Advanced Entry'!M$5="Exponential",EXP('Advanced Entry'!M23),'Advanced Entry'!M23)))-'Advanced Entry'!M$6)/('Advanced Entry'!M$7-'Advanced Entry'!M$6)),1))),"No data"))</f>
        <v/>
      </c>
      <c r="N23" s="17">
        <f>IF('Advanced Entry'!N23="","",IFERROR(MAX(0,MIN(10,ROUND(IF('Advanced Entry'!N$8="Decrease Risk",10-10*((IF('Advanced Entry'!N$5="Logarithm",LN(0.001+'Advanced Entry'!N23),IF('Advanced Entry'!N$5="Exponential",EXP('Advanced Entry'!N23),'Advanced Entry'!N23)))-'Advanced Entry'!N$6)/('Advanced Entry'!N$7-'Advanced Entry'!N$6),10*((IF('Advanced Entry'!N$5="Logarithm",LN(0.001+'Advanced Entry'!N23),IF('Advanced Entry'!N$5="Exponential",EXP('Advanced Entry'!N23),'Advanced Entry'!N23)))-'Advanced Entry'!N$6)/('Advanced Entry'!N$7-'Advanced Entry'!N$6)),1))),"No data"))</f>
        <v/>
      </c>
      <c r="O23" s="17">
        <f>IF('Advanced Entry'!O23="","",IFERROR(MAX(0,MIN(10,ROUND(IF('Advanced Entry'!O$8="Decrease Risk",10-10*((IF('Advanced Entry'!O$5="Logarithm",LN(0.001+'Advanced Entry'!O23),IF('Advanced Entry'!O$5="Exponential",EXP('Advanced Entry'!O23),'Advanced Entry'!O23)))-'Advanced Entry'!O$6)/('Advanced Entry'!O$7-'Advanced Entry'!O$6),10*((IF('Advanced Entry'!O$5="Logarithm",LN(0.001+'Advanced Entry'!O23),IF('Advanced Entry'!O$5="Exponential",EXP('Advanced Entry'!O23),'Advanced Entry'!O23)))-'Advanced Entry'!O$6)/('Advanced Entry'!O$7-'Advanced Entry'!O$6)),1))),"No data"))</f>
        <v/>
      </c>
      <c r="P23" s="17">
        <f>IF('Advanced Entry'!P23="","",IFERROR(MAX(0,MIN(10,ROUND(IF('Advanced Entry'!P$8="Decrease Risk",10-10*((IF('Advanced Entry'!P$5="Logarithm",LN(0.001+'Advanced Entry'!P23),IF('Advanced Entry'!P$5="Exponential",EXP('Advanced Entry'!P23),'Advanced Entry'!P23)))-'Advanced Entry'!P$6)/('Advanced Entry'!P$7-'Advanced Entry'!P$6),10*((IF('Advanced Entry'!P$5="Logarithm",LN(0.001+'Advanced Entry'!P23),IF('Advanced Entry'!P$5="Exponential",EXP('Advanced Entry'!P23),'Advanced Entry'!P23)))-'Advanced Entry'!P$6)/('Advanced Entry'!P$7-'Advanced Entry'!P$6)),1))),"No data"))</f>
        <v/>
      </c>
      <c r="Q23" s="17">
        <f>IF('Advanced Entry'!Q23="","",IFERROR(MAX(0,MIN(10,ROUND(IF('Advanced Entry'!Q$8="Decrease Risk",10-10*((IF('Advanced Entry'!Q$5="Logarithm",LN(0.001+'Advanced Entry'!Q23),IF('Advanced Entry'!Q$5="Exponential",EXP('Advanced Entry'!Q23),'Advanced Entry'!Q23)))-'Advanced Entry'!Q$6)/('Advanced Entry'!Q$7-'Advanced Entry'!Q$6),10*((IF('Advanced Entry'!Q$5="Logarithm",LN(0.001+'Advanced Entry'!Q23),IF('Advanced Entry'!Q$5="Exponential",EXP('Advanced Entry'!Q23),'Advanced Entry'!Q23)))-'Advanced Entry'!Q$6)/('Advanced Entry'!Q$7-'Advanced Entry'!Q$6)),1))),"No data"))</f>
        <v/>
      </c>
      <c r="R23" s="17">
        <f>IF('Advanced Entry'!R23="","",IFERROR(MAX(0,MIN(10,ROUND(IF('Advanced Entry'!R$8="Decrease Risk",10-10*((IF('Advanced Entry'!R$5="Logarithm",LN(0.001+'Advanced Entry'!R23),IF('Advanced Entry'!R$5="Exponential",EXP('Advanced Entry'!R23),'Advanced Entry'!R23)))-'Advanced Entry'!R$6)/('Advanced Entry'!R$7-'Advanced Entry'!R$6),10*((IF('Advanced Entry'!R$5="Logarithm",LN(0.001+'Advanced Entry'!R23),IF('Advanced Entry'!R$5="Exponential",EXP('Advanced Entry'!R23),'Advanced Entry'!R23)))-'Advanced Entry'!R$6)/('Advanced Entry'!R$7-'Advanced Entry'!R$6)),1))),"No data"))</f>
        <v/>
      </c>
      <c r="S23" s="17">
        <f>IF('Advanced Entry'!S23="","",IFERROR(MAX(0,MIN(10,ROUND(IF('Advanced Entry'!S$8="Decrease Risk",10-10*((IF('Advanced Entry'!S$5="Logarithm",LN(0.001+'Advanced Entry'!S23),IF('Advanced Entry'!S$5="Exponential",EXP('Advanced Entry'!S23),'Advanced Entry'!S23)))-'Advanced Entry'!S$6)/('Advanced Entry'!S$7-'Advanced Entry'!S$6),10*((IF('Advanced Entry'!S$5="Logarithm",LN(0.001+'Advanced Entry'!S23),IF('Advanced Entry'!S$5="Exponential",EXP('Advanced Entry'!S23),'Advanced Entry'!S23)))-'Advanced Entry'!S$6)/('Advanced Entry'!S$7-'Advanced Entry'!S$6)),1))),"No data"))</f>
        <v/>
      </c>
      <c r="T23" s="17">
        <f>IF('Advanced Entry'!T23="","",IFERROR(MAX(0,MIN(10,ROUND(IF('Advanced Entry'!T$8="Decrease Risk",10-10*((IF('Advanced Entry'!T$5="Logarithm",LN(0.001+'Advanced Entry'!T23),IF('Advanced Entry'!T$5="Exponential",EXP('Advanced Entry'!T23),'Advanced Entry'!T23)))-'Advanced Entry'!T$6)/('Advanced Entry'!T$7-'Advanced Entry'!T$6),10*((IF('Advanced Entry'!T$5="Logarithm",LN(0.001+'Advanced Entry'!T23),IF('Advanced Entry'!T$5="Exponential",EXP('Advanced Entry'!T23),'Advanced Entry'!T23)))-'Advanced Entry'!T$6)/('Advanced Entry'!T$7-'Advanced Entry'!T$6)),1))),"No data"))</f>
        <v/>
      </c>
      <c r="U23" s="17">
        <f>IF('Advanced Entry'!U23="","",IFERROR(MAX(0,MIN(10,ROUND(IF('Advanced Entry'!U$8="Decrease Risk",10-10*((IF('Advanced Entry'!U$5="Logarithm",LN(0.001+'Advanced Entry'!U23),IF('Advanced Entry'!U$5="Exponential",EXP('Advanced Entry'!U23),'Advanced Entry'!U23)))-'Advanced Entry'!U$6)/('Advanced Entry'!U$7-'Advanced Entry'!U$6),10*((IF('Advanced Entry'!U$5="Logarithm",LN(0.001+'Advanced Entry'!U23),IF('Advanced Entry'!U$5="Exponential",EXP('Advanced Entry'!U23),'Advanced Entry'!U23)))-'Advanced Entry'!U$6)/('Advanced Entry'!U$7-'Advanced Entry'!U$6)),1))),"No data"))</f>
        <v/>
      </c>
      <c r="V23" s="17">
        <f>IF('Advanced Entry'!V23="","",IFERROR(MAX(0,MIN(10,ROUND(IF('Advanced Entry'!V$8="Decrease Risk",10-10*((IF('Advanced Entry'!V$5="Logarithm",LN(0.001+'Advanced Entry'!V23),IF('Advanced Entry'!V$5="Exponential",EXP('Advanced Entry'!V23),'Advanced Entry'!V23)))-'Advanced Entry'!V$6)/('Advanced Entry'!V$7-'Advanced Entry'!V$6),10*((IF('Advanced Entry'!V$5="Logarithm",LN(0.001+'Advanced Entry'!V23),IF('Advanced Entry'!V$5="Exponential",EXP('Advanced Entry'!V23),'Advanced Entry'!V23)))-'Advanced Entry'!V$6)/('Advanced Entry'!V$7-'Advanced Entry'!V$6)),1))),"No data"))</f>
        <v/>
      </c>
      <c r="W23" s="17">
        <f>IF('Advanced Entry'!W23="","",IFERROR(MAX(0,MIN(10,ROUND(IF('Advanced Entry'!W$8="Decrease Risk",10-10*((IF('Advanced Entry'!W$5="Logarithm",LN(0.001+'Advanced Entry'!W23),IF('Advanced Entry'!W$5="Exponential",EXP('Advanced Entry'!W23),'Advanced Entry'!W23)))-'Advanced Entry'!W$6)/('Advanced Entry'!W$7-'Advanced Entry'!W$6),10*((IF('Advanced Entry'!W$5="Logarithm",LN(0.001+'Advanced Entry'!W23),IF('Advanced Entry'!W$5="Exponential",EXP('Advanced Entry'!W23),'Advanced Entry'!W23)))-'Advanced Entry'!W$6)/('Advanced Entry'!W$7-'Advanced Entry'!W$6)),1))),"No data"))</f>
        <v/>
      </c>
      <c r="X23" s="17">
        <f>IF('Advanced Entry'!X23="","",IFERROR(MAX(0,MIN(10,ROUND(IF('Advanced Entry'!X$8="Decrease Risk",10-10*((IF('Advanced Entry'!X$5="Logarithm",LN(0.001+'Advanced Entry'!X23),IF('Advanced Entry'!X$5="Exponential",EXP('Advanced Entry'!X23),'Advanced Entry'!X23)))-'Advanced Entry'!X$6)/('Advanced Entry'!X$7-'Advanced Entry'!X$6),10*((IF('Advanced Entry'!X$5="Logarithm",LN(0.001+'Advanced Entry'!X23),IF('Advanced Entry'!X$5="Exponential",EXP('Advanced Entry'!X23),'Advanced Entry'!X23)))-'Advanced Entry'!X$6)/('Advanced Entry'!X$7-'Advanced Entry'!X$6)),1))),"No data"))</f>
        <v/>
      </c>
      <c r="Y23" s="17">
        <f>IF('Advanced Entry'!Y23="","",IFERROR(MAX(0,MIN(10,ROUND(IF('Advanced Entry'!Y$8="Decrease Risk",10-10*((IF('Advanced Entry'!Y$5="Logarithm",LN(0.001+'Advanced Entry'!Y23),IF('Advanced Entry'!Y$5="Exponential",EXP('Advanced Entry'!Y23),'Advanced Entry'!Y23)))-'Advanced Entry'!Y$6)/('Advanced Entry'!Y$7-'Advanced Entry'!Y$6),10*((IF('Advanced Entry'!Y$5="Logarithm",LN(0.001+'Advanced Entry'!Y23),IF('Advanced Entry'!Y$5="Exponential",EXP('Advanced Entry'!Y23),'Advanced Entry'!Y23)))-'Advanced Entry'!Y$6)/('Advanced Entry'!Y$7-'Advanced Entry'!Y$6)),1))),"No data"))</f>
        <v/>
      </c>
      <c r="Z23" s="17">
        <f>IF('Advanced Entry'!Z23="","",IFERROR(MAX(0,MIN(10,ROUND(IF('Advanced Entry'!Z$8="Decrease Risk",10-10*((IF('Advanced Entry'!Z$5="Logarithm",LN(0.001+'Advanced Entry'!Z23),IF('Advanced Entry'!Z$5="Exponential",EXP('Advanced Entry'!Z23),'Advanced Entry'!Z23)))-'Advanced Entry'!Z$6)/('Advanced Entry'!Z$7-'Advanced Entry'!Z$6),10*((IF('Advanced Entry'!Z$5="Logarithm",LN(0.001+'Advanced Entry'!Z23),IF('Advanced Entry'!Z$5="Exponential",EXP('Advanced Entry'!Z23),'Advanced Entry'!Z23)))-'Advanced Entry'!Z$6)/('Advanced Entry'!Z$7-'Advanced Entry'!Z$6)),1))),"No data"))</f>
        <v/>
      </c>
      <c r="AA23" s="17">
        <f>IF('Advanced Entry'!AA23="","",IFERROR(MAX(0,MIN(10,ROUND(IF('Advanced Entry'!AA$8="Decrease Risk",10-10*((IF('Advanced Entry'!AA$5="Logarithm",LN(0.001+'Advanced Entry'!AA23),IF('Advanced Entry'!AA$5="Exponential",EXP('Advanced Entry'!AA23),'Advanced Entry'!AA23)))-'Advanced Entry'!AA$6)/('Advanced Entry'!AA$7-'Advanced Entry'!AA$6),10*((IF('Advanced Entry'!AA$5="Logarithm",LN(0.001+'Advanced Entry'!AA23),IF('Advanced Entry'!AA$5="Exponential",EXP('Advanced Entry'!AA23),'Advanced Entry'!AA23)))-'Advanced Entry'!AA$6)/('Advanced Entry'!AA$7-'Advanced Entry'!AA$6)),1))),"No data"))</f>
        <v/>
      </c>
      <c r="AB23" s="17">
        <f>IF('Advanced Entry'!AB23="","",IFERROR(MAX(0,MIN(10,ROUND(IF('Advanced Entry'!AB$8="Decrease Risk",10-10*((IF('Advanced Entry'!AB$5="Logarithm",LN(0.001+'Advanced Entry'!AB23),IF('Advanced Entry'!AB$5="Exponential",EXP('Advanced Entry'!AB23),'Advanced Entry'!AB23)))-'Advanced Entry'!AB$6)/('Advanced Entry'!AB$7-'Advanced Entry'!AB$6),10*((IF('Advanced Entry'!AB$5="Logarithm",LN(0.001+'Advanced Entry'!AB23),IF('Advanced Entry'!AB$5="Exponential",EXP('Advanced Entry'!AB23),'Advanced Entry'!AB23)))-'Advanced Entry'!AB$6)/('Advanced Entry'!AB$7-'Advanced Entry'!AB$6)),1))),"No data"))</f>
        <v/>
      </c>
    </row>
    <row r="24">
      <c r="A24" t="inlineStr">
        <is>
          <t>Dodoma</t>
        </is>
      </c>
      <c r="B24" t="inlineStr">
        <is>
          <t>Chamwino District</t>
        </is>
      </c>
      <c r="C24" t="inlineStr">
        <is>
          <t>C005</t>
        </is>
      </c>
      <c r="D24" s="17">
        <f>IF('Advanced Entry'!D24="","",IFERROR(MAX(0,MIN(10,ROUND(IF('Advanced Entry'!D$8="Decrease Risk",10-10*((IF('Advanced Entry'!D$5="Logarithm",LN(0.001+'Advanced Entry'!D24),IF('Advanced Entry'!D$5="Exponential",EXP('Advanced Entry'!D24),'Advanced Entry'!D24)))-'Advanced Entry'!D$6)/('Advanced Entry'!D$7-'Advanced Entry'!D$6),10*((IF('Advanced Entry'!D$5="Logarithm",LN(0.001+'Advanced Entry'!D24),IF('Advanced Entry'!D$5="Exponential",EXP('Advanced Entry'!D24),'Advanced Entry'!D24)))-'Advanced Entry'!D$6)/('Advanced Entry'!D$7-'Advanced Entry'!D$6)),1))),"No data"))</f>
        <v/>
      </c>
      <c r="E24" s="17">
        <f>IF('Advanced Entry'!E24="","",IFERROR(MAX(0,MIN(10,ROUND(IF('Advanced Entry'!E$8="Decrease Risk",10-10*((IF('Advanced Entry'!E$5="Logarithm",LN(0.001+'Advanced Entry'!E24),IF('Advanced Entry'!E$5="Exponential",EXP('Advanced Entry'!E24),'Advanced Entry'!E24)))-'Advanced Entry'!E$6)/('Advanced Entry'!E$7-'Advanced Entry'!E$6),10*((IF('Advanced Entry'!E$5="Logarithm",LN(0.001+'Advanced Entry'!E24),IF('Advanced Entry'!E$5="Exponential",EXP('Advanced Entry'!E24),'Advanced Entry'!E24)))-'Advanced Entry'!E$6)/('Advanced Entry'!E$7-'Advanced Entry'!E$6)),1))),"No data"))</f>
        <v/>
      </c>
      <c r="F24" s="17">
        <f>IF('Advanced Entry'!F24="","",IFERROR(MAX(0,MIN(10,ROUND(IF('Advanced Entry'!F$8="Decrease Risk",10-10*((IF('Advanced Entry'!F$5="Logarithm",LN(0.001+'Advanced Entry'!F24),IF('Advanced Entry'!F$5="Exponential",EXP('Advanced Entry'!F24),'Advanced Entry'!F24)))-'Advanced Entry'!F$6)/('Advanced Entry'!F$7-'Advanced Entry'!F$6),10*((IF('Advanced Entry'!F$5="Logarithm",LN(0.001+'Advanced Entry'!F24),IF('Advanced Entry'!F$5="Exponential",EXP('Advanced Entry'!F24),'Advanced Entry'!F24)))-'Advanced Entry'!F$6)/('Advanced Entry'!F$7-'Advanced Entry'!F$6)),1))),"No data"))</f>
        <v/>
      </c>
      <c r="G24" s="17">
        <f>IF('Advanced Entry'!G24="","",IFERROR(MAX(0,MIN(10,ROUND(IF('Advanced Entry'!G$8="Decrease Risk",10-10*((IF('Advanced Entry'!G$5="Logarithm",LN(0.001+'Advanced Entry'!G24),IF('Advanced Entry'!G$5="Exponential",EXP('Advanced Entry'!G24),'Advanced Entry'!G24)))-'Advanced Entry'!G$6)/('Advanced Entry'!G$7-'Advanced Entry'!G$6),10*((IF('Advanced Entry'!G$5="Logarithm",LN(0.001+'Advanced Entry'!G24),IF('Advanced Entry'!G$5="Exponential",EXP('Advanced Entry'!G24),'Advanced Entry'!G24)))-'Advanced Entry'!G$6)/('Advanced Entry'!G$7-'Advanced Entry'!G$6)),1))),"No data"))</f>
        <v/>
      </c>
      <c r="H24" s="17">
        <f>IF('Advanced Entry'!H24="","",IFERROR(MAX(0,MIN(10,ROUND(IF('Advanced Entry'!H$8="Decrease Risk",10-10*((IF('Advanced Entry'!H$5="Logarithm",LN(0.001+'Advanced Entry'!H24),IF('Advanced Entry'!H$5="Exponential",EXP('Advanced Entry'!H24),'Advanced Entry'!H24)))-'Advanced Entry'!H$6)/('Advanced Entry'!H$7-'Advanced Entry'!H$6),10*((IF('Advanced Entry'!H$5="Logarithm",LN(0.001+'Advanced Entry'!H24),IF('Advanced Entry'!H$5="Exponential",EXP('Advanced Entry'!H24),'Advanced Entry'!H24)))-'Advanced Entry'!H$6)/('Advanced Entry'!H$7-'Advanced Entry'!H$6)),1))),"No data"))</f>
        <v/>
      </c>
      <c r="I24" s="17">
        <f>IF('Advanced Entry'!I24="","",IFERROR(MAX(0,MIN(10,ROUND(IF('Advanced Entry'!I$8="Decrease Risk",10-10*((IF('Advanced Entry'!I$5="Logarithm",LN(0.001+'Advanced Entry'!I24),IF('Advanced Entry'!I$5="Exponential",EXP('Advanced Entry'!I24),'Advanced Entry'!I24)))-'Advanced Entry'!I$6)/('Advanced Entry'!I$7-'Advanced Entry'!I$6),10*((IF('Advanced Entry'!I$5="Logarithm",LN(0.001+'Advanced Entry'!I24),IF('Advanced Entry'!I$5="Exponential",EXP('Advanced Entry'!I24),'Advanced Entry'!I24)))-'Advanced Entry'!I$6)/('Advanced Entry'!I$7-'Advanced Entry'!I$6)),1))),"No data"))</f>
        <v/>
      </c>
      <c r="J24" s="17">
        <f>IF('Advanced Entry'!J24="","",IFERROR(MAX(0,MIN(10,ROUND(IF('Advanced Entry'!J$8="Decrease Risk",10-10*((IF('Advanced Entry'!J$5="Logarithm",LN(0.001+'Advanced Entry'!J24),IF('Advanced Entry'!J$5="Exponential",EXP('Advanced Entry'!J24),'Advanced Entry'!J24)))-'Advanced Entry'!J$6)/('Advanced Entry'!J$7-'Advanced Entry'!J$6),10*((IF('Advanced Entry'!J$5="Logarithm",LN(0.001+'Advanced Entry'!J24),IF('Advanced Entry'!J$5="Exponential",EXP('Advanced Entry'!J24),'Advanced Entry'!J24)))-'Advanced Entry'!J$6)/('Advanced Entry'!J$7-'Advanced Entry'!J$6)),1))),"No data"))</f>
        <v/>
      </c>
      <c r="K24" s="17">
        <f>IF('Advanced Entry'!K24="","",IFERROR(MAX(0,MIN(10,ROUND(IF('Advanced Entry'!K$8="Decrease Risk",10-10*((IF('Advanced Entry'!K$5="Logarithm",LN(0.001+'Advanced Entry'!K24),IF('Advanced Entry'!K$5="Exponential",EXP('Advanced Entry'!K24),'Advanced Entry'!K24)))-'Advanced Entry'!K$6)/('Advanced Entry'!K$7-'Advanced Entry'!K$6),10*((IF('Advanced Entry'!K$5="Logarithm",LN(0.001+'Advanced Entry'!K24),IF('Advanced Entry'!K$5="Exponential",EXP('Advanced Entry'!K24),'Advanced Entry'!K24)))-'Advanced Entry'!K$6)/('Advanced Entry'!K$7-'Advanced Entry'!K$6)),1))),"No data"))</f>
        <v/>
      </c>
      <c r="L24" s="17">
        <f>IF('Advanced Entry'!L24="","",IFERROR(MAX(0,MIN(10,ROUND(IF('Advanced Entry'!L$8="Decrease Risk",10-10*((IF('Advanced Entry'!L$5="Logarithm",LN(0.001+'Advanced Entry'!L24),IF('Advanced Entry'!L$5="Exponential",EXP('Advanced Entry'!L24),'Advanced Entry'!L24)))-'Advanced Entry'!L$6)/('Advanced Entry'!L$7-'Advanced Entry'!L$6),10*((IF('Advanced Entry'!L$5="Logarithm",LN(0.001+'Advanced Entry'!L24),IF('Advanced Entry'!L$5="Exponential",EXP('Advanced Entry'!L24),'Advanced Entry'!L24)))-'Advanced Entry'!L$6)/('Advanced Entry'!L$7-'Advanced Entry'!L$6)),1))),"No data"))</f>
        <v/>
      </c>
      <c r="M24" s="17">
        <f>IF('Advanced Entry'!M24="","",IFERROR(MAX(0,MIN(10,ROUND(IF('Advanced Entry'!M$8="Decrease Risk",10-10*((IF('Advanced Entry'!M$5="Logarithm",LN(0.001+'Advanced Entry'!M24),IF('Advanced Entry'!M$5="Exponential",EXP('Advanced Entry'!M24),'Advanced Entry'!M24)))-'Advanced Entry'!M$6)/('Advanced Entry'!M$7-'Advanced Entry'!M$6),10*((IF('Advanced Entry'!M$5="Logarithm",LN(0.001+'Advanced Entry'!M24),IF('Advanced Entry'!M$5="Exponential",EXP('Advanced Entry'!M24),'Advanced Entry'!M24)))-'Advanced Entry'!M$6)/('Advanced Entry'!M$7-'Advanced Entry'!M$6)),1))),"No data"))</f>
        <v/>
      </c>
      <c r="N24" s="17">
        <f>IF('Advanced Entry'!N24="","",IFERROR(MAX(0,MIN(10,ROUND(IF('Advanced Entry'!N$8="Decrease Risk",10-10*((IF('Advanced Entry'!N$5="Logarithm",LN(0.001+'Advanced Entry'!N24),IF('Advanced Entry'!N$5="Exponential",EXP('Advanced Entry'!N24),'Advanced Entry'!N24)))-'Advanced Entry'!N$6)/('Advanced Entry'!N$7-'Advanced Entry'!N$6),10*((IF('Advanced Entry'!N$5="Logarithm",LN(0.001+'Advanced Entry'!N24),IF('Advanced Entry'!N$5="Exponential",EXP('Advanced Entry'!N24),'Advanced Entry'!N24)))-'Advanced Entry'!N$6)/('Advanced Entry'!N$7-'Advanced Entry'!N$6)),1))),"No data"))</f>
        <v/>
      </c>
      <c r="O24" s="17">
        <f>IF('Advanced Entry'!O24="","",IFERROR(MAX(0,MIN(10,ROUND(IF('Advanced Entry'!O$8="Decrease Risk",10-10*((IF('Advanced Entry'!O$5="Logarithm",LN(0.001+'Advanced Entry'!O24),IF('Advanced Entry'!O$5="Exponential",EXP('Advanced Entry'!O24),'Advanced Entry'!O24)))-'Advanced Entry'!O$6)/('Advanced Entry'!O$7-'Advanced Entry'!O$6),10*((IF('Advanced Entry'!O$5="Logarithm",LN(0.001+'Advanced Entry'!O24),IF('Advanced Entry'!O$5="Exponential",EXP('Advanced Entry'!O24),'Advanced Entry'!O24)))-'Advanced Entry'!O$6)/('Advanced Entry'!O$7-'Advanced Entry'!O$6)),1))),"No data"))</f>
        <v/>
      </c>
      <c r="P24" s="17">
        <f>IF('Advanced Entry'!P24="","",IFERROR(MAX(0,MIN(10,ROUND(IF('Advanced Entry'!P$8="Decrease Risk",10-10*((IF('Advanced Entry'!P$5="Logarithm",LN(0.001+'Advanced Entry'!P24),IF('Advanced Entry'!P$5="Exponential",EXP('Advanced Entry'!P24),'Advanced Entry'!P24)))-'Advanced Entry'!P$6)/('Advanced Entry'!P$7-'Advanced Entry'!P$6),10*((IF('Advanced Entry'!P$5="Logarithm",LN(0.001+'Advanced Entry'!P24),IF('Advanced Entry'!P$5="Exponential",EXP('Advanced Entry'!P24),'Advanced Entry'!P24)))-'Advanced Entry'!P$6)/('Advanced Entry'!P$7-'Advanced Entry'!P$6)),1))),"No data"))</f>
        <v/>
      </c>
      <c r="Q24" s="17">
        <f>IF('Advanced Entry'!Q24="","",IFERROR(MAX(0,MIN(10,ROUND(IF('Advanced Entry'!Q$8="Decrease Risk",10-10*((IF('Advanced Entry'!Q$5="Logarithm",LN(0.001+'Advanced Entry'!Q24),IF('Advanced Entry'!Q$5="Exponential",EXP('Advanced Entry'!Q24),'Advanced Entry'!Q24)))-'Advanced Entry'!Q$6)/('Advanced Entry'!Q$7-'Advanced Entry'!Q$6),10*((IF('Advanced Entry'!Q$5="Logarithm",LN(0.001+'Advanced Entry'!Q24),IF('Advanced Entry'!Q$5="Exponential",EXP('Advanced Entry'!Q24),'Advanced Entry'!Q24)))-'Advanced Entry'!Q$6)/('Advanced Entry'!Q$7-'Advanced Entry'!Q$6)),1))),"No data"))</f>
        <v/>
      </c>
      <c r="R24" s="17">
        <f>IF('Advanced Entry'!R24="","",IFERROR(MAX(0,MIN(10,ROUND(IF('Advanced Entry'!R$8="Decrease Risk",10-10*((IF('Advanced Entry'!R$5="Logarithm",LN(0.001+'Advanced Entry'!R24),IF('Advanced Entry'!R$5="Exponential",EXP('Advanced Entry'!R24),'Advanced Entry'!R24)))-'Advanced Entry'!R$6)/('Advanced Entry'!R$7-'Advanced Entry'!R$6),10*((IF('Advanced Entry'!R$5="Logarithm",LN(0.001+'Advanced Entry'!R24),IF('Advanced Entry'!R$5="Exponential",EXP('Advanced Entry'!R24),'Advanced Entry'!R24)))-'Advanced Entry'!R$6)/('Advanced Entry'!R$7-'Advanced Entry'!R$6)),1))),"No data"))</f>
        <v/>
      </c>
      <c r="S24" s="17">
        <f>IF('Advanced Entry'!S24="","",IFERROR(MAX(0,MIN(10,ROUND(IF('Advanced Entry'!S$8="Decrease Risk",10-10*((IF('Advanced Entry'!S$5="Logarithm",LN(0.001+'Advanced Entry'!S24),IF('Advanced Entry'!S$5="Exponential",EXP('Advanced Entry'!S24),'Advanced Entry'!S24)))-'Advanced Entry'!S$6)/('Advanced Entry'!S$7-'Advanced Entry'!S$6),10*((IF('Advanced Entry'!S$5="Logarithm",LN(0.001+'Advanced Entry'!S24),IF('Advanced Entry'!S$5="Exponential",EXP('Advanced Entry'!S24),'Advanced Entry'!S24)))-'Advanced Entry'!S$6)/('Advanced Entry'!S$7-'Advanced Entry'!S$6)),1))),"No data"))</f>
        <v/>
      </c>
      <c r="T24" s="17">
        <f>IF('Advanced Entry'!T24="","",IFERROR(MAX(0,MIN(10,ROUND(IF('Advanced Entry'!T$8="Decrease Risk",10-10*((IF('Advanced Entry'!T$5="Logarithm",LN(0.001+'Advanced Entry'!T24),IF('Advanced Entry'!T$5="Exponential",EXP('Advanced Entry'!T24),'Advanced Entry'!T24)))-'Advanced Entry'!T$6)/('Advanced Entry'!T$7-'Advanced Entry'!T$6),10*((IF('Advanced Entry'!T$5="Logarithm",LN(0.001+'Advanced Entry'!T24),IF('Advanced Entry'!T$5="Exponential",EXP('Advanced Entry'!T24),'Advanced Entry'!T24)))-'Advanced Entry'!T$6)/('Advanced Entry'!T$7-'Advanced Entry'!T$6)),1))),"No data"))</f>
        <v/>
      </c>
      <c r="U24" s="17">
        <f>IF('Advanced Entry'!U24="","",IFERROR(MAX(0,MIN(10,ROUND(IF('Advanced Entry'!U$8="Decrease Risk",10-10*((IF('Advanced Entry'!U$5="Logarithm",LN(0.001+'Advanced Entry'!U24),IF('Advanced Entry'!U$5="Exponential",EXP('Advanced Entry'!U24),'Advanced Entry'!U24)))-'Advanced Entry'!U$6)/('Advanced Entry'!U$7-'Advanced Entry'!U$6),10*((IF('Advanced Entry'!U$5="Logarithm",LN(0.001+'Advanced Entry'!U24),IF('Advanced Entry'!U$5="Exponential",EXP('Advanced Entry'!U24),'Advanced Entry'!U24)))-'Advanced Entry'!U$6)/('Advanced Entry'!U$7-'Advanced Entry'!U$6)),1))),"No data"))</f>
        <v/>
      </c>
      <c r="V24" s="17">
        <f>IF('Advanced Entry'!V24="","",IFERROR(MAX(0,MIN(10,ROUND(IF('Advanced Entry'!V$8="Decrease Risk",10-10*((IF('Advanced Entry'!V$5="Logarithm",LN(0.001+'Advanced Entry'!V24),IF('Advanced Entry'!V$5="Exponential",EXP('Advanced Entry'!V24),'Advanced Entry'!V24)))-'Advanced Entry'!V$6)/('Advanced Entry'!V$7-'Advanced Entry'!V$6),10*((IF('Advanced Entry'!V$5="Logarithm",LN(0.001+'Advanced Entry'!V24),IF('Advanced Entry'!V$5="Exponential",EXP('Advanced Entry'!V24),'Advanced Entry'!V24)))-'Advanced Entry'!V$6)/('Advanced Entry'!V$7-'Advanced Entry'!V$6)),1))),"No data"))</f>
        <v/>
      </c>
      <c r="W24" s="17">
        <f>IF('Advanced Entry'!W24="","",IFERROR(MAX(0,MIN(10,ROUND(IF('Advanced Entry'!W$8="Decrease Risk",10-10*((IF('Advanced Entry'!W$5="Logarithm",LN(0.001+'Advanced Entry'!W24),IF('Advanced Entry'!W$5="Exponential",EXP('Advanced Entry'!W24),'Advanced Entry'!W24)))-'Advanced Entry'!W$6)/('Advanced Entry'!W$7-'Advanced Entry'!W$6),10*((IF('Advanced Entry'!W$5="Logarithm",LN(0.001+'Advanced Entry'!W24),IF('Advanced Entry'!W$5="Exponential",EXP('Advanced Entry'!W24),'Advanced Entry'!W24)))-'Advanced Entry'!W$6)/('Advanced Entry'!W$7-'Advanced Entry'!W$6)),1))),"No data"))</f>
        <v/>
      </c>
      <c r="X24" s="17">
        <f>IF('Advanced Entry'!X24="","",IFERROR(MAX(0,MIN(10,ROUND(IF('Advanced Entry'!X$8="Decrease Risk",10-10*((IF('Advanced Entry'!X$5="Logarithm",LN(0.001+'Advanced Entry'!X24),IF('Advanced Entry'!X$5="Exponential",EXP('Advanced Entry'!X24),'Advanced Entry'!X24)))-'Advanced Entry'!X$6)/('Advanced Entry'!X$7-'Advanced Entry'!X$6),10*((IF('Advanced Entry'!X$5="Logarithm",LN(0.001+'Advanced Entry'!X24),IF('Advanced Entry'!X$5="Exponential",EXP('Advanced Entry'!X24),'Advanced Entry'!X24)))-'Advanced Entry'!X$6)/('Advanced Entry'!X$7-'Advanced Entry'!X$6)),1))),"No data"))</f>
        <v/>
      </c>
      <c r="Y24" s="17">
        <f>IF('Advanced Entry'!Y24="","",IFERROR(MAX(0,MIN(10,ROUND(IF('Advanced Entry'!Y$8="Decrease Risk",10-10*((IF('Advanced Entry'!Y$5="Logarithm",LN(0.001+'Advanced Entry'!Y24),IF('Advanced Entry'!Y$5="Exponential",EXP('Advanced Entry'!Y24),'Advanced Entry'!Y24)))-'Advanced Entry'!Y$6)/('Advanced Entry'!Y$7-'Advanced Entry'!Y$6),10*((IF('Advanced Entry'!Y$5="Logarithm",LN(0.001+'Advanced Entry'!Y24),IF('Advanced Entry'!Y$5="Exponential",EXP('Advanced Entry'!Y24),'Advanced Entry'!Y24)))-'Advanced Entry'!Y$6)/('Advanced Entry'!Y$7-'Advanced Entry'!Y$6)),1))),"No data"))</f>
        <v/>
      </c>
      <c r="Z24" s="17">
        <f>IF('Advanced Entry'!Z24="","",IFERROR(MAX(0,MIN(10,ROUND(IF('Advanced Entry'!Z$8="Decrease Risk",10-10*((IF('Advanced Entry'!Z$5="Logarithm",LN(0.001+'Advanced Entry'!Z24),IF('Advanced Entry'!Z$5="Exponential",EXP('Advanced Entry'!Z24),'Advanced Entry'!Z24)))-'Advanced Entry'!Z$6)/('Advanced Entry'!Z$7-'Advanced Entry'!Z$6),10*((IF('Advanced Entry'!Z$5="Logarithm",LN(0.001+'Advanced Entry'!Z24),IF('Advanced Entry'!Z$5="Exponential",EXP('Advanced Entry'!Z24),'Advanced Entry'!Z24)))-'Advanced Entry'!Z$6)/('Advanced Entry'!Z$7-'Advanced Entry'!Z$6)),1))),"No data"))</f>
        <v/>
      </c>
      <c r="AA24" s="17">
        <f>IF('Advanced Entry'!AA24="","",IFERROR(MAX(0,MIN(10,ROUND(IF('Advanced Entry'!AA$8="Decrease Risk",10-10*((IF('Advanced Entry'!AA$5="Logarithm",LN(0.001+'Advanced Entry'!AA24),IF('Advanced Entry'!AA$5="Exponential",EXP('Advanced Entry'!AA24),'Advanced Entry'!AA24)))-'Advanced Entry'!AA$6)/('Advanced Entry'!AA$7-'Advanced Entry'!AA$6),10*((IF('Advanced Entry'!AA$5="Logarithm",LN(0.001+'Advanced Entry'!AA24),IF('Advanced Entry'!AA$5="Exponential",EXP('Advanced Entry'!AA24),'Advanced Entry'!AA24)))-'Advanced Entry'!AA$6)/('Advanced Entry'!AA$7-'Advanced Entry'!AA$6)),1))),"No data"))</f>
        <v/>
      </c>
      <c r="AB24" s="17">
        <f>IF('Advanced Entry'!AB24="","",IFERROR(MAX(0,MIN(10,ROUND(IF('Advanced Entry'!AB$8="Decrease Risk",10-10*((IF('Advanced Entry'!AB$5="Logarithm",LN(0.001+'Advanced Entry'!AB24),IF('Advanced Entry'!AB$5="Exponential",EXP('Advanced Entry'!AB24),'Advanced Entry'!AB24)))-'Advanced Entry'!AB$6)/('Advanced Entry'!AB$7-'Advanced Entry'!AB$6),10*((IF('Advanced Entry'!AB$5="Logarithm",LN(0.001+'Advanced Entry'!AB24),IF('Advanced Entry'!AB$5="Exponential",EXP('Advanced Entry'!AB24),'Advanced Entry'!AB24)))-'Advanced Entry'!AB$6)/('Advanced Entry'!AB$7-'Advanced Entry'!AB$6)),1))),"No data"))</f>
        <v/>
      </c>
    </row>
    <row r="25">
      <c r="A25" t="inlineStr">
        <is>
          <t>Dodoma</t>
        </is>
      </c>
      <c r="B25" t="inlineStr">
        <is>
          <t>Chemba District</t>
        </is>
      </c>
      <c r="C25" t="inlineStr">
        <is>
          <t>C008</t>
        </is>
      </c>
      <c r="D25" s="17">
        <f>IF('Advanced Entry'!D25="","",IFERROR(MAX(0,MIN(10,ROUND(IF('Advanced Entry'!D$8="Decrease Risk",10-10*((IF('Advanced Entry'!D$5="Logarithm",LN(0.001+'Advanced Entry'!D25),IF('Advanced Entry'!D$5="Exponential",EXP('Advanced Entry'!D25),'Advanced Entry'!D25)))-'Advanced Entry'!D$6)/('Advanced Entry'!D$7-'Advanced Entry'!D$6),10*((IF('Advanced Entry'!D$5="Logarithm",LN(0.001+'Advanced Entry'!D25),IF('Advanced Entry'!D$5="Exponential",EXP('Advanced Entry'!D25),'Advanced Entry'!D25)))-'Advanced Entry'!D$6)/('Advanced Entry'!D$7-'Advanced Entry'!D$6)),1))),"No data"))</f>
        <v/>
      </c>
      <c r="E25" s="17">
        <f>IF('Advanced Entry'!E25="","",IFERROR(MAX(0,MIN(10,ROUND(IF('Advanced Entry'!E$8="Decrease Risk",10-10*((IF('Advanced Entry'!E$5="Logarithm",LN(0.001+'Advanced Entry'!E25),IF('Advanced Entry'!E$5="Exponential",EXP('Advanced Entry'!E25),'Advanced Entry'!E25)))-'Advanced Entry'!E$6)/('Advanced Entry'!E$7-'Advanced Entry'!E$6),10*((IF('Advanced Entry'!E$5="Logarithm",LN(0.001+'Advanced Entry'!E25),IF('Advanced Entry'!E$5="Exponential",EXP('Advanced Entry'!E25),'Advanced Entry'!E25)))-'Advanced Entry'!E$6)/('Advanced Entry'!E$7-'Advanced Entry'!E$6)),1))),"No data"))</f>
        <v/>
      </c>
      <c r="F25" s="17">
        <f>IF('Advanced Entry'!F25="","",IFERROR(MAX(0,MIN(10,ROUND(IF('Advanced Entry'!F$8="Decrease Risk",10-10*((IF('Advanced Entry'!F$5="Logarithm",LN(0.001+'Advanced Entry'!F25),IF('Advanced Entry'!F$5="Exponential",EXP('Advanced Entry'!F25),'Advanced Entry'!F25)))-'Advanced Entry'!F$6)/('Advanced Entry'!F$7-'Advanced Entry'!F$6),10*((IF('Advanced Entry'!F$5="Logarithm",LN(0.001+'Advanced Entry'!F25),IF('Advanced Entry'!F$5="Exponential",EXP('Advanced Entry'!F25),'Advanced Entry'!F25)))-'Advanced Entry'!F$6)/('Advanced Entry'!F$7-'Advanced Entry'!F$6)),1))),"No data"))</f>
        <v/>
      </c>
      <c r="G25" s="17">
        <f>IF('Advanced Entry'!G25="","",IFERROR(MAX(0,MIN(10,ROUND(IF('Advanced Entry'!G$8="Decrease Risk",10-10*((IF('Advanced Entry'!G$5="Logarithm",LN(0.001+'Advanced Entry'!G25),IF('Advanced Entry'!G$5="Exponential",EXP('Advanced Entry'!G25),'Advanced Entry'!G25)))-'Advanced Entry'!G$6)/('Advanced Entry'!G$7-'Advanced Entry'!G$6),10*((IF('Advanced Entry'!G$5="Logarithm",LN(0.001+'Advanced Entry'!G25),IF('Advanced Entry'!G$5="Exponential",EXP('Advanced Entry'!G25),'Advanced Entry'!G25)))-'Advanced Entry'!G$6)/('Advanced Entry'!G$7-'Advanced Entry'!G$6)),1))),"No data"))</f>
        <v/>
      </c>
      <c r="H25" s="17">
        <f>IF('Advanced Entry'!H25="","",IFERROR(MAX(0,MIN(10,ROUND(IF('Advanced Entry'!H$8="Decrease Risk",10-10*((IF('Advanced Entry'!H$5="Logarithm",LN(0.001+'Advanced Entry'!H25),IF('Advanced Entry'!H$5="Exponential",EXP('Advanced Entry'!H25),'Advanced Entry'!H25)))-'Advanced Entry'!H$6)/('Advanced Entry'!H$7-'Advanced Entry'!H$6),10*((IF('Advanced Entry'!H$5="Logarithm",LN(0.001+'Advanced Entry'!H25),IF('Advanced Entry'!H$5="Exponential",EXP('Advanced Entry'!H25),'Advanced Entry'!H25)))-'Advanced Entry'!H$6)/('Advanced Entry'!H$7-'Advanced Entry'!H$6)),1))),"No data"))</f>
        <v/>
      </c>
      <c r="I25" s="17">
        <f>IF('Advanced Entry'!I25="","",IFERROR(MAX(0,MIN(10,ROUND(IF('Advanced Entry'!I$8="Decrease Risk",10-10*((IF('Advanced Entry'!I$5="Logarithm",LN(0.001+'Advanced Entry'!I25),IF('Advanced Entry'!I$5="Exponential",EXP('Advanced Entry'!I25),'Advanced Entry'!I25)))-'Advanced Entry'!I$6)/('Advanced Entry'!I$7-'Advanced Entry'!I$6),10*((IF('Advanced Entry'!I$5="Logarithm",LN(0.001+'Advanced Entry'!I25),IF('Advanced Entry'!I$5="Exponential",EXP('Advanced Entry'!I25),'Advanced Entry'!I25)))-'Advanced Entry'!I$6)/('Advanced Entry'!I$7-'Advanced Entry'!I$6)),1))),"No data"))</f>
        <v/>
      </c>
      <c r="J25" s="17">
        <f>IF('Advanced Entry'!J25="","",IFERROR(MAX(0,MIN(10,ROUND(IF('Advanced Entry'!J$8="Decrease Risk",10-10*((IF('Advanced Entry'!J$5="Logarithm",LN(0.001+'Advanced Entry'!J25),IF('Advanced Entry'!J$5="Exponential",EXP('Advanced Entry'!J25),'Advanced Entry'!J25)))-'Advanced Entry'!J$6)/('Advanced Entry'!J$7-'Advanced Entry'!J$6),10*((IF('Advanced Entry'!J$5="Logarithm",LN(0.001+'Advanced Entry'!J25),IF('Advanced Entry'!J$5="Exponential",EXP('Advanced Entry'!J25),'Advanced Entry'!J25)))-'Advanced Entry'!J$6)/('Advanced Entry'!J$7-'Advanced Entry'!J$6)),1))),"No data"))</f>
        <v/>
      </c>
      <c r="K25" s="17">
        <f>IF('Advanced Entry'!K25="","",IFERROR(MAX(0,MIN(10,ROUND(IF('Advanced Entry'!K$8="Decrease Risk",10-10*((IF('Advanced Entry'!K$5="Logarithm",LN(0.001+'Advanced Entry'!K25),IF('Advanced Entry'!K$5="Exponential",EXP('Advanced Entry'!K25),'Advanced Entry'!K25)))-'Advanced Entry'!K$6)/('Advanced Entry'!K$7-'Advanced Entry'!K$6),10*((IF('Advanced Entry'!K$5="Logarithm",LN(0.001+'Advanced Entry'!K25),IF('Advanced Entry'!K$5="Exponential",EXP('Advanced Entry'!K25),'Advanced Entry'!K25)))-'Advanced Entry'!K$6)/('Advanced Entry'!K$7-'Advanced Entry'!K$6)),1))),"No data"))</f>
        <v/>
      </c>
      <c r="L25" s="17">
        <f>IF('Advanced Entry'!L25="","",IFERROR(MAX(0,MIN(10,ROUND(IF('Advanced Entry'!L$8="Decrease Risk",10-10*((IF('Advanced Entry'!L$5="Logarithm",LN(0.001+'Advanced Entry'!L25),IF('Advanced Entry'!L$5="Exponential",EXP('Advanced Entry'!L25),'Advanced Entry'!L25)))-'Advanced Entry'!L$6)/('Advanced Entry'!L$7-'Advanced Entry'!L$6),10*((IF('Advanced Entry'!L$5="Logarithm",LN(0.001+'Advanced Entry'!L25),IF('Advanced Entry'!L$5="Exponential",EXP('Advanced Entry'!L25),'Advanced Entry'!L25)))-'Advanced Entry'!L$6)/('Advanced Entry'!L$7-'Advanced Entry'!L$6)),1))),"No data"))</f>
        <v/>
      </c>
      <c r="M25" s="17">
        <f>IF('Advanced Entry'!M25="","",IFERROR(MAX(0,MIN(10,ROUND(IF('Advanced Entry'!M$8="Decrease Risk",10-10*((IF('Advanced Entry'!M$5="Logarithm",LN(0.001+'Advanced Entry'!M25),IF('Advanced Entry'!M$5="Exponential",EXP('Advanced Entry'!M25),'Advanced Entry'!M25)))-'Advanced Entry'!M$6)/('Advanced Entry'!M$7-'Advanced Entry'!M$6),10*((IF('Advanced Entry'!M$5="Logarithm",LN(0.001+'Advanced Entry'!M25),IF('Advanced Entry'!M$5="Exponential",EXP('Advanced Entry'!M25),'Advanced Entry'!M25)))-'Advanced Entry'!M$6)/('Advanced Entry'!M$7-'Advanced Entry'!M$6)),1))),"No data"))</f>
        <v/>
      </c>
      <c r="N25" s="17">
        <f>IF('Advanced Entry'!N25="","",IFERROR(MAX(0,MIN(10,ROUND(IF('Advanced Entry'!N$8="Decrease Risk",10-10*((IF('Advanced Entry'!N$5="Logarithm",LN(0.001+'Advanced Entry'!N25),IF('Advanced Entry'!N$5="Exponential",EXP('Advanced Entry'!N25),'Advanced Entry'!N25)))-'Advanced Entry'!N$6)/('Advanced Entry'!N$7-'Advanced Entry'!N$6),10*((IF('Advanced Entry'!N$5="Logarithm",LN(0.001+'Advanced Entry'!N25),IF('Advanced Entry'!N$5="Exponential",EXP('Advanced Entry'!N25),'Advanced Entry'!N25)))-'Advanced Entry'!N$6)/('Advanced Entry'!N$7-'Advanced Entry'!N$6)),1))),"No data"))</f>
        <v/>
      </c>
      <c r="O25" s="17">
        <f>IF('Advanced Entry'!O25="","",IFERROR(MAX(0,MIN(10,ROUND(IF('Advanced Entry'!O$8="Decrease Risk",10-10*((IF('Advanced Entry'!O$5="Logarithm",LN(0.001+'Advanced Entry'!O25),IF('Advanced Entry'!O$5="Exponential",EXP('Advanced Entry'!O25),'Advanced Entry'!O25)))-'Advanced Entry'!O$6)/('Advanced Entry'!O$7-'Advanced Entry'!O$6),10*((IF('Advanced Entry'!O$5="Logarithm",LN(0.001+'Advanced Entry'!O25),IF('Advanced Entry'!O$5="Exponential",EXP('Advanced Entry'!O25),'Advanced Entry'!O25)))-'Advanced Entry'!O$6)/('Advanced Entry'!O$7-'Advanced Entry'!O$6)),1))),"No data"))</f>
        <v/>
      </c>
      <c r="P25" s="17">
        <f>IF('Advanced Entry'!P25="","",IFERROR(MAX(0,MIN(10,ROUND(IF('Advanced Entry'!P$8="Decrease Risk",10-10*((IF('Advanced Entry'!P$5="Logarithm",LN(0.001+'Advanced Entry'!P25),IF('Advanced Entry'!P$5="Exponential",EXP('Advanced Entry'!P25),'Advanced Entry'!P25)))-'Advanced Entry'!P$6)/('Advanced Entry'!P$7-'Advanced Entry'!P$6),10*((IF('Advanced Entry'!P$5="Logarithm",LN(0.001+'Advanced Entry'!P25),IF('Advanced Entry'!P$5="Exponential",EXP('Advanced Entry'!P25),'Advanced Entry'!P25)))-'Advanced Entry'!P$6)/('Advanced Entry'!P$7-'Advanced Entry'!P$6)),1))),"No data"))</f>
        <v/>
      </c>
      <c r="Q25" s="17">
        <f>IF('Advanced Entry'!Q25="","",IFERROR(MAX(0,MIN(10,ROUND(IF('Advanced Entry'!Q$8="Decrease Risk",10-10*((IF('Advanced Entry'!Q$5="Logarithm",LN(0.001+'Advanced Entry'!Q25),IF('Advanced Entry'!Q$5="Exponential",EXP('Advanced Entry'!Q25),'Advanced Entry'!Q25)))-'Advanced Entry'!Q$6)/('Advanced Entry'!Q$7-'Advanced Entry'!Q$6),10*((IF('Advanced Entry'!Q$5="Logarithm",LN(0.001+'Advanced Entry'!Q25),IF('Advanced Entry'!Q$5="Exponential",EXP('Advanced Entry'!Q25),'Advanced Entry'!Q25)))-'Advanced Entry'!Q$6)/('Advanced Entry'!Q$7-'Advanced Entry'!Q$6)),1))),"No data"))</f>
        <v/>
      </c>
      <c r="R25" s="17">
        <f>IF('Advanced Entry'!R25="","",IFERROR(MAX(0,MIN(10,ROUND(IF('Advanced Entry'!R$8="Decrease Risk",10-10*((IF('Advanced Entry'!R$5="Logarithm",LN(0.001+'Advanced Entry'!R25),IF('Advanced Entry'!R$5="Exponential",EXP('Advanced Entry'!R25),'Advanced Entry'!R25)))-'Advanced Entry'!R$6)/('Advanced Entry'!R$7-'Advanced Entry'!R$6),10*((IF('Advanced Entry'!R$5="Logarithm",LN(0.001+'Advanced Entry'!R25),IF('Advanced Entry'!R$5="Exponential",EXP('Advanced Entry'!R25),'Advanced Entry'!R25)))-'Advanced Entry'!R$6)/('Advanced Entry'!R$7-'Advanced Entry'!R$6)),1))),"No data"))</f>
        <v/>
      </c>
      <c r="S25" s="17">
        <f>IF('Advanced Entry'!S25="","",IFERROR(MAX(0,MIN(10,ROUND(IF('Advanced Entry'!S$8="Decrease Risk",10-10*((IF('Advanced Entry'!S$5="Logarithm",LN(0.001+'Advanced Entry'!S25),IF('Advanced Entry'!S$5="Exponential",EXP('Advanced Entry'!S25),'Advanced Entry'!S25)))-'Advanced Entry'!S$6)/('Advanced Entry'!S$7-'Advanced Entry'!S$6),10*((IF('Advanced Entry'!S$5="Logarithm",LN(0.001+'Advanced Entry'!S25),IF('Advanced Entry'!S$5="Exponential",EXP('Advanced Entry'!S25),'Advanced Entry'!S25)))-'Advanced Entry'!S$6)/('Advanced Entry'!S$7-'Advanced Entry'!S$6)),1))),"No data"))</f>
        <v/>
      </c>
      <c r="T25" s="17">
        <f>IF('Advanced Entry'!T25="","",IFERROR(MAX(0,MIN(10,ROUND(IF('Advanced Entry'!T$8="Decrease Risk",10-10*((IF('Advanced Entry'!T$5="Logarithm",LN(0.001+'Advanced Entry'!T25),IF('Advanced Entry'!T$5="Exponential",EXP('Advanced Entry'!T25),'Advanced Entry'!T25)))-'Advanced Entry'!T$6)/('Advanced Entry'!T$7-'Advanced Entry'!T$6),10*((IF('Advanced Entry'!T$5="Logarithm",LN(0.001+'Advanced Entry'!T25),IF('Advanced Entry'!T$5="Exponential",EXP('Advanced Entry'!T25),'Advanced Entry'!T25)))-'Advanced Entry'!T$6)/('Advanced Entry'!T$7-'Advanced Entry'!T$6)),1))),"No data"))</f>
        <v/>
      </c>
      <c r="U25" s="17">
        <f>IF('Advanced Entry'!U25="","",IFERROR(MAX(0,MIN(10,ROUND(IF('Advanced Entry'!U$8="Decrease Risk",10-10*((IF('Advanced Entry'!U$5="Logarithm",LN(0.001+'Advanced Entry'!U25),IF('Advanced Entry'!U$5="Exponential",EXP('Advanced Entry'!U25),'Advanced Entry'!U25)))-'Advanced Entry'!U$6)/('Advanced Entry'!U$7-'Advanced Entry'!U$6),10*((IF('Advanced Entry'!U$5="Logarithm",LN(0.001+'Advanced Entry'!U25),IF('Advanced Entry'!U$5="Exponential",EXP('Advanced Entry'!U25),'Advanced Entry'!U25)))-'Advanced Entry'!U$6)/('Advanced Entry'!U$7-'Advanced Entry'!U$6)),1))),"No data"))</f>
        <v/>
      </c>
      <c r="V25" s="17">
        <f>IF('Advanced Entry'!V25="","",IFERROR(MAX(0,MIN(10,ROUND(IF('Advanced Entry'!V$8="Decrease Risk",10-10*((IF('Advanced Entry'!V$5="Logarithm",LN(0.001+'Advanced Entry'!V25),IF('Advanced Entry'!V$5="Exponential",EXP('Advanced Entry'!V25),'Advanced Entry'!V25)))-'Advanced Entry'!V$6)/('Advanced Entry'!V$7-'Advanced Entry'!V$6),10*((IF('Advanced Entry'!V$5="Logarithm",LN(0.001+'Advanced Entry'!V25),IF('Advanced Entry'!V$5="Exponential",EXP('Advanced Entry'!V25),'Advanced Entry'!V25)))-'Advanced Entry'!V$6)/('Advanced Entry'!V$7-'Advanced Entry'!V$6)),1))),"No data"))</f>
        <v/>
      </c>
      <c r="W25" s="17">
        <f>IF('Advanced Entry'!W25="","",IFERROR(MAX(0,MIN(10,ROUND(IF('Advanced Entry'!W$8="Decrease Risk",10-10*((IF('Advanced Entry'!W$5="Logarithm",LN(0.001+'Advanced Entry'!W25),IF('Advanced Entry'!W$5="Exponential",EXP('Advanced Entry'!W25),'Advanced Entry'!W25)))-'Advanced Entry'!W$6)/('Advanced Entry'!W$7-'Advanced Entry'!W$6),10*((IF('Advanced Entry'!W$5="Logarithm",LN(0.001+'Advanced Entry'!W25),IF('Advanced Entry'!W$5="Exponential",EXP('Advanced Entry'!W25),'Advanced Entry'!W25)))-'Advanced Entry'!W$6)/('Advanced Entry'!W$7-'Advanced Entry'!W$6)),1))),"No data"))</f>
        <v/>
      </c>
      <c r="X25" s="17">
        <f>IF('Advanced Entry'!X25="","",IFERROR(MAX(0,MIN(10,ROUND(IF('Advanced Entry'!X$8="Decrease Risk",10-10*((IF('Advanced Entry'!X$5="Logarithm",LN(0.001+'Advanced Entry'!X25),IF('Advanced Entry'!X$5="Exponential",EXP('Advanced Entry'!X25),'Advanced Entry'!X25)))-'Advanced Entry'!X$6)/('Advanced Entry'!X$7-'Advanced Entry'!X$6),10*((IF('Advanced Entry'!X$5="Logarithm",LN(0.001+'Advanced Entry'!X25),IF('Advanced Entry'!X$5="Exponential",EXP('Advanced Entry'!X25),'Advanced Entry'!X25)))-'Advanced Entry'!X$6)/('Advanced Entry'!X$7-'Advanced Entry'!X$6)),1))),"No data"))</f>
        <v/>
      </c>
      <c r="Y25" s="17">
        <f>IF('Advanced Entry'!Y25="","",IFERROR(MAX(0,MIN(10,ROUND(IF('Advanced Entry'!Y$8="Decrease Risk",10-10*((IF('Advanced Entry'!Y$5="Logarithm",LN(0.001+'Advanced Entry'!Y25),IF('Advanced Entry'!Y$5="Exponential",EXP('Advanced Entry'!Y25),'Advanced Entry'!Y25)))-'Advanced Entry'!Y$6)/('Advanced Entry'!Y$7-'Advanced Entry'!Y$6),10*((IF('Advanced Entry'!Y$5="Logarithm",LN(0.001+'Advanced Entry'!Y25),IF('Advanced Entry'!Y$5="Exponential",EXP('Advanced Entry'!Y25),'Advanced Entry'!Y25)))-'Advanced Entry'!Y$6)/('Advanced Entry'!Y$7-'Advanced Entry'!Y$6)),1))),"No data"))</f>
        <v/>
      </c>
      <c r="Z25" s="17">
        <f>IF('Advanced Entry'!Z25="","",IFERROR(MAX(0,MIN(10,ROUND(IF('Advanced Entry'!Z$8="Decrease Risk",10-10*((IF('Advanced Entry'!Z$5="Logarithm",LN(0.001+'Advanced Entry'!Z25),IF('Advanced Entry'!Z$5="Exponential",EXP('Advanced Entry'!Z25),'Advanced Entry'!Z25)))-'Advanced Entry'!Z$6)/('Advanced Entry'!Z$7-'Advanced Entry'!Z$6),10*((IF('Advanced Entry'!Z$5="Logarithm",LN(0.001+'Advanced Entry'!Z25),IF('Advanced Entry'!Z$5="Exponential",EXP('Advanced Entry'!Z25),'Advanced Entry'!Z25)))-'Advanced Entry'!Z$6)/('Advanced Entry'!Z$7-'Advanced Entry'!Z$6)),1))),"No data"))</f>
        <v/>
      </c>
      <c r="AA25" s="17">
        <f>IF('Advanced Entry'!AA25="","",IFERROR(MAX(0,MIN(10,ROUND(IF('Advanced Entry'!AA$8="Decrease Risk",10-10*((IF('Advanced Entry'!AA$5="Logarithm",LN(0.001+'Advanced Entry'!AA25),IF('Advanced Entry'!AA$5="Exponential",EXP('Advanced Entry'!AA25),'Advanced Entry'!AA25)))-'Advanced Entry'!AA$6)/('Advanced Entry'!AA$7-'Advanced Entry'!AA$6),10*((IF('Advanced Entry'!AA$5="Logarithm",LN(0.001+'Advanced Entry'!AA25),IF('Advanced Entry'!AA$5="Exponential",EXP('Advanced Entry'!AA25),'Advanced Entry'!AA25)))-'Advanced Entry'!AA$6)/('Advanced Entry'!AA$7-'Advanced Entry'!AA$6)),1))),"No data"))</f>
        <v/>
      </c>
      <c r="AB25" s="17">
        <f>IF('Advanced Entry'!AB25="","",IFERROR(MAX(0,MIN(10,ROUND(IF('Advanced Entry'!AB$8="Decrease Risk",10-10*((IF('Advanced Entry'!AB$5="Logarithm",LN(0.001+'Advanced Entry'!AB25),IF('Advanced Entry'!AB$5="Exponential",EXP('Advanced Entry'!AB25),'Advanced Entry'!AB25)))-'Advanced Entry'!AB$6)/('Advanced Entry'!AB$7-'Advanced Entry'!AB$6),10*((IF('Advanced Entry'!AB$5="Logarithm",LN(0.001+'Advanced Entry'!AB25),IF('Advanced Entry'!AB$5="Exponential",EXP('Advanced Entry'!AB25),'Advanced Entry'!AB25)))-'Advanced Entry'!AB$6)/('Advanced Entry'!AB$7-'Advanced Entry'!AB$6)),1))),"No data"))</f>
        <v/>
      </c>
    </row>
    <row r="26">
      <c r="A26" t="inlineStr">
        <is>
          <t>Dodoma</t>
        </is>
      </c>
      <c r="B26" t="inlineStr">
        <is>
          <t>Dodoma City</t>
        </is>
      </c>
      <c r="C26" t="inlineStr">
        <is>
          <t>C006</t>
        </is>
      </c>
      <c r="D26" s="17">
        <f>IF('Advanced Entry'!D26="","",IFERROR(MAX(0,MIN(10,ROUND(IF('Advanced Entry'!D$8="Decrease Risk",10-10*((IF('Advanced Entry'!D$5="Logarithm",LN(0.001+'Advanced Entry'!D26),IF('Advanced Entry'!D$5="Exponential",EXP('Advanced Entry'!D26),'Advanced Entry'!D26)))-'Advanced Entry'!D$6)/('Advanced Entry'!D$7-'Advanced Entry'!D$6),10*((IF('Advanced Entry'!D$5="Logarithm",LN(0.001+'Advanced Entry'!D26),IF('Advanced Entry'!D$5="Exponential",EXP('Advanced Entry'!D26),'Advanced Entry'!D26)))-'Advanced Entry'!D$6)/('Advanced Entry'!D$7-'Advanced Entry'!D$6)),1))),"No data"))</f>
        <v/>
      </c>
      <c r="E26" s="17">
        <f>IF('Advanced Entry'!E26="","",IFERROR(MAX(0,MIN(10,ROUND(IF('Advanced Entry'!E$8="Decrease Risk",10-10*((IF('Advanced Entry'!E$5="Logarithm",LN(0.001+'Advanced Entry'!E26),IF('Advanced Entry'!E$5="Exponential",EXP('Advanced Entry'!E26),'Advanced Entry'!E26)))-'Advanced Entry'!E$6)/('Advanced Entry'!E$7-'Advanced Entry'!E$6),10*((IF('Advanced Entry'!E$5="Logarithm",LN(0.001+'Advanced Entry'!E26),IF('Advanced Entry'!E$5="Exponential",EXP('Advanced Entry'!E26),'Advanced Entry'!E26)))-'Advanced Entry'!E$6)/('Advanced Entry'!E$7-'Advanced Entry'!E$6)),1))),"No data"))</f>
        <v/>
      </c>
      <c r="F26" s="17">
        <f>IF('Advanced Entry'!F26="","",IFERROR(MAX(0,MIN(10,ROUND(IF('Advanced Entry'!F$8="Decrease Risk",10-10*((IF('Advanced Entry'!F$5="Logarithm",LN(0.001+'Advanced Entry'!F26),IF('Advanced Entry'!F$5="Exponential",EXP('Advanced Entry'!F26),'Advanced Entry'!F26)))-'Advanced Entry'!F$6)/('Advanced Entry'!F$7-'Advanced Entry'!F$6),10*((IF('Advanced Entry'!F$5="Logarithm",LN(0.001+'Advanced Entry'!F26),IF('Advanced Entry'!F$5="Exponential",EXP('Advanced Entry'!F26),'Advanced Entry'!F26)))-'Advanced Entry'!F$6)/('Advanced Entry'!F$7-'Advanced Entry'!F$6)),1))),"No data"))</f>
        <v/>
      </c>
      <c r="G26" s="17">
        <f>IF('Advanced Entry'!G26="","",IFERROR(MAX(0,MIN(10,ROUND(IF('Advanced Entry'!G$8="Decrease Risk",10-10*((IF('Advanced Entry'!G$5="Logarithm",LN(0.001+'Advanced Entry'!G26),IF('Advanced Entry'!G$5="Exponential",EXP('Advanced Entry'!G26),'Advanced Entry'!G26)))-'Advanced Entry'!G$6)/('Advanced Entry'!G$7-'Advanced Entry'!G$6),10*((IF('Advanced Entry'!G$5="Logarithm",LN(0.001+'Advanced Entry'!G26),IF('Advanced Entry'!G$5="Exponential",EXP('Advanced Entry'!G26),'Advanced Entry'!G26)))-'Advanced Entry'!G$6)/('Advanced Entry'!G$7-'Advanced Entry'!G$6)),1))),"No data"))</f>
        <v/>
      </c>
      <c r="H26" s="17">
        <f>IF('Advanced Entry'!H26="","",IFERROR(MAX(0,MIN(10,ROUND(IF('Advanced Entry'!H$8="Decrease Risk",10-10*((IF('Advanced Entry'!H$5="Logarithm",LN(0.001+'Advanced Entry'!H26),IF('Advanced Entry'!H$5="Exponential",EXP('Advanced Entry'!H26),'Advanced Entry'!H26)))-'Advanced Entry'!H$6)/('Advanced Entry'!H$7-'Advanced Entry'!H$6),10*((IF('Advanced Entry'!H$5="Logarithm",LN(0.001+'Advanced Entry'!H26),IF('Advanced Entry'!H$5="Exponential",EXP('Advanced Entry'!H26),'Advanced Entry'!H26)))-'Advanced Entry'!H$6)/('Advanced Entry'!H$7-'Advanced Entry'!H$6)),1))),"No data"))</f>
        <v/>
      </c>
      <c r="I26" s="17">
        <f>IF('Advanced Entry'!I26="","",IFERROR(MAX(0,MIN(10,ROUND(IF('Advanced Entry'!I$8="Decrease Risk",10-10*((IF('Advanced Entry'!I$5="Logarithm",LN(0.001+'Advanced Entry'!I26),IF('Advanced Entry'!I$5="Exponential",EXP('Advanced Entry'!I26),'Advanced Entry'!I26)))-'Advanced Entry'!I$6)/('Advanced Entry'!I$7-'Advanced Entry'!I$6),10*((IF('Advanced Entry'!I$5="Logarithm",LN(0.001+'Advanced Entry'!I26),IF('Advanced Entry'!I$5="Exponential",EXP('Advanced Entry'!I26),'Advanced Entry'!I26)))-'Advanced Entry'!I$6)/('Advanced Entry'!I$7-'Advanced Entry'!I$6)),1))),"No data"))</f>
        <v/>
      </c>
      <c r="J26" s="17">
        <f>IF('Advanced Entry'!J26="","",IFERROR(MAX(0,MIN(10,ROUND(IF('Advanced Entry'!J$8="Decrease Risk",10-10*((IF('Advanced Entry'!J$5="Logarithm",LN(0.001+'Advanced Entry'!J26),IF('Advanced Entry'!J$5="Exponential",EXP('Advanced Entry'!J26),'Advanced Entry'!J26)))-'Advanced Entry'!J$6)/('Advanced Entry'!J$7-'Advanced Entry'!J$6),10*((IF('Advanced Entry'!J$5="Logarithm",LN(0.001+'Advanced Entry'!J26),IF('Advanced Entry'!J$5="Exponential",EXP('Advanced Entry'!J26),'Advanced Entry'!J26)))-'Advanced Entry'!J$6)/('Advanced Entry'!J$7-'Advanced Entry'!J$6)),1))),"No data"))</f>
        <v/>
      </c>
      <c r="K26" s="17">
        <f>IF('Advanced Entry'!K26="","",IFERROR(MAX(0,MIN(10,ROUND(IF('Advanced Entry'!K$8="Decrease Risk",10-10*((IF('Advanced Entry'!K$5="Logarithm",LN(0.001+'Advanced Entry'!K26),IF('Advanced Entry'!K$5="Exponential",EXP('Advanced Entry'!K26),'Advanced Entry'!K26)))-'Advanced Entry'!K$6)/('Advanced Entry'!K$7-'Advanced Entry'!K$6),10*((IF('Advanced Entry'!K$5="Logarithm",LN(0.001+'Advanced Entry'!K26),IF('Advanced Entry'!K$5="Exponential",EXP('Advanced Entry'!K26),'Advanced Entry'!K26)))-'Advanced Entry'!K$6)/('Advanced Entry'!K$7-'Advanced Entry'!K$6)),1))),"No data"))</f>
        <v/>
      </c>
      <c r="L26" s="17">
        <f>IF('Advanced Entry'!L26="","",IFERROR(MAX(0,MIN(10,ROUND(IF('Advanced Entry'!L$8="Decrease Risk",10-10*((IF('Advanced Entry'!L$5="Logarithm",LN(0.001+'Advanced Entry'!L26),IF('Advanced Entry'!L$5="Exponential",EXP('Advanced Entry'!L26),'Advanced Entry'!L26)))-'Advanced Entry'!L$6)/('Advanced Entry'!L$7-'Advanced Entry'!L$6),10*((IF('Advanced Entry'!L$5="Logarithm",LN(0.001+'Advanced Entry'!L26),IF('Advanced Entry'!L$5="Exponential",EXP('Advanced Entry'!L26),'Advanced Entry'!L26)))-'Advanced Entry'!L$6)/('Advanced Entry'!L$7-'Advanced Entry'!L$6)),1))),"No data"))</f>
        <v/>
      </c>
      <c r="M26" s="17">
        <f>IF('Advanced Entry'!M26="","",IFERROR(MAX(0,MIN(10,ROUND(IF('Advanced Entry'!M$8="Decrease Risk",10-10*((IF('Advanced Entry'!M$5="Logarithm",LN(0.001+'Advanced Entry'!M26),IF('Advanced Entry'!M$5="Exponential",EXP('Advanced Entry'!M26),'Advanced Entry'!M26)))-'Advanced Entry'!M$6)/('Advanced Entry'!M$7-'Advanced Entry'!M$6),10*((IF('Advanced Entry'!M$5="Logarithm",LN(0.001+'Advanced Entry'!M26),IF('Advanced Entry'!M$5="Exponential",EXP('Advanced Entry'!M26),'Advanced Entry'!M26)))-'Advanced Entry'!M$6)/('Advanced Entry'!M$7-'Advanced Entry'!M$6)),1))),"No data"))</f>
        <v/>
      </c>
      <c r="N26" s="17">
        <f>IF('Advanced Entry'!N26="","",IFERROR(MAX(0,MIN(10,ROUND(IF('Advanced Entry'!N$8="Decrease Risk",10-10*((IF('Advanced Entry'!N$5="Logarithm",LN(0.001+'Advanced Entry'!N26),IF('Advanced Entry'!N$5="Exponential",EXP('Advanced Entry'!N26),'Advanced Entry'!N26)))-'Advanced Entry'!N$6)/('Advanced Entry'!N$7-'Advanced Entry'!N$6),10*((IF('Advanced Entry'!N$5="Logarithm",LN(0.001+'Advanced Entry'!N26),IF('Advanced Entry'!N$5="Exponential",EXP('Advanced Entry'!N26),'Advanced Entry'!N26)))-'Advanced Entry'!N$6)/('Advanced Entry'!N$7-'Advanced Entry'!N$6)),1))),"No data"))</f>
        <v/>
      </c>
      <c r="O26" s="17">
        <f>IF('Advanced Entry'!O26="","",IFERROR(MAX(0,MIN(10,ROUND(IF('Advanced Entry'!O$8="Decrease Risk",10-10*((IF('Advanced Entry'!O$5="Logarithm",LN(0.001+'Advanced Entry'!O26),IF('Advanced Entry'!O$5="Exponential",EXP('Advanced Entry'!O26),'Advanced Entry'!O26)))-'Advanced Entry'!O$6)/('Advanced Entry'!O$7-'Advanced Entry'!O$6),10*((IF('Advanced Entry'!O$5="Logarithm",LN(0.001+'Advanced Entry'!O26),IF('Advanced Entry'!O$5="Exponential",EXP('Advanced Entry'!O26),'Advanced Entry'!O26)))-'Advanced Entry'!O$6)/('Advanced Entry'!O$7-'Advanced Entry'!O$6)),1))),"No data"))</f>
        <v/>
      </c>
      <c r="P26" s="17">
        <f>IF('Advanced Entry'!P26="","",IFERROR(MAX(0,MIN(10,ROUND(IF('Advanced Entry'!P$8="Decrease Risk",10-10*((IF('Advanced Entry'!P$5="Logarithm",LN(0.001+'Advanced Entry'!P26),IF('Advanced Entry'!P$5="Exponential",EXP('Advanced Entry'!P26),'Advanced Entry'!P26)))-'Advanced Entry'!P$6)/('Advanced Entry'!P$7-'Advanced Entry'!P$6),10*((IF('Advanced Entry'!P$5="Logarithm",LN(0.001+'Advanced Entry'!P26),IF('Advanced Entry'!P$5="Exponential",EXP('Advanced Entry'!P26),'Advanced Entry'!P26)))-'Advanced Entry'!P$6)/('Advanced Entry'!P$7-'Advanced Entry'!P$6)),1))),"No data"))</f>
        <v/>
      </c>
      <c r="Q26" s="17">
        <f>IF('Advanced Entry'!Q26="","",IFERROR(MAX(0,MIN(10,ROUND(IF('Advanced Entry'!Q$8="Decrease Risk",10-10*((IF('Advanced Entry'!Q$5="Logarithm",LN(0.001+'Advanced Entry'!Q26),IF('Advanced Entry'!Q$5="Exponential",EXP('Advanced Entry'!Q26),'Advanced Entry'!Q26)))-'Advanced Entry'!Q$6)/('Advanced Entry'!Q$7-'Advanced Entry'!Q$6),10*((IF('Advanced Entry'!Q$5="Logarithm",LN(0.001+'Advanced Entry'!Q26),IF('Advanced Entry'!Q$5="Exponential",EXP('Advanced Entry'!Q26),'Advanced Entry'!Q26)))-'Advanced Entry'!Q$6)/('Advanced Entry'!Q$7-'Advanced Entry'!Q$6)),1))),"No data"))</f>
        <v/>
      </c>
      <c r="R26" s="17">
        <f>IF('Advanced Entry'!R26="","",IFERROR(MAX(0,MIN(10,ROUND(IF('Advanced Entry'!R$8="Decrease Risk",10-10*((IF('Advanced Entry'!R$5="Logarithm",LN(0.001+'Advanced Entry'!R26),IF('Advanced Entry'!R$5="Exponential",EXP('Advanced Entry'!R26),'Advanced Entry'!R26)))-'Advanced Entry'!R$6)/('Advanced Entry'!R$7-'Advanced Entry'!R$6),10*((IF('Advanced Entry'!R$5="Logarithm",LN(0.001+'Advanced Entry'!R26),IF('Advanced Entry'!R$5="Exponential",EXP('Advanced Entry'!R26),'Advanced Entry'!R26)))-'Advanced Entry'!R$6)/('Advanced Entry'!R$7-'Advanced Entry'!R$6)),1))),"No data"))</f>
        <v/>
      </c>
      <c r="S26" s="17">
        <f>IF('Advanced Entry'!S26="","",IFERROR(MAX(0,MIN(10,ROUND(IF('Advanced Entry'!S$8="Decrease Risk",10-10*((IF('Advanced Entry'!S$5="Logarithm",LN(0.001+'Advanced Entry'!S26),IF('Advanced Entry'!S$5="Exponential",EXP('Advanced Entry'!S26),'Advanced Entry'!S26)))-'Advanced Entry'!S$6)/('Advanced Entry'!S$7-'Advanced Entry'!S$6),10*((IF('Advanced Entry'!S$5="Logarithm",LN(0.001+'Advanced Entry'!S26),IF('Advanced Entry'!S$5="Exponential",EXP('Advanced Entry'!S26),'Advanced Entry'!S26)))-'Advanced Entry'!S$6)/('Advanced Entry'!S$7-'Advanced Entry'!S$6)),1))),"No data"))</f>
        <v/>
      </c>
      <c r="T26" s="17">
        <f>IF('Advanced Entry'!T26="","",IFERROR(MAX(0,MIN(10,ROUND(IF('Advanced Entry'!T$8="Decrease Risk",10-10*((IF('Advanced Entry'!T$5="Logarithm",LN(0.001+'Advanced Entry'!T26),IF('Advanced Entry'!T$5="Exponential",EXP('Advanced Entry'!T26),'Advanced Entry'!T26)))-'Advanced Entry'!T$6)/('Advanced Entry'!T$7-'Advanced Entry'!T$6),10*((IF('Advanced Entry'!T$5="Logarithm",LN(0.001+'Advanced Entry'!T26),IF('Advanced Entry'!T$5="Exponential",EXP('Advanced Entry'!T26),'Advanced Entry'!T26)))-'Advanced Entry'!T$6)/('Advanced Entry'!T$7-'Advanced Entry'!T$6)),1))),"No data"))</f>
        <v/>
      </c>
      <c r="U26" s="17">
        <f>IF('Advanced Entry'!U26="","",IFERROR(MAX(0,MIN(10,ROUND(IF('Advanced Entry'!U$8="Decrease Risk",10-10*((IF('Advanced Entry'!U$5="Logarithm",LN(0.001+'Advanced Entry'!U26),IF('Advanced Entry'!U$5="Exponential",EXP('Advanced Entry'!U26),'Advanced Entry'!U26)))-'Advanced Entry'!U$6)/('Advanced Entry'!U$7-'Advanced Entry'!U$6),10*((IF('Advanced Entry'!U$5="Logarithm",LN(0.001+'Advanced Entry'!U26),IF('Advanced Entry'!U$5="Exponential",EXP('Advanced Entry'!U26),'Advanced Entry'!U26)))-'Advanced Entry'!U$6)/('Advanced Entry'!U$7-'Advanced Entry'!U$6)),1))),"No data"))</f>
        <v/>
      </c>
      <c r="V26" s="17">
        <f>IF('Advanced Entry'!V26="","",IFERROR(MAX(0,MIN(10,ROUND(IF('Advanced Entry'!V$8="Decrease Risk",10-10*((IF('Advanced Entry'!V$5="Logarithm",LN(0.001+'Advanced Entry'!V26),IF('Advanced Entry'!V$5="Exponential",EXP('Advanced Entry'!V26),'Advanced Entry'!V26)))-'Advanced Entry'!V$6)/('Advanced Entry'!V$7-'Advanced Entry'!V$6),10*((IF('Advanced Entry'!V$5="Logarithm",LN(0.001+'Advanced Entry'!V26),IF('Advanced Entry'!V$5="Exponential",EXP('Advanced Entry'!V26),'Advanced Entry'!V26)))-'Advanced Entry'!V$6)/('Advanced Entry'!V$7-'Advanced Entry'!V$6)),1))),"No data"))</f>
        <v/>
      </c>
      <c r="W26" s="17">
        <f>IF('Advanced Entry'!W26="","",IFERROR(MAX(0,MIN(10,ROUND(IF('Advanced Entry'!W$8="Decrease Risk",10-10*((IF('Advanced Entry'!W$5="Logarithm",LN(0.001+'Advanced Entry'!W26),IF('Advanced Entry'!W$5="Exponential",EXP('Advanced Entry'!W26),'Advanced Entry'!W26)))-'Advanced Entry'!W$6)/('Advanced Entry'!W$7-'Advanced Entry'!W$6),10*((IF('Advanced Entry'!W$5="Logarithm",LN(0.001+'Advanced Entry'!W26),IF('Advanced Entry'!W$5="Exponential",EXP('Advanced Entry'!W26),'Advanced Entry'!W26)))-'Advanced Entry'!W$6)/('Advanced Entry'!W$7-'Advanced Entry'!W$6)),1))),"No data"))</f>
        <v/>
      </c>
      <c r="X26" s="17">
        <f>IF('Advanced Entry'!X26="","",IFERROR(MAX(0,MIN(10,ROUND(IF('Advanced Entry'!X$8="Decrease Risk",10-10*((IF('Advanced Entry'!X$5="Logarithm",LN(0.001+'Advanced Entry'!X26),IF('Advanced Entry'!X$5="Exponential",EXP('Advanced Entry'!X26),'Advanced Entry'!X26)))-'Advanced Entry'!X$6)/('Advanced Entry'!X$7-'Advanced Entry'!X$6),10*((IF('Advanced Entry'!X$5="Logarithm",LN(0.001+'Advanced Entry'!X26),IF('Advanced Entry'!X$5="Exponential",EXP('Advanced Entry'!X26),'Advanced Entry'!X26)))-'Advanced Entry'!X$6)/('Advanced Entry'!X$7-'Advanced Entry'!X$6)),1))),"No data"))</f>
        <v/>
      </c>
      <c r="Y26" s="17">
        <f>IF('Advanced Entry'!Y26="","",IFERROR(MAX(0,MIN(10,ROUND(IF('Advanced Entry'!Y$8="Decrease Risk",10-10*((IF('Advanced Entry'!Y$5="Logarithm",LN(0.001+'Advanced Entry'!Y26),IF('Advanced Entry'!Y$5="Exponential",EXP('Advanced Entry'!Y26),'Advanced Entry'!Y26)))-'Advanced Entry'!Y$6)/('Advanced Entry'!Y$7-'Advanced Entry'!Y$6),10*((IF('Advanced Entry'!Y$5="Logarithm",LN(0.001+'Advanced Entry'!Y26),IF('Advanced Entry'!Y$5="Exponential",EXP('Advanced Entry'!Y26),'Advanced Entry'!Y26)))-'Advanced Entry'!Y$6)/('Advanced Entry'!Y$7-'Advanced Entry'!Y$6)),1))),"No data"))</f>
        <v/>
      </c>
      <c r="Z26" s="17">
        <f>IF('Advanced Entry'!Z26="","",IFERROR(MAX(0,MIN(10,ROUND(IF('Advanced Entry'!Z$8="Decrease Risk",10-10*((IF('Advanced Entry'!Z$5="Logarithm",LN(0.001+'Advanced Entry'!Z26),IF('Advanced Entry'!Z$5="Exponential",EXP('Advanced Entry'!Z26),'Advanced Entry'!Z26)))-'Advanced Entry'!Z$6)/('Advanced Entry'!Z$7-'Advanced Entry'!Z$6),10*((IF('Advanced Entry'!Z$5="Logarithm",LN(0.001+'Advanced Entry'!Z26),IF('Advanced Entry'!Z$5="Exponential",EXP('Advanced Entry'!Z26),'Advanced Entry'!Z26)))-'Advanced Entry'!Z$6)/('Advanced Entry'!Z$7-'Advanced Entry'!Z$6)),1))),"No data"))</f>
        <v/>
      </c>
      <c r="AA26" s="17">
        <f>IF('Advanced Entry'!AA26="","",IFERROR(MAX(0,MIN(10,ROUND(IF('Advanced Entry'!AA$8="Decrease Risk",10-10*((IF('Advanced Entry'!AA$5="Logarithm",LN(0.001+'Advanced Entry'!AA26),IF('Advanced Entry'!AA$5="Exponential",EXP('Advanced Entry'!AA26),'Advanced Entry'!AA26)))-'Advanced Entry'!AA$6)/('Advanced Entry'!AA$7-'Advanced Entry'!AA$6),10*((IF('Advanced Entry'!AA$5="Logarithm",LN(0.001+'Advanced Entry'!AA26),IF('Advanced Entry'!AA$5="Exponential",EXP('Advanced Entry'!AA26),'Advanced Entry'!AA26)))-'Advanced Entry'!AA$6)/('Advanced Entry'!AA$7-'Advanced Entry'!AA$6)),1))),"No data"))</f>
        <v/>
      </c>
      <c r="AB26" s="17">
        <f>IF('Advanced Entry'!AB26="","",IFERROR(MAX(0,MIN(10,ROUND(IF('Advanced Entry'!AB$8="Decrease Risk",10-10*((IF('Advanced Entry'!AB$5="Logarithm",LN(0.001+'Advanced Entry'!AB26),IF('Advanced Entry'!AB$5="Exponential",EXP('Advanced Entry'!AB26),'Advanced Entry'!AB26)))-'Advanced Entry'!AB$6)/('Advanced Entry'!AB$7-'Advanced Entry'!AB$6),10*((IF('Advanced Entry'!AB$5="Logarithm",LN(0.001+'Advanced Entry'!AB26),IF('Advanced Entry'!AB$5="Exponential",EXP('Advanced Entry'!AB26),'Advanced Entry'!AB26)))-'Advanced Entry'!AB$6)/('Advanced Entry'!AB$7-'Advanced Entry'!AB$6)),1))),"No data"))</f>
        <v/>
      </c>
    </row>
    <row r="27">
      <c r="A27" t="inlineStr">
        <is>
          <t>Dodoma</t>
        </is>
      </c>
      <c r="B27" t="inlineStr">
        <is>
          <t>Kondoa District</t>
        </is>
      </c>
      <c r="C27" t="inlineStr">
        <is>
          <t>C001</t>
        </is>
      </c>
      <c r="D27" s="17">
        <f>IF('Advanced Entry'!D27="","",IFERROR(MAX(0,MIN(10,ROUND(IF('Advanced Entry'!D$8="Decrease Risk",10-10*((IF('Advanced Entry'!D$5="Logarithm",LN(0.001+'Advanced Entry'!D27),IF('Advanced Entry'!D$5="Exponential",EXP('Advanced Entry'!D27),'Advanced Entry'!D27)))-'Advanced Entry'!D$6)/('Advanced Entry'!D$7-'Advanced Entry'!D$6),10*((IF('Advanced Entry'!D$5="Logarithm",LN(0.001+'Advanced Entry'!D27),IF('Advanced Entry'!D$5="Exponential",EXP('Advanced Entry'!D27),'Advanced Entry'!D27)))-'Advanced Entry'!D$6)/('Advanced Entry'!D$7-'Advanced Entry'!D$6)),1))),"No data"))</f>
        <v/>
      </c>
      <c r="E27" s="17">
        <f>IF('Advanced Entry'!E27="","",IFERROR(MAX(0,MIN(10,ROUND(IF('Advanced Entry'!E$8="Decrease Risk",10-10*((IF('Advanced Entry'!E$5="Logarithm",LN(0.001+'Advanced Entry'!E27),IF('Advanced Entry'!E$5="Exponential",EXP('Advanced Entry'!E27),'Advanced Entry'!E27)))-'Advanced Entry'!E$6)/('Advanced Entry'!E$7-'Advanced Entry'!E$6),10*((IF('Advanced Entry'!E$5="Logarithm",LN(0.001+'Advanced Entry'!E27),IF('Advanced Entry'!E$5="Exponential",EXP('Advanced Entry'!E27),'Advanced Entry'!E27)))-'Advanced Entry'!E$6)/('Advanced Entry'!E$7-'Advanced Entry'!E$6)),1))),"No data"))</f>
        <v/>
      </c>
      <c r="F27" s="17">
        <f>IF('Advanced Entry'!F27="","",IFERROR(MAX(0,MIN(10,ROUND(IF('Advanced Entry'!F$8="Decrease Risk",10-10*((IF('Advanced Entry'!F$5="Logarithm",LN(0.001+'Advanced Entry'!F27),IF('Advanced Entry'!F$5="Exponential",EXP('Advanced Entry'!F27),'Advanced Entry'!F27)))-'Advanced Entry'!F$6)/('Advanced Entry'!F$7-'Advanced Entry'!F$6),10*((IF('Advanced Entry'!F$5="Logarithm",LN(0.001+'Advanced Entry'!F27),IF('Advanced Entry'!F$5="Exponential",EXP('Advanced Entry'!F27),'Advanced Entry'!F27)))-'Advanced Entry'!F$6)/('Advanced Entry'!F$7-'Advanced Entry'!F$6)),1))),"No data"))</f>
        <v/>
      </c>
      <c r="G27" s="17">
        <f>IF('Advanced Entry'!G27="","",IFERROR(MAX(0,MIN(10,ROUND(IF('Advanced Entry'!G$8="Decrease Risk",10-10*((IF('Advanced Entry'!G$5="Logarithm",LN(0.001+'Advanced Entry'!G27),IF('Advanced Entry'!G$5="Exponential",EXP('Advanced Entry'!G27),'Advanced Entry'!G27)))-'Advanced Entry'!G$6)/('Advanced Entry'!G$7-'Advanced Entry'!G$6),10*((IF('Advanced Entry'!G$5="Logarithm",LN(0.001+'Advanced Entry'!G27),IF('Advanced Entry'!G$5="Exponential",EXP('Advanced Entry'!G27),'Advanced Entry'!G27)))-'Advanced Entry'!G$6)/('Advanced Entry'!G$7-'Advanced Entry'!G$6)),1))),"No data"))</f>
        <v/>
      </c>
      <c r="H27" s="17">
        <f>IF('Advanced Entry'!H27="","",IFERROR(MAX(0,MIN(10,ROUND(IF('Advanced Entry'!H$8="Decrease Risk",10-10*((IF('Advanced Entry'!H$5="Logarithm",LN(0.001+'Advanced Entry'!H27),IF('Advanced Entry'!H$5="Exponential",EXP('Advanced Entry'!H27),'Advanced Entry'!H27)))-'Advanced Entry'!H$6)/('Advanced Entry'!H$7-'Advanced Entry'!H$6),10*((IF('Advanced Entry'!H$5="Logarithm",LN(0.001+'Advanced Entry'!H27),IF('Advanced Entry'!H$5="Exponential",EXP('Advanced Entry'!H27),'Advanced Entry'!H27)))-'Advanced Entry'!H$6)/('Advanced Entry'!H$7-'Advanced Entry'!H$6)),1))),"No data"))</f>
        <v/>
      </c>
      <c r="I27" s="17">
        <f>IF('Advanced Entry'!I27="","",IFERROR(MAX(0,MIN(10,ROUND(IF('Advanced Entry'!I$8="Decrease Risk",10-10*((IF('Advanced Entry'!I$5="Logarithm",LN(0.001+'Advanced Entry'!I27),IF('Advanced Entry'!I$5="Exponential",EXP('Advanced Entry'!I27),'Advanced Entry'!I27)))-'Advanced Entry'!I$6)/('Advanced Entry'!I$7-'Advanced Entry'!I$6),10*((IF('Advanced Entry'!I$5="Logarithm",LN(0.001+'Advanced Entry'!I27),IF('Advanced Entry'!I$5="Exponential",EXP('Advanced Entry'!I27),'Advanced Entry'!I27)))-'Advanced Entry'!I$6)/('Advanced Entry'!I$7-'Advanced Entry'!I$6)),1))),"No data"))</f>
        <v/>
      </c>
      <c r="J27" s="17">
        <f>IF('Advanced Entry'!J27="","",IFERROR(MAX(0,MIN(10,ROUND(IF('Advanced Entry'!J$8="Decrease Risk",10-10*((IF('Advanced Entry'!J$5="Logarithm",LN(0.001+'Advanced Entry'!J27),IF('Advanced Entry'!J$5="Exponential",EXP('Advanced Entry'!J27),'Advanced Entry'!J27)))-'Advanced Entry'!J$6)/('Advanced Entry'!J$7-'Advanced Entry'!J$6),10*((IF('Advanced Entry'!J$5="Logarithm",LN(0.001+'Advanced Entry'!J27),IF('Advanced Entry'!J$5="Exponential",EXP('Advanced Entry'!J27),'Advanced Entry'!J27)))-'Advanced Entry'!J$6)/('Advanced Entry'!J$7-'Advanced Entry'!J$6)),1))),"No data"))</f>
        <v/>
      </c>
      <c r="K27" s="17">
        <f>IF('Advanced Entry'!K27="","",IFERROR(MAX(0,MIN(10,ROUND(IF('Advanced Entry'!K$8="Decrease Risk",10-10*((IF('Advanced Entry'!K$5="Logarithm",LN(0.001+'Advanced Entry'!K27),IF('Advanced Entry'!K$5="Exponential",EXP('Advanced Entry'!K27),'Advanced Entry'!K27)))-'Advanced Entry'!K$6)/('Advanced Entry'!K$7-'Advanced Entry'!K$6),10*((IF('Advanced Entry'!K$5="Logarithm",LN(0.001+'Advanced Entry'!K27),IF('Advanced Entry'!K$5="Exponential",EXP('Advanced Entry'!K27),'Advanced Entry'!K27)))-'Advanced Entry'!K$6)/('Advanced Entry'!K$7-'Advanced Entry'!K$6)),1))),"No data"))</f>
        <v/>
      </c>
      <c r="L27" s="17">
        <f>IF('Advanced Entry'!L27="","",IFERROR(MAX(0,MIN(10,ROUND(IF('Advanced Entry'!L$8="Decrease Risk",10-10*((IF('Advanced Entry'!L$5="Logarithm",LN(0.001+'Advanced Entry'!L27),IF('Advanced Entry'!L$5="Exponential",EXP('Advanced Entry'!L27),'Advanced Entry'!L27)))-'Advanced Entry'!L$6)/('Advanced Entry'!L$7-'Advanced Entry'!L$6),10*((IF('Advanced Entry'!L$5="Logarithm",LN(0.001+'Advanced Entry'!L27),IF('Advanced Entry'!L$5="Exponential",EXP('Advanced Entry'!L27),'Advanced Entry'!L27)))-'Advanced Entry'!L$6)/('Advanced Entry'!L$7-'Advanced Entry'!L$6)),1))),"No data"))</f>
        <v/>
      </c>
      <c r="M27" s="17">
        <f>IF('Advanced Entry'!M27="","",IFERROR(MAX(0,MIN(10,ROUND(IF('Advanced Entry'!M$8="Decrease Risk",10-10*((IF('Advanced Entry'!M$5="Logarithm",LN(0.001+'Advanced Entry'!M27),IF('Advanced Entry'!M$5="Exponential",EXP('Advanced Entry'!M27),'Advanced Entry'!M27)))-'Advanced Entry'!M$6)/('Advanced Entry'!M$7-'Advanced Entry'!M$6),10*((IF('Advanced Entry'!M$5="Logarithm",LN(0.001+'Advanced Entry'!M27),IF('Advanced Entry'!M$5="Exponential",EXP('Advanced Entry'!M27),'Advanced Entry'!M27)))-'Advanced Entry'!M$6)/('Advanced Entry'!M$7-'Advanced Entry'!M$6)),1))),"No data"))</f>
        <v/>
      </c>
      <c r="N27" s="17">
        <f>IF('Advanced Entry'!N27="","",IFERROR(MAX(0,MIN(10,ROUND(IF('Advanced Entry'!N$8="Decrease Risk",10-10*((IF('Advanced Entry'!N$5="Logarithm",LN(0.001+'Advanced Entry'!N27),IF('Advanced Entry'!N$5="Exponential",EXP('Advanced Entry'!N27),'Advanced Entry'!N27)))-'Advanced Entry'!N$6)/('Advanced Entry'!N$7-'Advanced Entry'!N$6),10*((IF('Advanced Entry'!N$5="Logarithm",LN(0.001+'Advanced Entry'!N27),IF('Advanced Entry'!N$5="Exponential",EXP('Advanced Entry'!N27),'Advanced Entry'!N27)))-'Advanced Entry'!N$6)/('Advanced Entry'!N$7-'Advanced Entry'!N$6)),1))),"No data"))</f>
        <v/>
      </c>
      <c r="O27" s="17">
        <f>IF('Advanced Entry'!O27="","",IFERROR(MAX(0,MIN(10,ROUND(IF('Advanced Entry'!O$8="Decrease Risk",10-10*((IF('Advanced Entry'!O$5="Logarithm",LN(0.001+'Advanced Entry'!O27),IF('Advanced Entry'!O$5="Exponential",EXP('Advanced Entry'!O27),'Advanced Entry'!O27)))-'Advanced Entry'!O$6)/('Advanced Entry'!O$7-'Advanced Entry'!O$6),10*((IF('Advanced Entry'!O$5="Logarithm",LN(0.001+'Advanced Entry'!O27),IF('Advanced Entry'!O$5="Exponential",EXP('Advanced Entry'!O27),'Advanced Entry'!O27)))-'Advanced Entry'!O$6)/('Advanced Entry'!O$7-'Advanced Entry'!O$6)),1))),"No data"))</f>
        <v/>
      </c>
      <c r="P27" s="17">
        <f>IF('Advanced Entry'!P27="","",IFERROR(MAX(0,MIN(10,ROUND(IF('Advanced Entry'!P$8="Decrease Risk",10-10*((IF('Advanced Entry'!P$5="Logarithm",LN(0.001+'Advanced Entry'!P27),IF('Advanced Entry'!P$5="Exponential",EXP('Advanced Entry'!P27),'Advanced Entry'!P27)))-'Advanced Entry'!P$6)/('Advanced Entry'!P$7-'Advanced Entry'!P$6),10*((IF('Advanced Entry'!P$5="Logarithm",LN(0.001+'Advanced Entry'!P27),IF('Advanced Entry'!P$5="Exponential",EXP('Advanced Entry'!P27),'Advanced Entry'!P27)))-'Advanced Entry'!P$6)/('Advanced Entry'!P$7-'Advanced Entry'!P$6)),1))),"No data"))</f>
        <v/>
      </c>
      <c r="Q27" s="17">
        <f>IF('Advanced Entry'!Q27="","",IFERROR(MAX(0,MIN(10,ROUND(IF('Advanced Entry'!Q$8="Decrease Risk",10-10*((IF('Advanced Entry'!Q$5="Logarithm",LN(0.001+'Advanced Entry'!Q27),IF('Advanced Entry'!Q$5="Exponential",EXP('Advanced Entry'!Q27),'Advanced Entry'!Q27)))-'Advanced Entry'!Q$6)/('Advanced Entry'!Q$7-'Advanced Entry'!Q$6),10*((IF('Advanced Entry'!Q$5="Logarithm",LN(0.001+'Advanced Entry'!Q27),IF('Advanced Entry'!Q$5="Exponential",EXP('Advanced Entry'!Q27),'Advanced Entry'!Q27)))-'Advanced Entry'!Q$6)/('Advanced Entry'!Q$7-'Advanced Entry'!Q$6)),1))),"No data"))</f>
        <v/>
      </c>
      <c r="R27" s="17">
        <f>IF('Advanced Entry'!R27="","",IFERROR(MAX(0,MIN(10,ROUND(IF('Advanced Entry'!R$8="Decrease Risk",10-10*((IF('Advanced Entry'!R$5="Logarithm",LN(0.001+'Advanced Entry'!R27),IF('Advanced Entry'!R$5="Exponential",EXP('Advanced Entry'!R27),'Advanced Entry'!R27)))-'Advanced Entry'!R$6)/('Advanced Entry'!R$7-'Advanced Entry'!R$6),10*((IF('Advanced Entry'!R$5="Logarithm",LN(0.001+'Advanced Entry'!R27),IF('Advanced Entry'!R$5="Exponential",EXP('Advanced Entry'!R27),'Advanced Entry'!R27)))-'Advanced Entry'!R$6)/('Advanced Entry'!R$7-'Advanced Entry'!R$6)),1))),"No data"))</f>
        <v/>
      </c>
      <c r="S27" s="17">
        <f>IF('Advanced Entry'!S27="","",IFERROR(MAX(0,MIN(10,ROUND(IF('Advanced Entry'!S$8="Decrease Risk",10-10*((IF('Advanced Entry'!S$5="Logarithm",LN(0.001+'Advanced Entry'!S27),IF('Advanced Entry'!S$5="Exponential",EXP('Advanced Entry'!S27),'Advanced Entry'!S27)))-'Advanced Entry'!S$6)/('Advanced Entry'!S$7-'Advanced Entry'!S$6),10*((IF('Advanced Entry'!S$5="Logarithm",LN(0.001+'Advanced Entry'!S27),IF('Advanced Entry'!S$5="Exponential",EXP('Advanced Entry'!S27),'Advanced Entry'!S27)))-'Advanced Entry'!S$6)/('Advanced Entry'!S$7-'Advanced Entry'!S$6)),1))),"No data"))</f>
        <v/>
      </c>
      <c r="T27" s="17">
        <f>IF('Advanced Entry'!T27="","",IFERROR(MAX(0,MIN(10,ROUND(IF('Advanced Entry'!T$8="Decrease Risk",10-10*((IF('Advanced Entry'!T$5="Logarithm",LN(0.001+'Advanced Entry'!T27),IF('Advanced Entry'!T$5="Exponential",EXP('Advanced Entry'!T27),'Advanced Entry'!T27)))-'Advanced Entry'!T$6)/('Advanced Entry'!T$7-'Advanced Entry'!T$6),10*((IF('Advanced Entry'!T$5="Logarithm",LN(0.001+'Advanced Entry'!T27),IF('Advanced Entry'!T$5="Exponential",EXP('Advanced Entry'!T27),'Advanced Entry'!T27)))-'Advanced Entry'!T$6)/('Advanced Entry'!T$7-'Advanced Entry'!T$6)),1))),"No data"))</f>
        <v/>
      </c>
      <c r="U27" s="17">
        <f>IF('Advanced Entry'!U27="","",IFERROR(MAX(0,MIN(10,ROUND(IF('Advanced Entry'!U$8="Decrease Risk",10-10*((IF('Advanced Entry'!U$5="Logarithm",LN(0.001+'Advanced Entry'!U27),IF('Advanced Entry'!U$5="Exponential",EXP('Advanced Entry'!U27),'Advanced Entry'!U27)))-'Advanced Entry'!U$6)/('Advanced Entry'!U$7-'Advanced Entry'!U$6),10*((IF('Advanced Entry'!U$5="Logarithm",LN(0.001+'Advanced Entry'!U27),IF('Advanced Entry'!U$5="Exponential",EXP('Advanced Entry'!U27),'Advanced Entry'!U27)))-'Advanced Entry'!U$6)/('Advanced Entry'!U$7-'Advanced Entry'!U$6)),1))),"No data"))</f>
        <v/>
      </c>
      <c r="V27" s="17">
        <f>IF('Advanced Entry'!V27="","",IFERROR(MAX(0,MIN(10,ROUND(IF('Advanced Entry'!V$8="Decrease Risk",10-10*((IF('Advanced Entry'!V$5="Logarithm",LN(0.001+'Advanced Entry'!V27),IF('Advanced Entry'!V$5="Exponential",EXP('Advanced Entry'!V27),'Advanced Entry'!V27)))-'Advanced Entry'!V$6)/('Advanced Entry'!V$7-'Advanced Entry'!V$6),10*((IF('Advanced Entry'!V$5="Logarithm",LN(0.001+'Advanced Entry'!V27),IF('Advanced Entry'!V$5="Exponential",EXP('Advanced Entry'!V27),'Advanced Entry'!V27)))-'Advanced Entry'!V$6)/('Advanced Entry'!V$7-'Advanced Entry'!V$6)),1))),"No data"))</f>
        <v/>
      </c>
      <c r="W27" s="17">
        <f>IF('Advanced Entry'!W27="","",IFERROR(MAX(0,MIN(10,ROUND(IF('Advanced Entry'!W$8="Decrease Risk",10-10*((IF('Advanced Entry'!W$5="Logarithm",LN(0.001+'Advanced Entry'!W27),IF('Advanced Entry'!W$5="Exponential",EXP('Advanced Entry'!W27),'Advanced Entry'!W27)))-'Advanced Entry'!W$6)/('Advanced Entry'!W$7-'Advanced Entry'!W$6),10*((IF('Advanced Entry'!W$5="Logarithm",LN(0.001+'Advanced Entry'!W27),IF('Advanced Entry'!W$5="Exponential",EXP('Advanced Entry'!W27),'Advanced Entry'!W27)))-'Advanced Entry'!W$6)/('Advanced Entry'!W$7-'Advanced Entry'!W$6)),1))),"No data"))</f>
        <v/>
      </c>
      <c r="X27" s="17">
        <f>IF('Advanced Entry'!X27="","",IFERROR(MAX(0,MIN(10,ROUND(IF('Advanced Entry'!X$8="Decrease Risk",10-10*((IF('Advanced Entry'!X$5="Logarithm",LN(0.001+'Advanced Entry'!X27),IF('Advanced Entry'!X$5="Exponential",EXP('Advanced Entry'!X27),'Advanced Entry'!X27)))-'Advanced Entry'!X$6)/('Advanced Entry'!X$7-'Advanced Entry'!X$6),10*((IF('Advanced Entry'!X$5="Logarithm",LN(0.001+'Advanced Entry'!X27),IF('Advanced Entry'!X$5="Exponential",EXP('Advanced Entry'!X27),'Advanced Entry'!X27)))-'Advanced Entry'!X$6)/('Advanced Entry'!X$7-'Advanced Entry'!X$6)),1))),"No data"))</f>
        <v/>
      </c>
      <c r="Y27" s="17">
        <f>IF('Advanced Entry'!Y27="","",IFERROR(MAX(0,MIN(10,ROUND(IF('Advanced Entry'!Y$8="Decrease Risk",10-10*((IF('Advanced Entry'!Y$5="Logarithm",LN(0.001+'Advanced Entry'!Y27),IF('Advanced Entry'!Y$5="Exponential",EXP('Advanced Entry'!Y27),'Advanced Entry'!Y27)))-'Advanced Entry'!Y$6)/('Advanced Entry'!Y$7-'Advanced Entry'!Y$6),10*((IF('Advanced Entry'!Y$5="Logarithm",LN(0.001+'Advanced Entry'!Y27),IF('Advanced Entry'!Y$5="Exponential",EXP('Advanced Entry'!Y27),'Advanced Entry'!Y27)))-'Advanced Entry'!Y$6)/('Advanced Entry'!Y$7-'Advanced Entry'!Y$6)),1))),"No data"))</f>
        <v/>
      </c>
      <c r="Z27" s="17">
        <f>IF('Advanced Entry'!Z27="","",IFERROR(MAX(0,MIN(10,ROUND(IF('Advanced Entry'!Z$8="Decrease Risk",10-10*((IF('Advanced Entry'!Z$5="Logarithm",LN(0.001+'Advanced Entry'!Z27),IF('Advanced Entry'!Z$5="Exponential",EXP('Advanced Entry'!Z27),'Advanced Entry'!Z27)))-'Advanced Entry'!Z$6)/('Advanced Entry'!Z$7-'Advanced Entry'!Z$6),10*((IF('Advanced Entry'!Z$5="Logarithm",LN(0.001+'Advanced Entry'!Z27),IF('Advanced Entry'!Z$5="Exponential",EXP('Advanced Entry'!Z27),'Advanced Entry'!Z27)))-'Advanced Entry'!Z$6)/('Advanced Entry'!Z$7-'Advanced Entry'!Z$6)),1))),"No data"))</f>
        <v/>
      </c>
      <c r="AA27" s="17">
        <f>IF('Advanced Entry'!AA27="","",IFERROR(MAX(0,MIN(10,ROUND(IF('Advanced Entry'!AA$8="Decrease Risk",10-10*((IF('Advanced Entry'!AA$5="Logarithm",LN(0.001+'Advanced Entry'!AA27),IF('Advanced Entry'!AA$5="Exponential",EXP('Advanced Entry'!AA27),'Advanced Entry'!AA27)))-'Advanced Entry'!AA$6)/('Advanced Entry'!AA$7-'Advanced Entry'!AA$6),10*((IF('Advanced Entry'!AA$5="Logarithm",LN(0.001+'Advanced Entry'!AA27),IF('Advanced Entry'!AA$5="Exponential",EXP('Advanced Entry'!AA27),'Advanced Entry'!AA27)))-'Advanced Entry'!AA$6)/('Advanced Entry'!AA$7-'Advanced Entry'!AA$6)),1))),"No data"))</f>
        <v/>
      </c>
      <c r="AB27" s="17">
        <f>IF('Advanced Entry'!AB27="","",IFERROR(MAX(0,MIN(10,ROUND(IF('Advanced Entry'!AB$8="Decrease Risk",10-10*((IF('Advanced Entry'!AB$5="Logarithm",LN(0.001+'Advanced Entry'!AB27),IF('Advanced Entry'!AB$5="Exponential",EXP('Advanced Entry'!AB27),'Advanced Entry'!AB27)))-'Advanced Entry'!AB$6)/('Advanced Entry'!AB$7-'Advanced Entry'!AB$6),10*((IF('Advanced Entry'!AB$5="Logarithm",LN(0.001+'Advanced Entry'!AB27),IF('Advanced Entry'!AB$5="Exponential",EXP('Advanced Entry'!AB27),'Advanced Entry'!AB27)))-'Advanced Entry'!AB$6)/('Advanced Entry'!AB$7-'Advanced Entry'!AB$6)),1))),"No data"))</f>
        <v/>
      </c>
    </row>
    <row r="28">
      <c r="A28" t="inlineStr">
        <is>
          <t>Dodoma</t>
        </is>
      </c>
      <c r="B28" t="inlineStr">
        <is>
          <t>Kondoa Town</t>
        </is>
      </c>
      <c r="C28" t="inlineStr">
        <is>
          <t>C002</t>
        </is>
      </c>
      <c r="D28" s="17">
        <f>IF('Advanced Entry'!D28="","",IFERROR(MAX(0,MIN(10,ROUND(IF('Advanced Entry'!D$8="Decrease Risk",10-10*((IF('Advanced Entry'!D$5="Logarithm",LN(0.001+'Advanced Entry'!D28),IF('Advanced Entry'!D$5="Exponential",EXP('Advanced Entry'!D28),'Advanced Entry'!D28)))-'Advanced Entry'!D$6)/('Advanced Entry'!D$7-'Advanced Entry'!D$6),10*((IF('Advanced Entry'!D$5="Logarithm",LN(0.001+'Advanced Entry'!D28),IF('Advanced Entry'!D$5="Exponential",EXP('Advanced Entry'!D28),'Advanced Entry'!D28)))-'Advanced Entry'!D$6)/('Advanced Entry'!D$7-'Advanced Entry'!D$6)),1))),"No data"))</f>
        <v/>
      </c>
      <c r="E28" s="17">
        <f>IF('Advanced Entry'!E28="","",IFERROR(MAX(0,MIN(10,ROUND(IF('Advanced Entry'!E$8="Decrease Risk",10-10*((IF('Advanced Entry'!E$5="Logarithm",LN(0.001+'Advanced Entry'!E28),IF('Advanced Entry'!E$5="Exponential",EXP('Advanced Entry'!E28),'Advanced Entry'!E28)))-'Advanced Entry'!E$6)/('Advanced Entry'!E$7-'Advanced Entry'!E$6),10*((IF('Advanced Entry'!E$5="Logarithm",LN(0.001+'Advanced Entry'!E28),IF('Advanced Entry'!E$5="Exponential",EXP('Advanced Entry'!E28),'Advanced Entry'!E28)))-'Advanced Entry'!E$6)/('Advanced Entry'!E$7-'Advanced Entry'!E$6)),1))),"No data"))</f>
        <v/>
      </c>
      <c r="F28" s="17">
        <f>IF('Advanced Entry'!F28="","",IFERROR(MAX(0,MIN(10,ROUND(IF('Advanced Entry'!F$8="Decrease Risk",10-10*((IF('Advanced Entry'!F$5="Logarithm",LN(0.001+'Advanced Entry'!F28),IF('Advanced Entry'!F$5="Exponential",EXP('Advanced Entry'!F28),'Advanced Entry'!F28)))-'Advanced Entry'!F$6)/('Advanced Entry'!F$7-'Advanced Entry'!F$6),10*((IF('Advanced Entry'!F$5="Logarithm",LN(0.001+'Advanced Entry'!F28),IF('Advanced Entry'!F$5="Exponential",EXP('Advanced Entry'!F28),'Advanced Entry'!F28)))-'Advanced Entry'!F$6)/('Advanced Entry'!F$7-'Advanced Entry'!F$6)),1))),"No data"))</f>
        <v/>
      </c>
      <c r="G28" s="17">
        <f>IF('Advanced Entry'!G28="","",IFERROR(MAX(0,MIN(10,ROUND(IF('Advanced Entry'!G$8="Decrease Risk",10-10*((IF('Advanced Entry'!G$5="Logarithm",LN(0.001+'Advanced Entry'!G28),IF('Advanced Entry'!G$5="Exponential",EXP('Advanced Entry'!G28),'Advanced Entry'!G28)))-'Advanced Entry'!G$6)/('Advanced Entry'!G$7-'Advanced Entry'!G$6),10*((IF('Advanced Entry'!G$5="Logarithm",LN(0.001+'Advanced Entry'!G28),IF('Advanced Entry'!G$5="Exponential",EXP('Advanced Entry'!G28),'Advanced Entry'!G28)))-'Advanced Entry'!G$6)/('Advanced Entry'!G$7-'Advanced Entry'!G$6)),1))),"No data"))</f>
        <v/>
      </c>
      <c r="H28" s="17">
        <f>IF('Advanced Entry'!H28="","",IFERROR(MAX(0,MIN(10,ROUND(IF('Advanced Entry'!H$8="Decrease Risk",10-10*((IF('Advanced Entry'!H$5="Logarithm",LN(0.001+'Advanced Entry'!H28),IF('Advanced Entry'!H$5="Exponential",EXP('Advanced Entry'!H28),'Advanced Entry'!H28)))-'Advanced Entry'!H$6)/('Advanced Entry'!H$7-'Advanced Entry'!H$6),10*((IF('Advanced Entry'!H$5="Logarithm",LN(0.001+'Advanced Entry'!H28),IF('Advanced Entry'!H$5="Exponential",EXP('Advanced Entry'!H28),'Advanced Entry'!H28)))-'Advanced Entry'!H$6)/('Advanced Entry'!H$7-'Advanced Entry'!H$6)),1))),"No data"))</f>
        <v/>
      </c>
      <c r="I28" s="17">
        <f>IF('Advanced Entry'!I28="","",IFERROR(MAX(0,MIN(10,ROUND(IF('Advanced Entry'!I$8="Decrease Risk",10-10*((IF('Advanced Entry'!I$5="Logarithm",LN(0.001+'Advanced Entry'!I28),IF('Advanced Entry'!I$5="Exponential",EXP('Advanced Entry'!I28),'Advanced Entry'!I28)))-'Advanced Entry'!I$6)/('Advanced Entry'!I$7-'Advanced Entry'!I$6),10*((IF('Advanced Entry'!I$5="Logarithm",LN(0.001+'Advanced Entry'!I28),IF('Advanced Entry'!I$5="Exponential",EXP('Advanced Entry'!I28),'Advanced Entry'!I28)))-'Advanced Entry'!I$6)/('Advanced Entry'!I$7-'Advanced Entry'!I$6)),1))),"No data"))</f>
        <v/>
      </c>
      <c r="J28" s="17">
        <f>IF('Advanced Entry'!J28="","",IFERROR(MAX(0,MIN(10,ROUND(IF('Advanced Entry'!J$8="Decrease Risk",10-10*((IF('Advanced Entry'!J$5="Logarithm",LN(0.001+'Advanced Entry'!J28),IF('Advanced Entry'!J$5="Exponential",EXP('Advanced Entry'!J28),'Advanced Entry'!J28)))-'Advanced Entry'!J$6)/('Advanced Entry'!J$7-'Advanced Entry'!J$6),10*((IF('Advanced Entry'!J$5="Logarithm",LN(0.001+'Advanced Entry'!J28),IF('Advanced Entry'!J$5="Exponential",EXP('Advanced Entry'!J28),'Advanced Entry'!J28)))-'Advanced Entry'!J$6)/('Advanced Entry'!J$7-'Advanced Entry'!J$6)),1))),"No data"))</f>
        <v/>
      </c>
      <c r="K28" s="17">
        <f>IF('Advanced Entry'!K28="","",IFERROR(MAX(0,MIN(10,ROUND(IF('Advanced Entry'!K$8="Decrease Risk",10-10*((IF('Advanced Entry'!K$5="Logarithm",LN(0.001+'Advanced Entry'!K28),IF('Advanced Entry'!K$5="Exponential",EXP('Advanced Entry'!K28),'Advanced Entry'!K28)))-'Advanced Entry'!K$6)/('Advanced Entry'!K$7-'Advanced Entry'!K$6),10*((IF('Advanced Entry'!K$5="Logarithm",LN(0.001+'Advanced Entry'!K28),IF('Advanced Entry'!K$5="Exponential",EXP('Advanced Entry'!K28),'Advanced Entry'!K28)))-'Advanced Entry'!K$6)/('Advanced Entry'!K$7-'Advanced Entry'!K$6)),1))),"No data"))</f>
        <v/>
      </c>
      <c r="L28" s="17">
        <f>IF('Advanced Entry'!L28="","",IFERROR(MAX(0,MIN(10,ROUND(IF('Advanced Entry'!L$8="Decrease Risk",10-10*((IF('Advanced Entry'!L$5="Logarithm",LN(0.001+'Advanced Entry'!L28),IF('Advanced Entry'!L$5="Exponential",EXP('Advanced Entry'!L28),'Advanced Entry'!L28)))-'Advanced Entry'!L$6)/('Advanced Entry'!L$7-'Advanced Entry'!L$6),10*((IF('Advanced Entry'!L$5="Logarithm",LN(0.001+'Advanced Entry'!L28),IF('Advanced Entry'!L$5="Exponential",EXP('Advanced Entry'!L28),'Advanced Entry'!L28)))-'Advanced Entry'!L$6)/('Advanced Entry'!L$7-'Advanced Entry'!L$6)),1))),"No data"))</f>
        <v/>
      </c>
      <c r="M28" s="17">
        <f>IF('Advanced Entry'!M28="","",IFERROR(MAX(0,MIN(10,ROUND(IF('Advanced Entry'!M$8="Decrease Risk",10-10*((IF('Advanced Entry'!M$5="Logarithm",LN(0.001+'Advanced Entry'!M28),IF('Advanced Entry'!M$5="Exponential",EXP('Advanced Entry'!M28),'Advanced Entry'!M28)))-'Advanced Entry'!M$6)/('Advanced Entry'!M$7-'Advanced Entry'!M$6),10*((IF('Advanced Entry'!M$5="Logarithm",LN(0.001+'Advanced Entry'!M28),IF('Advanced Entry'!M$5="Exponential",EXP('Advanced Entry'!M28),'Advanced Entry'!M28)))-'Advanced Entry'!M$6)/('Advanced Entry'!M$7-'Advanced Entry'!M$6)),1))),"No data"))</f>
        <v/>
      </c>
      <c r="N28" s="17">
        <f>IF('Advanced Entry'!N28="","",IFERROR(MAX(0,MIN(10,ROUND(IF('Advanced Entry'!N$8="Decrease Risk",10-10*((IF('Advanced Entry'!N$5="Logarithm",LN(0.001+'Advanced Entry'!N28),IF('Advanced Entry'!N$5="Exponential",EXP('Advanced Entry'!N28),'Advanced Entry'!N28)))-'Advanced Entry'!N$6)/('Advanced Entry'!N$7-'Advanced Entry'!N$6),10*((IF('Advanced Entry'!N$5="Logarithm",LN(0.001+'Advanced Entry'!N28),IF('Advanced Entry'!N$5="Exponential",EXP('Advanced Entry'!N28),'Advanced Entry'!N28)))-'Advanced Entry'!N$6)/('Advanced Entry'!N$7-'Advanced Entry'!N$6)),1))),"No data"))</f>
        <v/>
      </c>
      <c r="O28" s="17">
        <f>IF('Advanced Entry'!O28="","",IFERROR(MAX(0,MIN(10,ROUND(IF('Advanced Entry'!O$8="Decrease Risk",10-10*((IF('Advanced Entry'!O$5="Logarithm",LN(0.001+'Advanced Entry'!O28),IF('Advanced Entry'!O$5="Exponential",EXP('Advanced Entry'!O28),'Advanced Entry'!O28)))-'Advanced Entry'!O$6)/('Advanced Entry'!O$7-'Advanced Entry'!O$6),10*((IF('Advanced Entry'!O$5="Logarithm",LN(0.001+'Advanced Entry'!O28),IF('Advanced Entry'!O$5="Exponential",EXP('Advanced Entry'!O28),'Advanced Entry'!O28)))-'Advanced Entry'!O$6)/('Advanced Entry'!O$7-'Advanced Entry'!O$6)),1))),"No data"))</f>
        <v/>
      </c>
      <c r="P28" s="17">
        <f>IF('Advanced Entry'!P28="","",IFERROR(MAX(0,MIN(10,ROUND(IF('Advanced Entry'!P$8="Decrease Risk",10-10*((IF('Advanced Entry'!P$5="Logarithm",LN(0.001+'Advanced Entry'!P28),IF('Advanced Entry'!P$5="Exponential",EXP('Advanced Entry'!P28),'Advanced Entry'!P28)))-'Advanced Entry'!P$6)/('Advanced Entry'!P$7-'Advanced Entry'!P$6),10*((IF('Advanced Entry'!P$5="Logarithm",LN(0.001+'Advanced Entry'!P28),IF('Advanced Entry'!P$5="Exponential",EXP('Advanced Entry'!P28),'Advanced Entry'!P28)))-'Advanced Entry'!P$6)/('Advanced Entry'!P$7-'Advanced Entry'!P$6)),1))),"No data"))</f>
        <v/>
      </c>
      <c r="Q28" s="17">
        <f>IF('Advanced Entry'!Q28="","",IFERROR(MAX(0,MIN(10,ROUND(IF('Advanced Entry'!Q$8="Decrease Risk",10-10*((IF('Advanced Entry'!Q$5="Logarithm",LN(0.001+'Advanced Entry'!Q28),IF('Advanced Entry'!Q$5="Exponential",EXP('Advanced Entry'!Q28),'Advanced Entry'!Q28)))-'Advanced Entry'!Q$6)/('Advanced Entry'!Q$7-'Advanced Entry'!Q$6),10*((IF('Advanced Entry'!Q$5="Logarithm",LN(0.001+'Advanced Entry'!Q28),IF('Advanced Entry'!Q$5="Exponential",EXP('Advanced Entry'!Q28),'Advanced Entry'!Q28)))-'Advanced Entry'!Q$6)/('Advanced Entry'!Q$7-'Advanced Entry'!Q$6)),1))),"No data"))</f>
        <v/>
      </c>
      <c r="R28" s="17">
        <f>IF('Advanced Entry'!R28="","",IFERROR(MAX(0,MIN(10,ROUND(IF('Advanced Entry'!R$8="Decrease Risk",10-10*((IF('Advanced Entry'!R$5="Logarithm",LN(0.001+'Advanced Entry'!R28),IF('Advanced Entry'!R$5="Exponential",EXP('Advanced Entry'!R28),'Advanced Entry'!R28)))-'Advanced Entry'!R$6)/('Advanced Entry'!R$7-'Advanced Entry'!R$6),10*((IF('Advanced Entry'!R$5="Logarithm",LN(0.001+'Advanced Entry'!R28),IF('Advanced Entry'!R$5="Exponential",EXP('Advanced Entry'!R28),'Advanced Entry'!R28)))-'Advanced Entry'!R$6)/('Advanced Entry'!R$7-'Advanced Entry'!R$6)),1))),"No data"))</f>
        <v/>
      </c>
      <c r="S28" s="17">
        <f>IF('Advanced Entry'!S28="","",IFERROR(MAX(0,MIN(10,ROUND(IF('Advanced Entry'!S$8="Decrease Risk",10-10*((IF('Advanced Entry'!S$5="Logarithm",LN(0.001+'Advanced Entry'!S28),IF('Advanced Entry'!S$5="Exponential",EXP('Advanced Entry'!S28),'Advanced Entry'!S28)))-'Advanced Entry'!S$6)/('Advanced Entry'!S$7-'Advanced Entry'!S$6),10*((IF('Advanced Entry'!S$5="Logarithm",LN(0.001+'Advanced Entry'!S28),IF('Advanced Entry'!S$5="Exponential",EXP('Advanced Entry'!S28),'Advanced Entry'!S28)))-'Advanced Entry'!S$6)/('Advanced Entry'!S$7-'Advanced Entry'!S$6)),1))),"No data"))</f>
        <v/>
      </c>
      <c r="T28" s="17">
        <f>IF('Advanced Entry'!T28="","",IFERROR(MAX(0,MIN(10,ROUND(IF('Advanced Entry'!T$8="Decrease Risk",10-10*((IF('Advanced Entry'!T$5="Logarithm",LN(0.001+'Advanced Entry'!T28),IF('Advanced Entry'!T$5="Exponential",EXP('Advanced Entry'!T28),'Advanced Entry'!T28)))-'Advanced Entry'!T$6)/('Advanced Entry'!T$7-'Advanced Entry'!T$6),10*((IF('Advanced Entry'!T$5="Logarithm",LN(0.001+'Advanced Entry'!T28),IF('Advanced Entry'!T$5="Exponential",EXP('Advanced Entry'!T28),'Advanced Entry'!T28)))-'Advanced Entry'!T$6)/('Advanced Entry'!T$7-'Advanced Entry'!T$6)),1))),"No data"))</f>
        <v/>
      </c>
      <c r="U28" s="17">
        <f>IF('Advanced Entry'!U28="","",IFERROR(MAX(0,MIN(10,ROUND(IF('Advanced Entry'!U$8="Decrease Risk",10-10*((IF('Advanced Entry'!U$5="Logarithm",LN(0.001+'Advanced Entry'!U28),IF('Advanced Entry'!U$5="Exponential",EXP('Advanced Entry'!U28),'Advanced Entry'!U28)))-'Advanced Entry'!U$6)/('Advanced Entry'!U$7-'Advanced Entry'!U$6),10*((IF('Advanced Entry'!U$5="Logarithm",LN(0.001+'Advanced Entry'!U28),IF('Advanced Entry'!U$5="Exponential",EXP('Advanced Entry'!U28),'Advanced Entry'!U28)))-'Advanced Entry'!U$6)/('Advanced Entry'!U$7-'Advanced Entry'!U$6)),1))),"No data"))</f>
        <v/>
      </c>
      <c r="V28" s="17">
        <f>IF('Advanced Entry'!V28="","",IFERROR(MAX(0,MIN(10,ROUND(IF('Advanced Entry'!V$8="Decrease Risk",10-10*((IF('Advanced Entry'!V$5="Logarithm",LN(0.001+'Advanced Entry'!V28),IF('Advanced Entry'!V$5="Exponential",EXP('Advanced Entry'!V28),'Advanced Entry'!V28)))-'Advanced Entry'!V$6)/('Advanced Entry'!V$7-'Advanced Entry'!V$6),10*((IF('Advanced Entry'!V$5="Logarithm",LN(0.001+'Advanced Entry'!V28),IF('Advanced Entry'!V$5="Exponential",EXP('Advanced Entry'!V28),'Advanced Entry'!V28)))-'Advanced Entry'!V$6)/('Advanced Entry'!V$7-'Advanced Entry'!V$6)),1))),"No data"))</f>
        <v/>
      </c>
      <c r="W28" s="17">
        <f>IF('Advanced Entry'!W28="","",IFERROR(MAX(0,MIN(10,ROUND(IF('Advanced Entry'!W$8="Decrease Risk",10-10*((IF('Advanced Entry'!W$5="Logarithm",LN(0.001+'Advanced Entry'!W28),IF('Advanced Entry'!W$5="Exponential",EXP('Advanced Entry'!W28),'Advanced Entry'!W28)))-'Advanced Entry'!W$6)/('Advanced Entry'!W$7-'Advanced Entry'!W$6),10*((IF('Advanced Entry'!W$5="Logarithm",LN(0.001+'Advanced Entry'!W28),IF('Advanced Entry'!W$5="Exponential",EXP('Advanced Entry'!W28),'Advanced Entry'!W28)))-'Advanced Entry'!W$6)/('Advanced Entry'!W$7-'Advanced Entry'!W$6)),1))),"No data"))</f>
        <v/>
      </c>
      <c r="X28" s="17">
        <f>IF('Advanced Entry'!X28="","",IFERROR(MAX(0,MIN(10,ROUND(IF('Advanced Entry'!X$8="Decrease Risk",10-10*((IF('Advanced Entry'!X$5="Logarithm",LN(0.001+'Advanced Entry'!X28),IF('Advanced Entry'!X$5="Exponential",EXP('Advanced Entry'!X28),'Advanced Entry'!X28)))-'Advanced Entry'!X$6)/('Advanced Entry'!X$7-'Advanced Entry'!X$6),10*((IF('Advanced Entry'!X$5="Logarithm",LN(0.001+'Advanced Entry'!X28),IF('Advanced Entry'!X$5="Exponential",EXP('Advanced Entry'!X28),'Advanced Entry'!X28)))-'Advanced Entry'!X$6)/('Advanced Entry'!X$7-'Advanced Entry'!X$6)),1))),"No data"))</f>
        <v/>
      </c>
      <c r="Y28" s="17">
        <f>IF('Advanced Entry'!Y28="","",IFERROR(MAX(0,MIN(10,ROUND(IF('Advanced Entry'!Y$8="Decrease Risk",10-10*((IF('Advanced Entry'!Y$5="Logarithm",LN(0.001+'Advanced Entry'!Y28),IF('Advanced Entry'!Y$5="Exponential",EXP('Advanced Entry'!Y28),'Advanced Entry'!Y28)))-'Advanced Entry'!Y$6)/('Advanced Entry'!Y$7-'Advanced Entry'!Y$6),10*((IF('Advanced Entry'!Y$5="Logarithm",LN(0.001+'Advanced Entry'!Y28),IF('Advanced Entry'!Y$5="Exponential",EXP('Advanced Entry'!Y28),'Advanced Entry'!Y28)))-'Advanced Entry'!Y$6)/('Advanced Entry'!Y$7-'Advanced Entry'!Y$6)),1))),"No data"))</f>
        <v/>
      </c>
      <c r="Z28" s="17">
        <f>IF('Advanced Entry'!Z28="","",IFERROR(MAX(0,MIN(10,ROUND(IF('Advanced Entry'!Z$8="Decrease Risk",10-10*((IF('Advanced Entry'!Z$5="Logarithm",LN(0.001+'Advanced Entry'!Z28),IF('Advanced Entry'!Z$5="Exponential",EXP('Advanced Entry'!Z28),'Advanced Entry'!Z28)))-'Advanced Entry'!Z$6)/('Advanced Entry'!Z$7-'Advanced Entry'!Z$6),10*((IF('Advanced Entry'!Z$5="Logarithm",LN(0.001+'Advanced Entry'!Z28),IF('Advanced Entry'!Z$5="Exponential",EXP('Advanced Entry'!Z28),'Advanced Entry'!Z28)))-'Advanced Entry'!Z$6)/('Advanced Entry'!Z$7-'Advanced Entry'!Z$6)),1))),"No data"))</f>
        <v/>
      </c>
      <c r="AA28" s="17">
        <f>IF('Advanced Entry'!AA28="","",IFERROR(MAX(0,MIN(10,ROUND(IF('Advanced Entry'!AA$8="Decrease Risk",10-10*((IF('Advanced Entry'!AA$5="Logarithm",LN(0.001+'Advanced Entry'!AA28),IF('Advanced Entry'!AA$5="Exponential",EXP('Advanced Entry'!AA28),'Advanced Entry'!AA28)))-'Advanced Entry'!AA$6)/('Advanced Entry'!AA$7-'Advanced Entry'!AA$6),10*((IF('Advanced Entry'!AA$5="Logarithm",LN(0.001+'Advanced Entry'!AA28),IF('Advanced Entry'!AA$5="Exponential",EXP('Advanced Entry'!AA28),'Advanced Entry'!AA28)))-'Advanced Entry'!AA$6)/('Advanced Entry'!AA$7-'Advanced Entry'!AA$6)),1))),"No data"))</f>
        <v/>
      </c>
      <c r="AB28" s="17">
        <f>IF('Advanced Entry'!AB28="","",IFERROR(MAX(0,MIN(10,ROUND(IF('Advanced Entry'!AB$8="Decrease Risk",10-10*((IF('Advanced Entry'!AB$5="Logarithm",LN(0.001+'Advanced Entry'!AB28),IF('Advanced Entry'!AB$5="Exponential",EXP('Advanced Entry'!AB28),'Advanced Entry'!AB28)))-'Advanced Entry'!AB$6)/('Advanced Entry'!AB$7-'Advanced Entry'!AB$6),10*((IF('Advanced Entry'!AB$5="Logarithm",LN(0.001+'Advanced Entry'!AB28),IF('Advanced Entry'!AB$5="Exponential",EXP('Advanced Entry'!AB28),'Advanced Entry'!AB28)))-'Advanced Entry'!AB$6)/('Advanced Entry'!AB$7-'Advanced Entry'!AB$6)),1))),"No data"))</f>
        <v/>
      </c>
    </row>
    <row r="29">
      <c r="A29" t="inlineStr">
        <is>
          <t>Dodoma</t>
        </is>
      </c>
      <c r="B29" t="inlineStr">
        <is>
          <t>Kongwa District</t>
        </is>
      </c>
      <c r="C29" t="inlineStr">
        <is>
          <t>C004</t>
        </is>
      </c>
      <c r="D29" s="17">
        <f>IF('Advanced Entry'!D29="","",IFERROR(MAX(0,MIN(10,ROUND(IF('Advanced Entry'!D$8="Decrease Risk",10-10*((IF('Advanced Entry'!D$5="Logarithm",LN(0.001+'Advanced Entry'!D29),IF('Advanced Entry'!D$5="Exponential",EXP('Advanced Entry'!D29),'Advanced Entry'!D29)))-'Advanced Entry'!D$6)/('Advanced Entry'!D$7-'Advanced Entry'!D$6),10*((IF('Advanced Entry'!D$5="Logarithm",LN(0.001+'Advanced Entry'!D29),IF('Advanced Entry'!D$5="Exponential",EXP('Advanced Entry'!D29),'Advanced Entry'!D29)))-'Advanced Entry'!D$6)/('Advanced Entry'!D$7-'Advanced Entry'!D$6)),1))),"No data"))</f>
        <v/>
      </c>
      <c r="E29" s="17">
        <f>IF('Advanced Entry'!E29="","",IFERROR(MAX(0,MIN(10,ROUND(IF('Advanced Entry'!E$8="Decrease Risk",10-10*((IF('Advanced Entry'!E$5="Logarithm",LN(0.001+'Advanced Entry'!E29),IF('Advanced Entry'!E$5="Exponential",EXP('Advanced Entry'!E29),'Advanced Entry'!E29)))-'Advanced Entry'!E$6)/('Advanced Entry'!E$7-'Advanced Entry'!E$6),10*((IF('Advanced Entry'!E$5="Logarithm",LN(0.001+'Advanced Entry'!E29),IF('Advanced Entry'!E$5="Exponential",EXP('Advanced Entry'!E29),'Advanced Entry'!E29)))-'Advanced Entry'!E$6)/('Advanced Entry'!E$7-'Advanced Entry'!E$6)),1))),"No data"))</f>
        <v/>
      </c>
      <c r="F29" s="17">
        <f>IF('Advanced Entry'!F29="","",IFERROR(MAX(0,MIN(10,ROUND(IF('Advanced Entry'!F$8="Decrease Risk",10-10*((IF('Advanced Entry'!F$5="Logarithm",LN(0.001+'Advanced Entry'!F29),IF('Advanced Entry'!F$5="Exponential",EXP('Advanced Entry'!F29),'Advanced Entry'!F29)))-'Advanced Entry'!F$6)/('Advanced Entry'!F$7-'Advanced Entry'!F$6),10*((IF('Advanced Entry'!F$5="Logarithm",LN(0.001+'Advanced Entry'!F29),IF('Advanced Entry'!F$5="Exponential",EXP('Advanced Entry'!F29),'Advanced Entry'!F29)))-'Advanced Entry'!F$6)/('Advanced Entry'!F$7-'Advanced Entry'!F$6)),1))),"No data"))</f>
        <v/>
      </c>
      <c r="G29" s="17">
        <f>IF('Advanced Entry'!G29="","",IFERROR(MAX(0,MIN(10,ROUND(IF('Advanced Entry'!G$8="Decrease Risk",10-10*((IF('Advanced Entry'!G$5="Logarithm",LN(0.001+'Advanced Entry'!G29),IF('Advanced Entry'!G$5="Exponential",EXP('Advanced Entry'!G29),'Advanced Entry'!G29)))-'Advanced Entry'!G$6)/('Advanced Entry'!G$7-'Advanced Entry'!G$6),10*((IF('Advanced Entry'!G$5="Logarithm",LN(0.001+'Advanced Entry'!G29),IF('Advanced Entry'!G$5="Exponential",EXP('Advanced Entry'!G29),'Advanced Entry'!G29)))-'Advanced Entry'!G$6)/('Advanced Entry'!G$7-'Advanced Entry'!G$6)),1))),"No data"))</f>
        <v/>
      </c>
      <c r="H29" s="17">
        <f>IF('Advanced Entry'!H29="","",IFERROR(MAX(0,MIN(10,ROUND(IF('Advanced Entry'!H$8="Decrease Risk",10-10*((IF('Advanced Entry'!H$5="Logarithm",LN(0.001+'Advanced Entry'!H29),IF('Advanced Entry'!H$5="Exponential",EXP('Advanced Entry'!H29),'Advanced Entry'!H29)))-'Advanced Entry'!H$6)/('Advanced Entry'!H$7-'Advanced Entry'!H$6),10*((IF('Advanced Entry'!H$5="Logarithm",LN(0.001+'Advanced Entry'!H29),IF('Advanced Entry'!H$5="Exponential",EXP('Advanced Entry'!H29),'Advanced Entry'!H29)))-'Advanced Entry'!H$6)/('Advanced Entry'!H$7-'Advanced Entry'!H$6)),1))),"No data"))</f>
        <v/>
      </c>
      <c r="I29" s="17">
        <f>IF('Advanced Entry'!I29="","",IFERROR(MAX(0,MIN(10,ROUND(IF('Advanced Entry'!I$8="Decrease Risk",10-10*((IF('Advanced Entry'!I$5="Logarithm",LN(0.001+'Advanced Entry'!I29),IF('Advanced Entry'!I$5="Exponential",EXP('Advanced Entry'!I29),'Advanced Entry'!I29)))-'Advanced Entry'!I$6)/('Advanced Entry'!I$7-'Advanced Entry'!I$6),10*((IF('Advanced Entry'!I$5="Logarithm",LN(0.001+'Advanced Entry'!I29),IF('Advanced Entry'!I$5="Exponential",EXP('Advanced Entry'!I29),'Advanced Entry'!I29)))-'Advanced Entry'!I$6)/('Advanced Entry'!I$7-'Advanced Entry'!I$6)),1))),"No data"))</f>
        <v/>
      </c>
      <c r="J29" s="17">
        <f>IF('Advanced Entry'!J29="","",IFERROR(MAX(0,MIN(10,ROUND(IF('Advanced Entry'!J$8="Decrease Risk",10-10*((IF('Advanced Entry'!J$5="Logarithm",LN(0.001+'Advanced Entry'!J29),IF('Advanced Entry'!J$5="Exponential",EXP('Advanced Entry'!J29),'Advanced Entry'!J29)))-'Advanced Entry'!J$6)/('Advanced Entry'!J$7-'Advanced Entry'!J$6),10*((IF('Advanced Entry'!J$5="Logarithm",LN(0.001+'Advanced Entry'!J29),IF('Advanced Entry'!J$5="Exponential",EXP('Advanced Entry'!J29),'Advanced Entry'!J29)))-'Advanced Entry'!J$6)/('Advanced Entry'!J$7-'Advanced Entry'!J$6)),1))),"No data"))</f>
        <v/>
      </c>
      <c r="K29" s="17">
        <f>IF('Advanced Entry'!K29="","",IFERROR(MAX(0,MIN(10,ROUND(IF('Advanced Entry'!K$8="Decrease Risk",10-10*((IF('Advanced Entry'!K$5="Logarithm",LN(0.001+'Advanced Entry'!K29),IF('Advanced Entry'!K$5="Exponential",EXP('Advanced Entry'!K29),'Advanced Entry'!K29)))-'Advanced Entry'!K$6)/('Advanced Entry'!K$7-'Advanced Entry'!K$6),10*((IF('Advanced Entry'!K$5="Logarithm",LN(0.001+'Advanced Entry'!K29),IF('Advanced Entry'!K$5="Exponential",EXP('Advanced Entry'!K29),'Advanced Entry'!K29)))-'Advanced Entry'!K$6)/('Advanced Entry'!K$7-'Advanced Entry'!K$6)),1))),"No data"))</f>
        <v/>
      </c>
      <c r="L29" s="17">
        <f>IF('Advanced Entry'!L29="","",IFERROR(MAX(0,MIN(10,ROUND(IF('Advanced Entry'!L$8="Decrease Risk",10-10*((IF('Advanced Entry'!L$5="Logarithm",LN(0.001+'Advanced Entry'!L29),IF('Advanced Entry'!L$5="Exponential",EXP('Advanced Entry'!L29),'Advanced Entry'!L29)))-'Advanced Entry'!L$6)/('Advanced Entry'!L$7-'Advanced Entry'!L$6),10*((IF('Advanced Entry'!L$5="Logarithm",LN(0.001+'Advanced Entry'!L29),IF('Advanced Entry'!L$5="Exponential",EXP('Advanced Entry'!L29),'Advanced Entry'!L29)))-'Advanced Entry'!L$6)/('Advanced Entry'!L$7-'Advanced Entry'!L$6)),1))),"No data"))</f>
        <v/>
      </c>
      <c r="M29" s="17">
        <f>IF('Advanced Entry'!M29="","",IFERROR(MAX(0,MIN(10,ROUND(IF('Advanced Entry'!M$8="Decrease Risk",10-10*((IF('Advanced Entry'!M$5="Logarithm",LN(0.001+'Advanced Entry'!M29),IF('Advanced Entry'!M$5="Exponential",EXP('Advanced Entry'!M29),'Advanced Entry'!M29)))-'Advanced Entry'!M$6)/('Advanced Entry'!M$7-'Advanced Entry'!M$6),10*((IF('Advanced Entry'!M$5="Logarithm",LN(0.001+'Advanced Entry'!M29),IF('Advanced Entry'!M$5="Exponential",EXP('Advanced Entry'!M29),'Advanced Entry'!M29)))-'Advanced Entry'!M$6)/('Advanced Entry'!M$7-'Advanced Entry'!M$6)),1))),"No data"))</f>
        <v/>
      </c>
      <c r="N29" s="17">
        <f>IF('Advanced Entry'!N29="","",IFERROR(MAX(0,MIN(10,ROUND(IF('Advanced Entry'!N$8="Decrease Risk",10-10*((IF('Advanced Entry'!N$5="Logarithm",LN(0.001+'Advanced Entry'!N29),IF('Advanced Entry'!N$5="Exponential",EXP('Advanced Entry'!N29),'Advanced Entry'!N29)))-'Advanced Entry'!N$6)/('Advanced Entry'!N$7-'Advanced Entry'!N$6),10*((IF('Advanced Entry'!N$5="Logarithm",LN(0.001+'Advanced Entry'!N29),IF('Advanced Entry'!N$5="Exponential",EXP('Advanced Entry'!N29),'Advanced Entry'!N29)))-'Advanced Entry'!N$6)/('Advanced Entry'!N$7-'Advanced Entry'!N$6)),1))),"No data"))</f>
        <v/>
      </c>
      <c r="O29" s="17">
        <f>IF('Advanced Entry'!O29="","",IFERROR(MAX(0,MIN(10,ROUND(IF('Advanced Entry'!O$8="Decrease Risk",10-10*((IF('Advanced Entry'!O$5="Logarithm",LN(0.001+'Advanced Entry'!O29),IF('Advanced Entry'!O$5="Exponential",EXP('Advanced Entry'!O29),'Advanced Entry'!O29)))-'Advanced Entry'!O$6)/('Advanced Entry'!O$7-'Advanced Entry'!O$6),10*((IF('Advanced Entry'!O$5="Logarithm",LN(0.001+'Advanced Entry'!O29),IF('Advanced Entry'!O$5="Exponential",EXP('Advanced Entry'!O29),'Advanced Entry'!O29)))-'Advanced Entry'!O$6)/('Advanced Entry'!O$7-'Advanced Entry'!O$6)),1))),"No data"))</f>
        <v/>
      </c>
      <c r="P29" s="17">
        <f>IF('Advanced Entry'!P29="","",IFERROR(MAX(0,MIN(10,ROUND(IF('Advanced Entry'!P$8="Decrease Risk",10-10*((IF('Advanced Entry'!P$5="Logarithm",LN(0.001+'Advanced Entry'!P29),IF('Advanced Entry'!P$5="Exponential",EXP('Advanced Entry'!P29),'Advanced Entry'!P29)))-'Advanced Entry'!P$6)/('Advanced Entry'!P$7-'Advanced Entry'!P$6),10*((IF('Advanced Entry'!P$5="Logarithm",LN(0.001+'Advanced Entry'!P29),IF('Advanced Entry'!P$5="Exponential",EXP('Advanced Entry'!P29),'Advanced Entry'!P29)))-'Advanced Entry'!P$6)/('Advanced Entry'!P$7-'Advanced Entry'!P$6)),1))),"No data"))</f>
        <v/>
      </c>
      <c r="Q29" s="17">
        <f>IF('Advanced Entry'!Q29="","",IFERROR(MAX(0,MIN(10,ROUND(IF('Advanced Entry'!Q$8="Decrease Risk",10-10*((IF('Advanced Entry'!Q$5="Logarithm",LN(0.001+'Advanced Entry'!Q29),IF('Advanced Entry'!Q$5="Exponential",EXP('Advanced Entry'!Q29),'Advanced Entry'!Q29)))-'Advanced Entry'!Q$6)/('Advanced Entry'!Q$7-'Advanced Entry'!Q$6),10*((IF('Advanced Entry'!Q$5="Logarithm",LN(0.001+'Advanced Entry'!Q29),IF('Advanced Entry'!Q$5="Exponential",EXP('Advanced Entry'!Q29),'Advanced Entry'!Q29)))-'Advanced Entry'!Q$6)/('Advanced Entry'!Q$7-'Advanced Entry'!Q$6)),1))),"No data"))</f>
        <v/>
      </c>
      <c r="R29" s="17">
        <f>IF('Advanced Entry'!R29="","",IFERROR(MAX(0,MIN(10,ROUND(IF('Advanced Entry'!R$8="Decrease Risk",10-10*((IF('Advanced Entry'!R$5="Logarithm",LN(0.001+'Advanced Entry'!R29),IF('Advanced Entry'!R$5="Exponential",EXP('Advanced Entry'!R29),'Advanced Entry'!R29)))-'Advanced Entry'!R$6)/('Advanced Entry'!R$7-'Advanced Entry'!R$6),10*((IF('Advanced Entry'!R$5="Logarithm",LN(0.001+'Advanced Entry'!R29),IF('Advanced Entry'!R$5="Exponential",EXP('Advanced Entry'!R29),'Advanced Entry'!R29)))-'Advanced Entry'!R$6)/('Advanced Entry'!R$7-'Advanced Entry'!R$6)),1))),"No data"))</f>
        <v/>
      </c>
      <c r="S29" s="17">
        <f>IF('Advanced Entry'!S29="","",IFERROR(MAX(0,MIN(10,ROUND(IF('Advanced Entry'!S$8="Decrease Risk",10-10*((IF('Advanced Entry'!S$5="Logarithm",LN(0.001+'Advanced Entry'!S29),IF('Advanced Entry'!S$5="Exponential",EXP('Advanced Entry'!S29),'Advanced Entry'!S29)))-'Advanced Entry'!S$6)/('Advanced Entry'!S$7-'Advanced Entry'!S$6),10*((IF('Advanced Entry'!S$5="Logarithm",LN(0.001+'Advanced Entry'!S29),IF('Advanced Entry'!S$5="Exponential",EXP('Advanced Entry'!S29),'Advanced Entry'!S29)))-'Advanced Entry'!S$6)/('Advanced Entry'!S$7-'Advanced Entry'!S$6)),1))),"No data"))</f>
        <v/>
      </c>
      <c r="T29" s="17">
        <f>IF('Advanced Entry'!T29="","",IFERROR(MAX(0,MIN(10,ROUND(IF('Advanced Entry'!T$8="Decrease Risk",10-10*((IF('Advanced Entry'!T$5="Logarithm",LN(0.001+'Advanced Entry'!T29),IF('Advanced Entry'!T$5="Exponential",EXP('Advanced Entry'!T29),'Advanced Entry'!T29)))-'Advanced Entry'!T$6)/('Advanced Entry'!T$7-'Advanced Entry'!T$6),10*((IF('Advanced Entry'!T$5="Logarithm",LN(0.001+'Advanced Entry'!T29),IF('Advanced Entry'!T$5="Exponential",EXP('Advanced Entry'!T29),'Advanced Entry'!T29)))-'Advanced Entry'!T$6)/('Advanced Entry'!T$7-'Advanced Entry'!T$6)),1))),"No data"))</f>
        <v/>
      </c>
      <c r="U29" s="17">
        <f>IF('Advanced Entry'!U29="","",IFERROR(MAX(0,MIN(10,ROUND(IF('Advanced Entry'!U$8="Decrease Risk",10-10*((IF('Advanced Entry'!U$5="Logarithm",LN(0.001+'Advanced Entry'!U29),IF('Advanced Entry'!U$5="Exponential",EXP('Advanced Entry'!U29),'Advanced Entry'!U29)))-'Advanced Entry'!U$6)/('Advanced Entry'!U$7-'Advanced Entry'!U$6),10*((IF('Advanced Entry'!U$5="Logarithm",LN(0.001+'Advanced Entry'!U29),IF('Advanced Entry'!U$5="Exponential",EXP('Advanced Entry'!U29),'Advanced Entry'!U29)))-'Advanced Entry'!U$6)/('Advanced Entry'!U$7-'Advanced Entry'!U$6)),1))),"No data"))</f>
        <v/>
      </c>
      <c r="V29" s="17">
        <f>IF('Advanced Entry'!V29="","",IFERROR(MAX(0,MIN(10,ROUND(IF('Advanced Entry'!V$8="Decrease Risk",10-10*((IF('Advanced Entry'!V$5="Logarithm",LN(0.001+'Advanced Entry'!V29),IF('Advanced Entry'!V$5="Exponential",EXP('Advanced Entry'!V29),'Advanced Entry'!V29)))-'Advanced Entry'!V$6)/('Advanced Entry'!V$7-'Advanced Entry'!V$6),10*((IF('Advanced Entry'!V$5="Logarithm",LN(0.001+'Advanced Entry'!V29),IF('Advanced Entry'!V$5="Exponential",EXP('Advanced Entry'!V29),'Advanced Entry'!V29)))-'Advanced Entry'!V$6)/('Advanced Entry'!V$7-'Advanced Entry'!V$6)),1))),"No data"))</f>
        <v/>
      </c>
      <c r="W29" s="17">
        <f>IF('Advanced Entry'!W29="","",IFERROR(MAX(0,MIN(10,ROUND(IF('Advanced Entry'!W$8="Decrease Risk",10-10*((IF('Advanced Entry'!W$5="Logarithm",LN(0.001+'Advanced Entry'!W29),IF('Advanced Entry'!W$5="Exponential",EXP('Advanced Entry'!W29),'Advanced Entry'!W29)))-'Advanced Entry'!W$6)/('Advanced Entry'!W$7-'Advanced Entry'!W$6),10*((IF('Advanced Entry'!W$5="Logarithm",LN(0.001+'Advanced Entry'!W29),IF('Advanced Entry'!W$5="Exponential",EXP('Advanced Entry'!W29),'Advanced Entry'!W29)))-'Advanced Entry'!W$6)/('Advanced Entry'!W$7-'Advanced Entry'!W$6)),1))),"No data"))</f>
        <v/>
      </c>
      <c r="X29" s="17">
        <f>IF('Advanced Entry'!X29="","",IFERROR(MAX(0,MIN(10,ROUND(IF('Advanced Entry'!X$8="Decrease Risk",10-10*((IF('Advanced Entry'!X$5="Logarithm",LN(0.001+'Advanced Entry'!X29),IF('Advanced Entry'!X$5="Exponential",EXP('Advanced Entry'!X29),'Advanced Entry'!X29)))-'Advanced Entry'!X$6)/('Advanced Entry'!X$7-'Advanced Entry'!X$6),10*((IF('Advanced Entry'!X$5="Logarithm",LN(0.001+'Advanced Entry'!X29),IF('Advanced Entry'!X$5="Exponential",EXP('Advanced Entry'!X29),'Advanced Entry'!X29)))-'Advanced Entry'!X$6)/('Advanced Entry'!X$7-'Advanced Entry'!X$6)),1))),"No data"))</f>
        <v/>
      </c>
      <c r="Y29" s="17">
        <f>IF('Advanced Entry'!Y29="","",IFERROR(MAX(0,MIN(10,ROUND(IF('Advanced Entry'!Y$8="Decrease Risk",10-10*((IF('Advanced Entry'!Y$5="Logarithm",LN(0.001+'Advanced Entry'!Y29),IF('Advanced Entry'!Y$5="Exponential",EXP('Advanced Entry'!Y29),'Advanced Entry'!Y29)))-'Advanced Entry'!Y$6)/('Advanced Entry'!Y$7-'Advanced Entry'!Y$6),10*((IF('Advanced Entry'!Y$5="Logarithm",LN(0.001+'Advanced Entry'!Y29),IF('Advanced Entry'!Y$5="Exponential",EXP('Advanced Entry'!Y29),'Advanced Entry'!Y29)))-'Advanced Entry'!Y$6)/('Advanced Entry'!Y$7-'Advanced Entry'!Y$6)),1))),"No data"))</f>
        <v/>
      </c>
      <c r="Z29" s="17">
        <f>IF('Advanced Entry'!Z29="","",IFERROR(MAX(0,MIN(10,ROUND(IF('Advanced Entry'!Z$8="Decrease Risk",10-10*((IF('Advanced Entry'!Z$5="Logarithm",LN(0.001+'Advanced Entry'!Z29),IF('Advanced Entry'!Z$5="Exponential",EXP('Advanced Entry'!Z29),'Advanced Entry'!Z29)))-'Advanced Entry'!Z$6)/('Advanced Entry'!Z$7-'Advanced Entry'!Z$6),10*((IF('Advanced Entry'!Z$5="Logarithm",LN(0.001+'Advanced Entry'!Z29),IF('Advanced Entry'!Z$5="Exponential",EXP('Advanced Entry'!Z29),'Advanced Entry'!Z29)))-'Advanced Entry'!Z$6)/('Advanced Entry'!Z$7-'Advanced Entry'!Z$6)),1))),"No data"))</f>
        <v/>
      </c>
      <c r="AA29" s="17">
        <f>IF('Advanced Entry'!AA29="","",IFERROR(MAX(0,MIN(10,ROUND(IF('Advanced Entry'!AA$8="Decrease Risk",10-10*((IF('Advanced Entry'!AA$5="Logarithm",LN(0.001+'Advanced Entry'!AA29),IF('Advanced Entry'!AA$5="Exponential",EXP('Advanced Entry'!AA29),'Advanced Entry'!AA29)))-'Advanced Entry'!AA$6)/('Advanced Entry'!AA$7-'Advanced Entry'!AA$6),10*((IF('Advanced Entry'!AA$5="Logarithm",LN(0.001+'Advanced Entry'!AA29),IF('Advanced Entry'!AA$5="Exponential",EXP('Advanced Entry'!AA29),'Advanced Entry'!AA29)))-'Advanced Entry'!AA$6)/('Advanced Entry'!AA$7-'Advanced Entry'!AA$6)),1))),"No data"))</f>
        <v/>
      </c>
      <c r="AB29" s="17">
        <f>IF('Advanced Entry'!AB29="","",IFERROR(MAX(0,MIN(10,ROUND(IF('Advanced Entry'!AB$8="Decrease Risk",10-10*((IF('Advanced Entry'!AB$5="Logarithm",LN(0.001+'Advanced Entry'!AB29),IF('Advanced Entry'!AB$5="Exponential",EXP('Advanced Entry'!AB29),'Advanced Entry'!AB29)))-'Advanced Entry'!AB$6)/('Advanced Entry'!AB$7-'Advanced Entry'!AB$6),10*((IF('Advanced Entry'!AB$5="Logarithm",LN(0.001+'Advanced Entry'!AB29),IF('Advanced Entry'!AB$5="Exponential",EXP('Advanced Entry'!AB29),'Advanced Entry'!AB29)))-'Advanced Entry'!AB$6)/('Advanced Entry'!AB$7-'Advanced Entry'!AB$6)),1))),"No data"))</f>
        <v/>
      </c>
    </row>
    <row r="30">
      <c r="A30" t="inlineStr">
        <is>
          <t>Dodoma</t>
        </is>
      </c>
      <c r="B30" t="inlineStr">
        <is>
          <t>Mpwapwa District</t>
        </is>
      </c>
      <c r="C30" t="inlineStr">
        <is>
          <t>C003</t>
        </is>
      </c>
      <c r="D30" s="17">
        <f>IF('Advanced Entry'!D30="","",IFERROR(MAX(0,MIN(10,ROUND(IF('Advanced Entry'!D$8="Decrease Risk",10-10*((IF('Advanced Entry'!D$5="Logarithm",LN(0.001+'Advanced Entry'!D30),IF('Advanced Entry'!D$5="Exponential",EXP('Advanced Entry'!D30),'Advanced Entry'!D30)))-'Advanced Entry'!D$6)/('Advanced Entry'!D$7-'Advanced Entry'!D$6),10*((IF('Advanced Entry'!D$5="Logarithm",LN(0.001+'Advanced Entry'!D30),IF('Advanced Entry'!D$5="Exponential",EXP('Advanced Entry'!D30),'Advanced Entry'!D30)))-'Advanced Entry'!D$6)/('Advanced Entry'!D$7-'Advanced Entry'!D$6)),1))),"No data"))</f>
        <v/>
      </c>
      <c r="E30" s="17">
        <f>IF('Advanced Entry'!E30="","",IFERROR(MAX(0,MIN(10,ROUND(IF('Advanced Entry'!E$8="Decrease Risk",10-10*((IF('Advanced Entry'!E$5="Logarithm",LN(0.001+'Advanced Entry'!E30),IF('Advanced Entry'!E$5="Exponential",EXP('Advanced Entry'!E30),'Advanced Entry'!E30)))-'Advanced Entry'!E$6)/('Advanced Entry'!E$7-'Advanced Entry'!E$6),10*((IF('Advanced Entry'!E$5="Logarithm",LN(0.001+'Advanced Entry'!E30),IF('Advanced Entry'!E$5="Exponential",EXP('Advanced Entry'!E30),'Advanced Entry'!E30)))-'Advanced Entry'!E$6)/('Advanced Entry'!E$7-'Advanced Entry'!E$6)),1))),"No data"))</f>
        <v/>
      </c>
      <c r="F30" s="17">
        <f>IF('Advanced Entry'!F30="","",IFERROR(MAX(0,MIN(10,ROUND(IF('Advanced Entry'!F$8="Decrease Risk",10-10*((IF('Advanced Entry'!F$5="Logarithm",LN(0.001+'Advanced Entry'!F30),IF('Advanced Entry'!F$5="Exponential",EXP('Advanced Entry'!F30),'Advanced Entry'!F30)))-'Advanced Entry'!F$6)/('Advanced Entry'!F$7-'Advanced Entry'!F$6),10*((IF('Advanced Entry'!F$5="Logarithm",LN(0.001+'Advanced Entry'!F30),IF('Advanced Entry'!F$5="Exponential",EXP('Advanced Entry'!F30),'Advanced Entry'!F30)))-'Advanced Entry'!F$6)/('Advanced Entry'!F$7-'Advanced Entry'!F$6)),1))),"No data"))</f>
        <v/>
      </c>
      <c r="G30" s="17">
        <f>IF('Advanced Entry'!G30="","",IFERROR(MAX(0,MIN(10,ROUND(IF('Advanced Entry'!G$8="Decrease Risk",10-10*((IF('Advanced Entry'!G$5="Logarithm",LN(0.001+'Advanced Entry'!G30),IF('Advanced Entry'!G$5="Exponential",EXP('Advanced Entry'!G30),'Advanced Entry'!G30)))-'Advanced Entry'!G$6)/('Advanced Entry'!G$7-'Advanced Entry'!G$6),10*((IF('Advanced Entry'!G$5="Logarithm",LN(0.001+'Advanced Entry'!G30),IF('Advanced Entry'!G$5="Exponential",EXP('Advanced Entry'!G30),'Advanced Entry'!G30)))-'Advanced Entry'!G$6)/('Advanced Entry'!G$7-'Advanced Entry'!G$6)),1))),"No data"))</f>
        <v/>
      </c>
      <c r="H30" s="17">
        <f>IF('Advanced Entry'!H30="","",IFERROR(MAX(0,MIN(10,ROUND(IF('Advanced Entry'!H$8="Decrease Risk",10-10*((IF('Advanced Entry'!H$5="Logarithm",LN(0.001+'Advanced Entry'!H30),IF('Advanced Entry'!H$5="Exponential",EXP('Advanced Entry'!H30),'Advanced Entry'!H30)))-'Advanced Entry'!H$6)/('Advanced Entry'!H$7-'Advanced Entry'!H$6),10*((IF('Advanced Entry'!H$5="Logarithm",LN(0.001+'Advanced Entry'!H30),IF('Advanced Entry'!H$5="Exponential",EXP('Advanced Entry'!H30),'Advanced Entry'!H30)))-'Advanced Entry'!H$6)/('Advanced Entry'!H$7-'Advanced Entry'!H$6)),1))),"No data"))</f>
        <v/>
      </c>
      <c r="I30" s="17">
        <f>IF('Advanced Entry'!I30="","",IFERROR(MAX(0,MIN(10,ROUND(IF('Advanced Entry'!I$8="Decrease Risk",10-10*((IF('Advanced Entry'!I$5="Logarithm",LN(0.001+'Advanced Entry'!I30),IF('Advanced Entry'!I$5="Exponential",EXP('Advanced Entry'!I30),'Advanced Entry'!I30)))-'Advanced Entry'!I$6)/('Advanced Entry'!I$7-'Advanced Entry'!I$6),10*((IF('Advanced Entry'!I$5="Logarithm",LN(0.001+'Advanced Entry'!I30),IF('Advanced Entry'!I$5="Exponential",EXP('Advanced Entry'!I30),'Advanced Entry'!I30)))-'Advanced Entry'!I$6)/('Advanced Entry'!I$7-'Advanced Entry'!I$6)),1))),"No data"))</f>
        <v/>
      </c>
      <c r="J30" s="17">
        <f>IF('Advanced Entry'!J30="","",IFERROR(MAX(0,MIN(10,ROUND(IF('Advanced Entry'!J$8="Decrease Risk",10-10*((IF('Advanced Entry'!J$5="Logarithm",LN(0.001+'Advanced Entry'!J30),IF('Advanced Entry'!J$5="Exponential",EXP('Advanced Entry'!J30),'Advanced Entry'!J30)))-'Advanced Entry'!J$6)/('Advanced Entry'!J$7-'Advanced Entry'!J$6),10*((IF('Advanced Entry'!J$5="Logarithm",LN(0.001+'Advanced Entry'!J30),IF('Advanced Entry'!J$5="Exponential",EXP('Advanced Entry'!J30),'Advanced Entry'!J30)))-'Advanced Entry'!J$6)/('Advanced Entry'!J$7-'Advanced Entry'!J$6)),1))),"No data"))</f>
        <v/>
      </c>
      <c r="K30" s="17">
        <f>IF('Advanced Entry'!K30="","",IFERROR(MAX(0,MIN(10,ROUND(IF('Advanced Entry'!K$8="Decrease Risk",10-10*((IF('Advanced Entry'!K$5="Logarithm",LN(0.001+'Advanced Entry'!K30),IF('Advanced Entry'!K$5="Exponential",EXP('Advanced Entry'!K30),'Advanced Entry'!K30)))-'Advanced Entry'!K$6)/('Advanced Entry'!K$7-'Advanced Entry'!K$6),10*((IF('Advanced Entry'!K$5="Logarithm",LN(0.001+'Advanced Entry'!K30),IF('Advanced Entry'!K$5="Exponential",EXP('Advanced Entry'!K30),'Advanced Entry'!K30)))-'Advanced Entry'!K$6)/('Advanced Entry'!K$7-'Advanced Entry'!K$6)),1))),"No data"))</f>
        <v/>
      </c>
      <c r="L30" s="17">
        <f>IF('Advanced Entry'!L30="","",IFERROR(MAX(0,MIN(10,ROUND(IF('Advanced Entry'!L$8="Decrease Risk",10-10*((IF('Advanced Entry'!L$5="Logarithm",LN(0.001+'Advanced Entry'!L30),IF('Advanced Entry'!L$5="Exponential",EXP('Advanced Entry'!L30),'Advanced Entry'!L30)))-'Advanced Entry'!L$6)/('Advanced Entry'!L$7-'Advanced Entry'!L$6),10*((IF('Advanced Entry'!L$5="Logarithm",LN(0.001+'Advanced Entry'!L30),IF('Advanced Entry'!L$5="Exponential",EXP('Advanced Entry'!L30),'Advanced Entry'!L30)))-'Advanced Entry'!L$6)/('Advanced Entry'!L$7-'Advanced Entry'!L$6)),1))),"No data"))</f>
        <v/>
      </c>
      <c r="M30" s="17">
        <f>IF('Advanced Entry'!M30="","",IFERROR(MAX(0,MIN(10,ROUND(IF('Advanced Entry'!M$8="Decrease Risk",10-10*((IF('Advanced Entry'!M$5="Logarithm",LN(0.001+'Advanced Entry'!M30),IF('Advanced Entry'!M$5="Exponential",EXP('Advanced Entry'!M30),'Advanced Entry'!M30)))-'Advanced Entry'!M$6)/('Advanced Entry'!M$7-'Advanced Entry'!M$6),10*((IF('Advanced Entry'!M$5="Logarithm",LN(0.001+'Advanced Entry'!M30),IF('Advanced Entry'!M$5="Exponential",EXP('Advanced Entry'!M30),'Advanced Entry'!M30)))-'Advanced Entry'!M$6)/('Advanced Entry'!M$7-'Advanced Entry'!M$6)),1))),"No data"))</f>
        <v/>
      </c>
      <c r="N30" s="17">
        <f>IF('Advanced Entry'!N30="","",IFERROR(MAX(0,MIN(10,ROUND(IF('Advanced Entry'!N$8="Decrease Risk",10-10*((IF('Advanced Entry'!N$5="Logarithm",LN(0.001+'Advanced Entry'!N30),IF('Advanced Entry'!N$5="Exponential",EXP('Advanced Entry'!N30),'Advanced Entry'!N30)))-'Advanced Entry'!N$6)/('Advanced Entry'!N$7-'Advanced Entry'!N$6),10*((IF('Advanced Entry'!N$5="Logarithm",LN(0.001+'Advanced Entry'!N30),IF('Advanced Entry'!N$5="Exponential",EXP('Advanced Entry'!N30),'Advanced Entry'!N30)))-'Advanced Entry'!N$6)/('Advanced Entry'!N$7-'Advanced Entry'!N$6)),1))),"No data"))</f>
        <v/>
      </c>
      <c r="O30" s="17">
        <f>IF('Advanced Entry'!O30="","",IFERROR(MAX(0,MIN(10,ROUND(IF('Advanced Entry'!O$8="Decrease Risk",10-10*((IF('Advanced Entry'!O$5="Logarithm",LN(0.001+'Advanced Entry'!O30),IF('Advanced Entry'!O$5="Exponential",EXP('Advanced Entry'!O30),'Advanced Entry'!O30)))-'Advanced Entry'!O$6)/('Advanced Entry'!O$7-'Advanced Entry'!O$6),10*((IF('Advanced Entry'!O$5="Logarithm",LN(0.001+'Advanced Entry'!O30),IF('Advanced Entry'!O$5="Exponential",EXP('Advanced Entry'!O30),'Advanced Entry'!O30)))-'Advanced Entry'!O$6)/('Advanced Entry'!O$7-'Advanced Entry'!O$6)),1))),"No data"))</f>
        <v/>
      </c>
      <c r="P30" s="17">
        <f>IF('Advanced Entry'!P30="","",IFERROR(MAX(0,MIN(10,ROUND(IF('Advanced Entry'!P$8="Decrease Risk",10-10*((IF('Advanced Entry'!P$5="Logarithm",LN(0.001+'Advanced Entry'!P30),IF('Advanced Entry'!P$5="Exponential",EXP('Advanced Entry'!P30),'Advanced Entry'!P30)))-'Advanced Entry'!P$6)/('Advanced Entry'!P$7-'Advanced Entry'!P$6),10*((IF('Advanced Entry'!P$5="Logarithm",LN(0.001+'Advanced Entry'!P30),IF('Advanced Entry'!P$5="Exponential",EXP('Advanced Entry'!P30),'Advanced Entry'!P30)))-'Advanced Entry'!P$6)/('Advanced Entry'!P$7-'Advanced Entry'!P$6)),1))),"No data"))</f>
        <v/>
      </c>
      <c r="Q30" s="17">
        <f>IF('Advanced Entry'!Q30="","",IFERROR(MAX(0,MIN(10,ROUND(IF('Advanced Entry'!Q$8="Decrease Risk",10-10*((IF('Advanced Entry'!Q$5="Logarithm",LN(0.001+'Advanced Entry'!Q30),IF('Advanced Entry'!Q$5="Exponential",EXP('Advanced Entry'!Q30),'Advanced Entry'!Q30)))-'Advanced Entry'!Q$6)/('Advanced Entry'!Q$7-'Advanced Entry'!Q$6),10*((IF('Advanced Entry'!Q$5="Logarithm",LN(0.001+'Advanced Entry'!Q30),IF('Advanced Entry'!Q$5="Exponential",EXP('Advanced Entry'!Q30),'Advanced Entry'!Q30)))-'Advanced Entry'!Q$6)/('Advanced Entry'!Q$7-'Advanced Entry'!Q$6)),1))),"No data"))</f>
        <v/>
      </c>
      <c r="R30" s="17">
        <f>IF('Advanced Entry'!R30="","",IFERROR(MAX(0,MIN(10,ROUND(IF('Advanced Entry'!R$8="Decrease Risk",10-10*((IF('Advanced Entry'!R$5="Logarithm",LN(0.001+'Advanced Entry'!R30),IF('Advanced Entry'!R$5="Exponential",EXP('Advanced Entry'!R30),'Advanced Entry'!R30)))-'Advanced Entry'!R$6)/('Advanced Entry'!R$7-'Advanced Entry'!R$6),10*((IF('Advanced Entry'!R$5="Logarithm",LN(0.001+'Advanced Entry'!R30),IF('Advanced Entry'!R$5="Exponential",EXP('Advanced Entry'!R30),'Advanced Entry'!R30)))-'Advanced Entry'!R$6)/('Advanced Entry'!R$7-'Advanced Entry'!R$6)),1))),"No data"))</f>
        <v/>
      </c>
      <c r="S30" s="17">
        <f>IF('Advanced Entry'!S30="","",IFERROR(MAX(0,MIN(10,ROUND(IF('Advanced Entry'!S$8="Decrease Risk",10-10*((IF('Advanced Entry'!S$5="Logarithm",LN(0.001+'Advanced Entry'!S30),IF('Advanced Entry'!S$5="Exponential",EXP('Advanced Entry'!S30),'Advanced Entry'!S30)))-'Advanced Entry'!S$6)/('Advanced Entry'!S$7-'Advanced Entry'!S$6),10*((IF('Advanced Entry'!S$5="Logarithm",LN(0.001+'Advanced Entry'!S30),IF('Advanced Entry'!S$5="Exponential",EXP('Advanced Entry'!S30),'Advanced Entry'!S30)))-'Advanced Entry'!S$6)/('Advanced Entry'!S$7-'Advanced Entry'!S$6)),1))),"No data"))</f>
        <v/>
      </c>
      <c r="T30" s="17">
        <f>IF('Advanced Entry'!T30="","",IFERROR(MAX(0,MIN(10,ROUND(IF('Advanced Entry'!T$8="Decrease Risk",10-10*((IF('Advanced Entry'!T$5="Logarithm",LN(0.001+'Advanced Entry'!T30),IF('Advanced Entry'!T$5="Exponential",EXP('Advanced Entry'!T30),'Advanced Entry'!T30)))-'Advanced Entry'!T$6)/('Advanced Entry'!T$7-'Advanced Entry'!T$6),10*((IF('Advanced Entry'!T$5="Logarithm",LN(0.001+'Advanced Entry'!T30),IF('Advanced Entry'!T$5="Exponential",EXP('Advanced Entry'!T30),'Advanced Entry'!T30)))-'Advanced Entry'!T$6)/('Advanced Entry'!T$7-'Advanced Entry'!T$6)),1))),"No data"))</f>
        <v/>
      </c>
      <c r="U30" s="17">
        <f>IF('Advanced Entry'!U30="","",IFERROR(MAX(0,MIN(10,ROUND(IF('Advanced Entry'!U$8="Decrease Risk",10-10*((IF('Advanced Entry'!U$5="Logarithm",LN(0.001+'Advanced Entry'!U30),IF('Advanced Entry'!U$5="Exponential",EXP('Advanced Entry'!U30),'Advanced Entry'!U30)))-'Advanced Entry'!U$6)/('Advanced Entry'!U$7-'Advanced Entry'!U$6),10*((IF('Advanced Entry'!U$5="Logarithm",LN(0.001+'Advanced Entry'!U30),IF('Advanced Entry'!U$5="Exponential",EXP('Advanced Entry'!U30),'Advanced Entry'!U30)))-'Advanced Entry'!U$6)/('Advanced Entry'!U$7-'Advanced Entry'!U$6)),1))),"No data"))</f>
        <v/>
      </c>
      <c r="V30" s="17">
        <f>IF('Advanced Entry'!V30="","",IFERROR(MAX(0,MIN(10,ROUND(IF('Advanced Entry'!V$8="Decrease Risk",10-10*((IF('Advanced Entry'!V$5="Logarithm",LN(0.001+'Advanced Entry'!V30),IF('Advanced Entry'!V$5="Exponential",EXP('Advanced Entry'!V30),'Advanced Entry'!V30)))-'Advanced Entry'!V$6)/('Advanced Entry'!V$7-'Advanced Entry'!V$6),10*((IF('Advanced Entry'!V$5="Logarithm",LN(0.001+'Advanced Entry'!V30),IF('Advanced Entry'!V$5="Exponential",EXP('Advanced Entry'!V30),'Advanced Entry'!V30)))-'Advanced Entry'!V$6)/('Advanced Entry'!V$7-'Advanced Entry'!V$6)),1))),"No data"))</f>
        <v/>
      </c>
      <c r="W30" s="17">
        <f>IF('Advanced Entry'!W30="","",IFERROR(MAX(0,MIN(10,ROUND(IF('Advanced Entry'!W$8="Decrease Risk",10-10*((IF('Advanced Entry'!W$5="Logarithm",LN(0.001+'Advanced Entry'!W30),IF('Advanced Entry'!W$5="Exponential",EXP('Advanced Entry'!W30),'Advanced Entry'!W30)))-'Advanced Entry'!W$6)/('Advanced Entry'!W$7-'Advanced Entry'!W$6),10*((IF('Advanced Entry'!W$5="Logarithm",LN(0.001+'Advanced Entry'!W30),IF('Advanced Entry'!W$5="Exponential",EXP('Advanced Entry'!W30),'Advanced Entry'!W30)))-'Advanced Entry'!W$6)/('Advanced Entry'!W$7-'Advanced Entry'!W$6)),1))),"No data"))</f>
        <v/>
      </c>
      <c r="X30" s="17">
        <f>IF('Advanced Entry'!X30="","",IFERROR(MAX(0,MIN(10,ROUND(IF('Advanced Entry'!X$8="Decrease Risk",10-10*((IF('Advanced Entry'!X$5="Logarithm",LN(0.001+'Advanced Entry'!X30),IF('Advanced Entry'!X$5="Exponential",EXP('Advanced Entry'!X30),'Advanced Entry'!X30)))-'Advanced Entry'!X$6)/('Advanced Entry'!X$7-'Advanced Entry'!X$6),10*((IF('Advanced Entry'!X$5="Logarithm",LN(0.001+'Advanced Entry'!X30),IF('Advanced Entry'!X$5="Exponential",EXP('Advanced Entry'!X30),'Advanced Entry'!X30)))-'Advanced Entry'!X$6)/('Advanced Entry'!X$7-'Advanced Entry'!X$6)),1))),"No data"))</f>
        <v/>
      </c>
      <c r="Y30" s="17">
        <f>IF('Advanced Entry'!Y30="","",IFERROR(MAX(0,MIN(10,ROUND(IF('Advanced Entry'!Y$8="Decrease Risk",10-10*((IF('Advanced Entry'!Y$5="Logarithm",LN(0.001+'Advanced Entry'!Y30),IF('Advanced Entry'!Y$5="Exponential",EXP('Advanced Entry'!Y30),'Advanced Entry'!Y30)))-'Advanced Entry'!Y$6)/('Advanced Entry'!Y$7-'Advanced Entry'!Y$6),10*((IF('Advanced Entry'!Y$5="Logarithm",LN(0.001+'Advanced Entry'!Y30),IF('Advanced Entry'!Y$5="Exponential",EXP('Advanced Entry'!Y30),'Advanced Entry'!Y30)))-'Advanced Entry'!Y$6)/('Advanced Entry'!Y$7-'Advanced Entry'!Y$6)),1))),"No data"))</f>
        <v/>
      </c>
      <c r="Z30" s="17">
        <f>IF('Advanced Entry'!Z30="","",IFERROR(MAX(0,MIN(10,ROUND(IF('Advanced Entry'!Z$8="Decrease Risk",10-10*((IF('Advanced Entry'!Z$5="Logarithm",LN(0.001+'Advanced Entry'!Z30),IF('Advanced Entry'!Z$5="Exponential",EXP('Advanced Entry'!Z30),'Advanced Entry'!Z30)))-'Advanced Entry'!Z$6)/('Advanced Entry'!Z$7-'Advanced Entry'!Z$6),10*((IF('Advanced Entry'!Z$5="Logarithm",LN(0.001+'Advanced Entry'!Z30),IF('Advanced Entry'!Z$5="Exponential",EXP('Advanced Entry'!Z30),'Advanced Entry'!Z30)))-'Advanced Entry'!Z$6)/('Advanced Entry'!Z$7-'Advanced Entry'!Z$6)),1))),"No data"))</f>
        <v/>
      </c>
      <c r="AA30" s="17">
        <f>IF('Advanced Entry'!AA30="","",IFERROR(MAX(0,MIN(10,ROUND(IF('Advanced Entry'!AA$8="Decrease Risk",10-10*((IF('Advanced Entry'!AA$5="Logarithm",LN(0.001+'Advanced Entry'!AA30),IF('Advanced Entry'!AA$5="Exponential",EXP('Advanced Entry'!AA30),'Advanced Entry'!AA30)))-'Advanced Entry'!AA$6)/('Advanced Entry'!AA$7-'Advanced Entry'!AA$6),10*((IF('Advanced Entry'!AA$5="Logarithm",LN(0.001+'Advanced Entry'!AA30),IF('Advanced Entry'!AA$5="Exponential",EXP('Advanced Entry'!AA30),'Advanced Entry'!AA30)))-'Advanced Entry'!AA$6)/('Advanced Entry'!AA$7-'Advanced Entry'!AA$6)),1))),"No data"))</f>
        <v/>
      </c>
      <c r="AB30" s="17">
        <f>IF('Advanced Entry'!AB30="","",IFERROR(MAX(0,MIN(10,ROUND(IF('Advanced Entry'!AB$8="Decrease Risk",10-10*((IF('Advanced Entry'!AB$5="Logarithm",LN(0.001+'Advanced Entry'!AB30),IF('Advanced Entry'!AB$5="Exponential",EXP('Advanced Entry'!AB30),'Advanced Entry'!AB30)))-'Advanced Entry'!AB$6)/('Advanced Entry'!AB$7-'Advanced Entry'!AB$6),10*((IF('Advanced Entry'!AB$5="Logarithm",LN(0.001+'Advanced Entry'!AB30),IF('Advanced Entry'!AB$5="Exponential",EXP('Advanced Entry'!AB30),'Advanced Entry'!AB30)))-'Advanced Entry'!AB$6)/('Advanced Entry'!AB$7-'Advanced Entry'!AB$6)),1))),"No data"))</f>
        <v/>
      </c>
    </row>
    <row r="31">
      <c r="A31" t="inlineStr">
        <is>
          <t>Geita</t>
        </is>
      </c>
      <c r="B31" t="inlineStr">
        <is>
          <t>Bukombe District</t>
        </is>
      </c>
      <c r="C31" t="inlineStr">
        <is>
          <t>C178</t>
        </is>
      </c>
      <c r="D31" s="17">
        <f>IF('Advanced Entry'!D31="","",IFERROR(MAX(0,MIN(10,ROUND(IF('Advanced Entry'!D$8="Decrease Risk",10-10*((IF('Advanced Entry'!D$5="Logarithm",LN(0.001+'Advanced Entry'!D31),IF('Advanced Entry'!D$5="Exponential",EXP('Advanced Entry'!D31),'Advanced Entry'!D31)))-'Advanced Entry'!D$6)/('Advanced Entry'!D$7-'Advanced Entry'!D$6),10*((IF('Advanced Entry'!D$5="Logarithm",LN(0.001+'Advanced Entry'!D31),IF('Advanced Entry'!D$5="Exponential",EXP('Advanced Entry'!D31),'Advanced Entry'!D31)))-'Advanced Entry'!D$6)/('Advanced Entry'!D$7-'Advanced Entry'!D$6)),1))),"No data"))</f>
        <v/>
      </c>
      <c r="E31" s="17">
        <f>IF('Advanced Entry'!E31="","",IFERROR(MAX(0,MIN(10,ROUND(IF('Advanced Entry'!E$8="Decrease Risk",10-10*((IF('Advanced Entry'!E$5="Logarithm",LN(0.001+'Advanced Entry'!E31),IF('Advanced Entry'!E$5="Exponential",EXP('Advanced Entry'!E31),'Advanced Entry'!E31)))-'Advanced Entry'!E$6)/('Advanced Entry'!E$7-'Advanced Entry'!E$6),10*((IF('Advanced Entry'!E$5="Logarithm",LN(0.001+'Advanced Entry'!E31),IF('Advanced Entry'!E$5="Exponential",EXP('Advanced Entry'!E31),'Advanced Entry'!E31)))-'Advanced Entry'!E$6)/('Advanced Entry'!E$7-'Advanced Entry'!E$6)),1))),"No data"))</f>
        <v/>
      </c>
      <c r="F31" s="17">
        <f>IF('Advanced Entry'!F31="","",IFERROR(MAX(0,MIN(10,ROUND(IF('Advanced Entry'!F$8="Decrease Risk",10-10*((IF('Advanced Entry'!F$5="Logarithm",LN(0.001+'Advanced Entry'!F31),IF('Advanced Entry'!F$5="Exponential",EXP('Advanced Entry'!F31),'Advanced Entry'!F31)))-'Advanced Entry'!F$6)/('Advanced Entry'!F$7-'Advanced Entry'!F$6),10*((IF('Advanced Entry'!F$5="Logarithm",LN(0.001+'Advanced Entry'!F31),IF('Advanced Entry'!F$5="Exponential",EXP('Advanced Entry'!F31),'Advanced Entry'!F31)))-'Advanced Entry'!F$6)/('Advanced Entry'!F$7-'Advanced Entry'!F$6)),1))),"No data"))</f>
        <v/>
      </c>
      <c r="G31" s="17">
        <f>IF('Advanced Entry'!G31="","",IFERROR(MAX(0,MIN(10,ROUND(IF('Advanced Entry'!G$8="Decrease Risk",10-10*((IF('Advanced Entry'!G$5="Logarithm",LN(0.001+'Advanced Entry'!G31),IF('Advanced Entry'!G$5="Exponential",EXP('Advanced Entry'!G31),'Advanced Entry'!G31)))-'Advanced Entry'!G$6)/('Advanced Entry'!G$7-'Advanced Entry'!G$6),10*((IF('Advanced Entry'!G$5="Logarithm",LN(0.001+'Advanced Entry'!G31),IF('Advanced Entry'!G$5="Exponential",EXP('Advanced Entry'!G31),'Advanced Entry'!G31)))-'Advanced Entry'!G$6)/('Advanced Entry'!G$7-'Advanced Entry'!G$6)),1))),"No data"))</f>
        <v/>
      </c>
      <c r="H31" s="17">
        <f>IF('Advanced Entry'!H31="","",IFERROR(MAX(0,MIN(10,ROUND(IF('Advanced Entry'!H$8="Decrease Risk",10-10*((IF('Advanced Entry'!H$5="Logarithm",LN(0.001+'Advanced Entry'!H31),IF('Advanced Entry'!H$5="Exponential",EXP('Advanced Entry'!H31),'Advanced Entry'!H31)))-'Advanced Entry'!H$6)/('Advanced Entry'!H$7-'Advanced Entry'!H$6),10*((IF('Advanced Entry'!H$5="Logarithm",LN(0.001+'Advanced Entry'!H31),IF('Advanced Entry'!H$5="Exponential",EXP('Advanced Entry'!H31),'Advanced Entry'!H31)))-'Advanced Entry'!H$6)/('Advanced Entry'!H$7-'Advanced Entry'!H$6)),1))),"No data"))</f>
        <v/>
      </c>
      <c r="I31" s="17">
        <f>IF('Advanced Entry'!I31="","",IFERROR(MAX(0,MIN(10,ROUND(IF('Advanced Entry'!I$8="Decrease Risk",10-10*((IF('Advanced Entry'!I$5="Logarithm",LN(0.001+'Advanced Entry'!I31),IF('Advanced Entry'!I$5="Exponential",EXP('Advanced Entry'!I31),'Advanced Entry'!I31)))-'Advanced Entry'!I$6)/('Advanced Entry'!I$7-'Advanced Entry'!I$6),10*((IF('Advanced Entry'!I$5="Logarithm",LN(0.001+'Advanced Entry'!I31),IF('Advanced Entry'!I$5="Exponential",EXP('Advanced Entry'!I31),'Advanced Entry'!I31)))-'Advanced Entry'!I$6)/('Advanced Entry'!I$7-'Advanced Entry'!I$6)),1))),"No data"))</f>
        <v/>
      </c>
      <c r="J31" s="17">
        <f>IF('Advanced Entry'!J31="","",IFERROR(MAX(0,MIN(10,ROUND(IF('Advanced Entry'!J$8="Decrease Risk",10-10*((IF('Advanced Entry'!J$5="Logarithm",LN(0.001+'Advanced Entry'!J31),IF('Advanced Entry'!J$5="Exponential",EXP('Advanced Entry'!J31),'Advanced Entry'!J31)))-'Advanced Entry'!J$6)/('Advanced Entry'!J$7-'Advanced Entry'!J$6),10*((IF('Advanced Entry'!J$5="Logarithm",LN(0.001+'Advanced Entry'!J31),IF('Advanced Entry'!J$5="Exponential",EXP('Advanced Entry'!J31),'Advanced Entry'!J31)))-'Advanced Entry'!J$6)/('Advanced Entry'!J$7-'Advanced Entry'!J$6)),1))),"No data"))</f>
        <v/>
      </c>
      <c r="K31" s="17">
        <f>IF('Advanced Entry'!K31="","",IFERROR(MAX(0,MIN(10,ROUND(IF('Advanced Entry'!K$8="Decrease Risk",10-10*((IF('Advanced Entry'!K$5="Logarithm",LN(0.001+'Advanced Entry'!K31),IF('Advanced Entry'!K$5="Exponential",EXP('Advanced Entry'!K31),'Advanced Entry'!K31)))-'Advanced Entry'!K$6)/('Advanced Entry'!K$7-'Advanced Entry'!K$6),10*((IF('Advanced Entry'!K$5="Logarithm",LN(0.001+'Advanced Entry'!K31),IF('Advanced Entry'!K$5="Exponential",EXP('Advanced Entry'!K31),'Advanced Entry'!K31)))-'Advanced Entry'!K$6)/('Advanced Entry'!K$7-'Advanced Entry'!K$6)),1))),"No data"))</f>
        <v/>
      </c>
      <c r="L31" s="17">
        <f>IF('Advanced Entry'!L31="","",IFERROR(MAX(0,MIN(10,ROUND(IF('Advanced Entry'!L$8="Decrease Risk",10-10*((IF('Advanced Entry'!L$5="Logarithm",LN(0.001+'Advanced Entry'!L31),IF('Advanced Entry'!L$5="Exponential",EXP('Advanced Entry'!L31),'Advanced Entry'!L31)))-'Advanced Entry'!L$6)/('Advanced Entry'!L$7-'Advanced Entry'!L$6),10*((IF('Advanced Entry'!L$5="Logarithm",LN(0.001+'Advanced Entry'!L31),IF('Advanced Entry'!L$5="Exponential",EXP('Advanced Entry'!L31),'Advanced Entry'!L31)))-'Advanced Entry'!L$6)/('Advanced Entry'!L$7-'Advanced Entry'!L$6)),1))),"No data"))</f>
        <v/>
      </c>
      <c r="M31" s="17">
        <f>IF('Advanced Entry'!M31="","",IFERROR(MAX(0,MIN(10,ROUND(IF('Advanced Entry'!M$8="Decrease Risk",10-10*((IF('Advanced Entry'!M$5="Logarithm",LN(0.001+'Advanced Entry'!M31),IF('Advanced Entry'!M$5="Exponential",EXP('Advanced Entry'!M31),'Advanced Entry'!M31)))-'Advanced Entry'!M$6)/('Advanced Entry'!M$7-'Advanced Entry'!M$6),10*((IF('Advanced Entry'!M$5="Logarithm",LN(0.001+'Advanced Entry'!M31),IF('Advanced Entry'!M$5="Exponential",EXP('Advanced Entry'!M31),'Advanced Entry'!M31)))-'Advanced Entry'!M$6)/('Advanced Entry'!M$7-'Advanced Entry'!M$6)),1))),"No data"))</f>
        <v/>
      </c>
      <c r="N31" s="17">
        <f>IF('Advanced Entry'!N31="","",IFERROR(MAX(0,MIN(10,ROUND(IF('Advanced Entry'!N$8="Decrease Risk",10-10*((IF('Advanced Entry'!N$5="Logarithm",LN(0.001+'Advanced Entry'!N31),IF('Advanced Entry'!N$5="Exponential",EXP('Advanced Entry'!N31),'Advanced Entry'!N31)))-'Advanced Entry'!N$6)/('Advanced Entry'!N$7-'Advanced Entry'!N$6),10*((IF('Advanced Entry'!N$5="Logarithm",LN(0.001+'Advanced Entry'!N31),IF('Advanced Entry'!N$5="Exponential",EXP('Advanced Entry'!N31),'Advanced Entry'!N31)))-'Advanced Entry'!N$6)/('Advanced Entry'!N$7-'Advanced Entry'!N$6)),1))),"No data"))</f>
        <v/>
      </c>
      <c r="O31" s="17">
        <f>IF('Advanced Entry'!O31="","",IFERROR(MAX(0,MIN(10,ROUND(IF('Advanced Entry'!O$8="Decrease Risk",10-10*((IF('Advanced Entry'!O$5="Logarithm",LN(0.001+'Advanced Entry'!O31),IF('Advanced Entry'!O$5="Exponential",EXP('Advanced Entry'!O31),'Advanced Entry'!O31)))-'Advanced Entry'!O$6)/('Advanced Entry'!O$7-'Advanced Entry'!O$6),10*((IF('Advanced Entry'!O$5="Logarithm",LN(0.001+'Advanced Entry'!O31),IF('Advanced Entry'!O$5="Exponential",EXP('Advanced Entry'!O31),'Advanced Entry'!O31)))-'Advanced Entry'!O$6)/('Advanced Entry'!O$7-'Advanced Entry'!O$6)),1))),"No data"))</f>
        <v/>
      </c>
      <c r="P31" s="17">
        <f>IF('Advanced Entry'!P31="","",IFERROR(MAX(0,MIN(10,ROUND(IF('Advanced Entry'!P$8="Decrease Risk",10-10*((IF('Advanced Entry'!P$5="Logarithm",LN(0.001+'Advanced Entry'!P31),IF('Advanced Entry'!P$5="Exponential",EXP('Advanced Entry'!P31),'Advanced Entry'!P31)))-'Advanced Entry'!P$6)/('Advanced Entry'!P$7-'Advanced Entry'!P$6),10*((IF('Advanced Entry'!P$5="Logarithm",LN(0.001+'Advanced Entry'!P31),IF('Advanced Entry'!P$5="Exponential",EXP('Advanced Entry'!P31),'Advanced Entry'!P31)))-'Advanced Entry'!P$6)/('Advanced Entry'!P$7-'Advanced Entry'!P$6)),1))),"No data"))</f>
        <v/>
      </c>
      <c r="Q31" s="17">
        <f>IF('Advanced Entry'!Q31="","",IFERROR(MAX(0,MIN(10,ROUND(IF('Advanced Entry'!Q$8="Decrease Risk",10-10*((IF('Advanced Entry'!Q$5="Logarithm",LN(0.001+'Advanced Entry'!Q31),IF('Advanced Entry'!Q$5="Exponential",EXP('Advanced Entry'!Q31),'Advanced Entry'!Q31)))-'Advanced Entry'!Q$6)/('Advanced Entry'!Q$7-'Advanced Entry'!Q$6),10*((IF('Advanced Entry'!Q$5="Logarithm",LN(0.001+'Advanced Entry'!Q31),IF('Advanced Entry'!Q$5="Exponential",EXP('Advanced Entry'!Q31),'Advanced Entry'!Q31)))-'Advanced Entry'!Q$6)/('Advanced Entry'!Q$7-'Advanced Entry'!Q$6)),1))),"No data"))</f>
        <v/>
      </c>
      <c r="R31" s="17">
        <f>IF('Advanced Entry'!R31="","",IFERROR(MAX(0,MIN(10,ROUND(IF('Advanced Entry'!R$8="Decrease Risk",10-10*((IF('Advanced Entry'!R$5="Logarithm",LN(0.001+'Advanced Entry'!R31),IF('Advanced Entry'!R$5="Exponential",EXP('Advanced Entry'!R31),'Advanced Entry'!R31)))-'Advanced Entry'!R$6)/('Advanced Entry'!R$7-'Advanced Entry'!R$6),10*((IF('Advanced Entry'!R$5="Logarithm",LN(0.001+'Advanced Entry'!R31),IF('Advanced Entry'!R$5="Exponential",EXP('Advanced Entry'!R31),'Advanced Entry'!R31)))-'Advanced Entry'!R$6)/('Advanced Entry'!R$7-'Advanced Entry'!R$6)),1))),"No data"))</f>
        <v/>
      </c>
      <c r="S31" s="17">
        <f>IF('Advanced Entry'!S31="","",IFERROR(MAX(0,MIN(10,ROUND(IF('Advanced Entry'!S$8="Decrease Risk",10-10*((IF('Advanced Entry'!S$5="Logarithm",LN(0.001+'Advanced Entry'!S31),IF('Advanced Entry'!S$5="Exponential",EXP('Advanced Entry'!S31),'Advanced Entry'!S31)))-'Advanced Entry'!S$6)/('Advanced Entry'!S$7-'Advanced Entry'!S$6),10*((IF('Advanced Entry'!S$5="Logarithm",LN(0.001+'Advanced Entry'!S31),IF('Advanced Entry'!S$5="Exponential",EXP('Advanced Entry'!S31),'Advanced Entry'!S31)))-'Advanced Entry'!S$6)/('Advanced Entry'!S$7-'Advanced Entry'!S$6)),1))),"No data"))</f>
        <v/>
      </c>
      <c r="T31" s="17">
        <f>IF('Advanced Entry'!T31="","",IFERROR(MAX(0,MIN(10,ROUND(IF('Advanced Entry'!T$8="Decrease Risk",10-10*((IF('Advanced Entry'!T$5="Logarithm",LN(0.001+'Advanced Entry'!T31),IF('Advanced Entry'!T$5="Exponential",EXP('Advanced Entry'!T31),'Advanced Entry'!T31)))-'Advanced Entry'!T$6)/('Advanced Entry'!T$7-'Advanced Entry'!T$6),10*((IF('Advanced Entry'!T$5="Logarithm",LN(0.001+'Advanced Entry'!T31),IF('Advanced Entry'!T$5="Exponential",EXP('Advanced Entry'!T31),'Advanced Entry'!T31)))-'Advanced Entry'!T$6)/('Advanced Entry'!T$7-'Advanced Entry'!T$6)),1))),"No data"))</f>
        <v/>
      </c>
      <c r="U31" s="17">
        <f>IF('Advanced Entry'!U31="","",IFERROR(MAX(0,MIN(10,ROUND(IF('Advanced Entry'!U$8="Decrease Risk",10-10*((IF('Advanced Entry'!U$5="Logarithm",LN(0.001+'Advanced Entry'!U31),IF('Advanced Entry'!U$5="Exponential",EXP('Advanced Entry'!U31),'Advanced Entry'!U31)))-'Advanced Entry'!U$6)/('Advanced Entry'!U$7-'Advanced Entry'!U$6),10*((IF('Advanced Entry'!U$5="Logarithm",LN(0.001+'Advanced Entry'!U31),IF('Advanced Entry'!U$5="Exponential",EXP('Advanced Entry'!U31),'Advanced Entry'!U31)))-'Advanced Entry'!U$6)/('Advanced Entry'!U$7-'Advanced Entry'!U$6)),1))),"No data"))</f>
        <v/>
      </c>
      <c r="V31" s="17">
        <f>IF('Advanced Entry'!V31="","",IFERROR(MAX(0,MIN(10,ROUND(IF('Advanced Entry'!V$8="Decrease Risk",10-10*((IF('Advanced Entry'!V$5="Logarithm",LN(0.001+'Advanced Entry'!V31),IF('Advanced Entry'!V$5="Exponential",EXP('Advanced Entry'!V31),'Advanced Entry'!V31)))-'Advanced Entry'!V$6)/('Advanced Entry'!V$7-'Advanced Entry'!V$6),10*((IF('Advanced Entry'!V$5="Logarithm",LN(0.001+'Advanced Entry'!V31),IF('Advanced Entry'!V$5="Exponential",EXP('Advanced Entry'!V31),'Advanced Entry'!V31)))-'Advanced Entry'!V$6)/('Advanced Entry'!V$7-'Advanced Entry'!V$6)),1))),"No data"))</f>
        <v/>
      </c>
      <c r="W31" s="17">
        <f>IF('Advanced Entry'!W31="","",IFERROR(MAX(0,MIN(10,ROUND(IF('Advanced Entry'!W$8="Decrease Risk",10-10*((IF('Advanced Entry'!W$5="Logarithm",LN(0.001+'Advanced Entry'!W31),IF('Advanced Entry'!W$5="Exponential",EXP('Advanced Entry'!W31),'Advanced Entry'!W31)))-'Advanced Entry'!W$6)/('Advanced Entry'!W$7-'Advanced Entry'!W$6),10*((IF('Advanced Entry'!W$5="Logarithm",LN(0.001+'Advanced Entry'!W31),IF('Advanced Entry'!W$5="Exponential",EXP('Advanced Entry'!W31),'Advanced Entry'!W31)))-'Advanced Entry'!W$6)/('Advanced Entry'!W$7-'Advanced Entry'!W$6)),1))),"No data"))</f>
        <v/>
      </c>
      <c r="X31" s="17">
        <f>IF('Advanced Entry'!X31="","",IFERROR(MAX(0,MIN(10,ROUND(IF('Advanced Entry'!X$8="Decrease Risk",10-10*((IF('Advanced Entry'!X$5="Logarithm",LN(0.001+'Advanced Entry'!X31),IF('Advanced Entry'!X$5="Exponential",EXP('Advanced Entry'!X31),'Advanced Entry'!X31)))-'Advanced Entry'!X$6)/('Advanced Entry'!X$7-'Advanced Entry'!X$6),10*((IF('Advanced Entry'!X$5="Logarithm",LN(0.001+'Advanced Entry'!X31),IF('Advanced Entry'!X$5="Exponential",EXP('Advanced Entry'!X31),'Advanced Entry'!X31)))-'Advanced Entry'!X$6)/('Advanced Entry'!X$7-'Advanced Entry'!X$6)),1))),"No data"))</f>
        <v/>
      </c>
      <c r="Y31" s="17">
        <f>IF('Advanced Entry'!Y31="","",IFERROR(MAX(0,MIN(10,ROUND(IF('Advanced Entry'!Y$8="Decrease Risk",10-10*((IF('Advanced Entry'!Y$5="Logarithm",LN(0.001+'Advanced Entry'!Y31),IF('Advanced Entry'!Y$5="Exponential",EXP('Advanced Entry'!Y31),'Advanced Entry'!Y31)))-'Advanced Entry'!Y$6)/('Advanced Entry'!Y$7-'Advanced Entry'!Y$6),10*((IF('Advanced Entry'!Y$5="Logarithm",LN(0.001+'Advanced Entry'!Y31),IF('Advanced Entry'!Y$5="Exponential",EXP('Advanced Entry'!Y31),'Advanced Entry'!Y31)))-'Advanced Entry'!Y$6)/('Advanced Entry'!Y$7-'Advanced Entry'!Y$6)),1))),"No data"))</f>
        <v/>
      </c>
      <c r="Z31" s="17">
        <f>IF('Advanced Entry'!Z31="","",IFERROR(MAX(0,MIN(10,ROUND(IF('Advanced Entry'!Z$8="Decrease Risk",10-10*((IF('Advanced Entry'!Z$5="Logarithm",LN(0.001+'Advanced Entry'!Z31),IF('Advanced Entry'!Z$5="Exponential",EXP('Advanced Entry'!Z31),'Advanced Entry'!Z31)))-'Advanced Entry'!Z$6)/('Advanced Entry'!Z$7-'Advanced Entry'!Z$6),10*((IF('Advanced Entry'!Z$5="Logarithm",LN(0.001+'Advanced Entry'!Z31),IF('Advanced Entry'!Z$5="Exponential",EXP('Advanced Entry'!Z31),'Advanced Entry'!Z31)))-'Advanced Entry'!Z$6)/('Advanced Entry'!Z$7-'Advanced Entry'!Z$6)),1))),"No data"))</f>
        <v/>
      </c>
      <c r="AA31" s="17">
        <f>IF('Advanced Entry'!AA31="","",IFERROR(MAX(0,MIN(10,ROUND(IF('Advanced Entry'!AA$8="Decrease Risk",10-10*((IF('Advanced Entry'!AA$5="Logarithm",LN(0.001+'Advanced Entry'!AA31),IF('Advanced Entry'!AA$5="Exponential",EXP('Advanced Entry'!AA31),'Advanced Entry'!AA31)))-'Advanced Entry'!AA$6)/('Advanced Entry'!AA$7-'Advanced Entry'!AA$6),10*((IF('Advanced Entry'!AA$5="Logarithm",LN(0.001+'Advanced Entry'!AA31),IF('Advanced Entry'!AA$5="Exponential",EXP('Advanced Entry'!AA31),'Advanced Entry'!AA31)))-'Advanced Entry'!AA$6)/('Advanced Entry'!AA$7-'Advanced Entry'!AA$6)),1))),"No data"))</f>
        <v/>
      </c>
      <c r="AB31" s="17">
        <f>IF('Advanced Entry'!AB31="","",IFERROR(MAX(0,MIN(10,ROUND(IF('Advanced Entry'!AB$8="Decrease Risk",10-10*((IF('Advanced Entry'!AB$5="Logarithm",LN(0.001+'Advanced Entry'!AB31),IF('Advanced Entry'!AB$5="Exponential",EXP('Advanced Entry'!AB31),'Advanced Entry'!AB31)))-'Advanced Entry'!AB$6)/('Advanced Entry'!AB$7-'Advanced Entry'!AB$6),10*((IF('Advanced Entry'!AB$5="Logarithm",LN(0.001+'Advanced Entry'!AB31),IF('Advanced Entry'!AB$5="Exponential",EXP('Advanced Entry'!AB31),'Advanced Entry'!AB31)))-'Advanced Entry'!AB$6)/('Advanced Entry'!AB$7-'Advanced Entry'!AB$6)),1))),"No data"))</f>
        <v/>
      </c>
    </row>
    <row r="32">
      <c r="A32" t="inlineStr">
        <is>
          <t>Geita</t>
        </is>
      </c>
      <c r="B32" t="inlineStr">
        <is>
          <t>Chato District</t>
        </is>
      </c>
      <c r="C32" t="inlineStr">
        <is>
          <t>C179</t>
        </is>
      </c>
      <c r="D32" s="17">
        <f>IF('Advanced Entry'!D32="","",IFERROR(MAX(0,MIN(10,ROUND(IF('Advanced Entry'!D$8="Decrease Risk",10-10*((IF('Advanced Entry'!D$5="Logarithm",LN(0.001+'Advanced Entry'!D32),IF('Advanced Entry'!D$5="Exponential",EXP('Advanced Entry'!D32),'Advanced Entry'!D32)))-'Advanced Entry'!D$6)/('Advanced Entry'!D$7-'Advanced Entry'!D$6),10*((IF('Advanced Entry'!D$5="Logarithm",LN(0.001+'Advanced Entry'!D32),IF('Advanced Entry'!D$5="Exponential",EXP('Advanced Entry'!D32),'Advanced Entry'!D32)))-'Advanced Entry'!D$6)/('Advanced Entry'!D$7-'Advanced Entry'!D$6)),1))),"No data"))</f>
        <v/>
      </c>
      <c r="E32" s="17">
        <f>IF('Advanced Entry'!E32="","",IFERROR(MAX(0,MIN(10,ROUND(IF('Advanced Entry'!E$8="Decrease Risk",10-10*((IF('Advanced Entry'!E$5="Logarithm",LN(0.001+'Advanced Entry'!E32),IF('Advanced Entry'!E$5="Exponential",EXP('Advanced Entry'!E32),'Advanced Entry'!E32)))-'Advanced Entry'!E$6)/('Advanced Entry'!E$7-'Advanced Entry'!E$6),10*((IF('Advanced Entry'!E$5="Logarithm",LN(0.001+'Advanced Entry'!E32),IF('Advanced Entry'!E$5="Exponential",EXP('Advanced Entry'!E32),'Advanced Entry'!E32)))-'Advanced Entry'!E$6)/('Advanced Entry'!E$7-'Advanced Entry'!E$6)),1))),"No data"))</f>
        <v/>
      </c>
      <c r="F32" s="17">
        <f>IF('Advanced Entry'!F32="","",IFERROR(MAX(0,MIN(10,ROUND(IF('Advanced Entry'!F$8="Decrease Risk",10-10*((IF('Advanced Entry'!F$5="Logarithm",LN(0.001+'Advanced Entry'!F32),IF('Advanced Entry'!F$5="Exponential",EXP('Advanced Entry'!F32),'Advanced Entry'!F32)))-'Advanced Entry'!F$6)/('Advanced Entry'!F$7-'Advanced Entry'!F$6),10*((IF('Advanced Entry'!F$5="Logarithm",LN(0.001+'Advanced Entry'!F32),IF('Advanced Entry'!F$5="Exponential",EXP('Advanced Entry'!F32),'Advanced Entry'!F32)))-'Advanced Entry'!F$6)/('Advanced Entry'!F$7-'Advanced Entry'!F$6)),1))),"No data"))</f>
        <v/>
      </c>
      <c r="G32" s="17">
        <f>IF('Advanced Entry'!G32="","",IFERROR(MAX(0,MIN(10,ROUND(IF('Advanced Entry'!G$8="Decrease Risk",10-10*((IF('Advanced Entry'!G$5="Logarithm",LN(0.001+'Advanced Entry'!G32),IF('Advanced Entry'!G$5="Exponential",EXP('Advanced Entry'!G32),'Advanced Entry'!G32)))-'Advanced Entry'!G$6)/('Advanced Entry'!G$7-'Advanced Entry'!G$6),10*((IF('Advanced Entry'!G$5="Logarithm",LN(0.001+'Advanced Entry'!G32),IF('Advanced Entry'!G$5="Exponential",EXP('Advanced Entry'!G32),'Advanced Entry'!G32)))-'Advanced Entry'!G$6)/('Advanced Entry'!G$7-'Advanced Entry'!G$6)),1))),"No data"))</f>
        <v/>
      </c>
      <c r="H32" s="17">
        <f>IF('Advanced Entry'!H32="","",IFERROR(MAX(0,MIN(10,ROUND(IF('Advanced Entry'!H$8="Decrease Risk",10-10*((IF('Advanced Entry'!H$5="Logarithm",LN(0.001+'Advanced Entry'!H32),IF('Advanced Entry'!H$5="Exponential",EXP('Advanced Entry'!H32),'Advanced Entry'!H32)))-'Advanced Entry'!H$6)/('Advanced Entry'!H$7-'Advanced Entry'!H$6),10*((IF('Advanced Entry'!H$5="Logarithm",LN(0.001+'Advanced Entry'!H32),IF('Advanced Entry'!H$5="Exponential",EXP('Advanced Entry'!H32),'Advanced Entry'!H32)))-'Advanced Entry'!H$6)/('Advanced Entry'!H$7-'Advanced Entry'!H$6)),1))),"No data"))</f>
        <v/>
      </c>
      <c r="I32" s="17">
        <f>IF('Advanced Entry'!I32="","",IFERROR(MAX(0,MIN(10,ROUND(IF('Advanced Entry'!I$8="Decrease Risk",10-10*((IF('Advanced Entry'!I$5="Logarithm",LN(0.001+'Advanced Entry'!I32),IF('Advanced Entry'!I$5="Exponential",EXP('Advanced Entry'!I32),'Advanced Entry'!I32)))-'Advanced Entry'!I$6)/('Advanced Entry'!I$7-'Advanced Entry'!I$6),10*((IF('Advanced Entry'!I$5="Logarithm",LN(0.001+'Advanced Entry'!I32),IF('Advanced Entry'!I$5="Exponential",EXP('Advanced Entry'!I32),'Advanced Entry'!I32)))-'Advanced Entry'!I$6)/('Advanced Entry'!I$7-'Advanced Entry'!I$6)),1))),"No data"))</f>
        <v/>
      </c>
      <c r="J32" s="17">
        <f>IF('Advanced Entry'!J32="","",IFERROR(MAX(0,MIN(10,ROUND(IF('Advanced Entry'!J$8="Decrease Risk",10-10*((IF('Advanced Entry'!J$5="Logarithm",LN(0.001+'Advanced Entry'!J32),IF('Advanced Entry'!J$5="Exponential",EXP('Advanced Entry'!J32),'Advanced Entry'!J32)))-'Advanced Entry'!J$6)/('Advanced Entry'!J$7-'Advanced Entry'!J$6),10*((IF('Advanced Entry'!J$5="Logarithm",LN(0.001+'Advanced Entry'!J32),IF('Advanced Entry'!J$5="Exponential",EXP('Advanced Entry'!J32),'Advanced Entry'!J32)))-'Advanced Entry'!J$6)/('Advanced Entry'!J$7-'Advanced Entry'!J$6)),1))),"No data"))</f>
        <v/>
      </c>
      <c r="K32" s="17">
        <f>IF('Advanced Entry'!K32="","",IFERROR(MAX(0,MIN(10,ROUND(IF('Advanced Entry'!K$8="Decrease Risk",10-10*((IF('Advanced Entry'!K$5="Logarithm",LN(0.001+'Advanced Entry'!K32),IF('Advanced Entry'!K$5="Exponential",EXP('Advanced Entry'!K32),'Advanced Entry'!K32)))-'Advanced Entry'!K$6)/('Advanced Entry'!K$7-'Advanced Entry'!K$6),10*((IF('Advanced Entry'!K$5="Logarithm",LN(0.001+'Advanced Entry'!K32),IF('Advanced Entry'!K$5="Exponential",EXP('Advanced Entry'!K32),'Advanced Entry'!K32)))-'Advanced Entry'!K$6)/('Advanced Entry'!K$7-'Advanced Entry'!K$6)),1))),"No data"))</f>
        <v/>
      </c>
      <c r="L32" s="17">
        <f>IF('Advanced Entry'!L32="","",IFERROR(MAX(0,MIN(10,ROUND(IF('Advanced Entry'!L$8="Decrease Risk",10-10*((IF('Advanced Entry'!L$5="Logarithm",LN(0.001+'Advanced Entry'!L32),IF('Advanced Entry'!L$5="Exponential",EXP('Advanced Entry'!L32),'Advanced Entry'!L32)))-'Advanced Entry'!L$6)/('Advanced Entry'!L$7-'Advanced Entry'!L$6),10*((IF('Advanced Entry'!L$5="Logarithm",LN(0.001+'Advanced Entry'!L32),IF('Advanced Entry'!L$5="Exponential",EXP('Advanced Entry'!L32),'Advanced Entry'!L32)))-'Advanced Entry'!L$6)/('Advanced Entry'!L$7-'Advanced Entry'!L$6)),1))),"No data"))</f>
        <v/>
      </c>
      <c r="M32" s="17">
        <f>IF('Advanced Entry'!M32="","",IFERROR(MAX(0,MIN(10,ROUND(IF('Advanced Entry'!M$8="Decrease Risk",10-10*((IF('Advanced Entry'!M$5="Logarithm",LN(0.001+'Advanced Entry'!M32),IF('Advanced Entry'!M$5="Exponential",EXP('Advanced Entry'!M32),'Advanced Entry'!M32)))-'Advanced Entry'!M$6)/('Advanced Entry'!M$7-'Advanced Entry'!M$6),10*((IF('Advanced Entry'!M$5="Logarithm",LN(0.001+'Advanced Entry'!M32),IF('Advanced Entry'!M$5="Exponential",EXP('Advanced Entry'!M32),'Advanced Entry'!M32)))-'Advanced Entry'!M$6)/('Advanced Entry'!M$7-'Advanced Entry'!M$6)),1))),"No data"))</f>
        <v/>
      </c>
      <c r="N32" s="17">
        <f>IF('Advanced Entry'!N32="","",IFERROR(MAX(0,MIN(10,ROUND(IF('Advanced Entry'!N$8="Decrease Risk",10-10*((IF('Advanced Entry'!N$5="Logarithm",LN(0.001+'Advanced Entry'!N32),IF('Advanced Entry'!N$5="Exponential",EXP('Advanced Entry'!N32),'Advanced Entry'!N32)))-'Advanced Entry'!N$6)/('Advanced Entry'!N$7-'Advanced Entry'!N$6),10*((IF('Advanced Entry'!N$5="Logarithm",LN(0.001+'Advanced Entry'!N32),IF('Advanced Entry'!N$5="Exponential",EXP('Advanced Entry'!N32),'Advanced Entry'!N32)))-'Advanced Entry'!N$6)/('Advanced Entry'!N$7-'Advanced Entry'!N$6)),1))),"No data"))</f>
        <v/>
      </c>
      <c r="O32" s="17">
        <f>IF('Advanced Entry'!O32="","",IFERROR(MAX(0,MIN(10,ROUND(IF('Advanced Entry'!O$8="Decrease Risk",10-10*((IF('Advanced Entry'!O$5="Logarithm",LN(0.001+'Advanced Entry'!O32),IF('Advanced Entry'!O$5="Exponential",EXP('Advanced Entry'!O32),'Advanced Entry'!O32)))-'Advanced Entry'!O$6)/('Advanced Entry'!O$7-'Advanced Entry'!O$6),10*((IF('Advanced Entry'!O$5="Logarithm",LN(0.001+'Advanced Entry'!O32),IF('Advanced Entry'!O$5="Exponential",EXP('Advanced Entry'!O32),'Advanced Entry'!O32)))-'Advanced Entry'!O$6)/('Advanced Entry'!O$7-'Advanced Entry'!O$6)),1))),"No data"))</f>
        <v/>
      </c>
      <c r="P32" s="17">
        <f>IF('Advanced Entry'!P32="","",IFERROR(MAX(0,MIN(10,ROUND(IF('Advanced Entry'!P$8="Decrease Risk",10-10*((IF('Advanced Entry'!P$5="Logarithm",LN(0.001+'Advanced Entry'!P32),IF('Advanced Entry'!P$5="Exponential",EXP('Advanced Entry'!P32),'Advanced Entry'!P32)))-'Advanced Entry'!P$6)/('Advanced Entry'!P$7-'Advanced Entry'!P$6),10*((IF('Advanced Entry'!P$5="Logarithm",LN(0.001+'Advanced Entry'!P32),IF('Advanced Entry'!P$5="Exponential",EXP('Advanced Entry'!P32),'Advanced Entry'!P32)))-'Advanced Entry'!P$6)/('Advanced Entry'!P$7-'Advanced Entry'!P$6)),1))),"No data"))</f>
        <v/>
      </c>
      <c r="Q32" s="17">
        <f>IF('Advanced Entry'!Q32="","",IFERROR(MAX(0,MIN(10,ROUND(IF('Advanced Entry'!Q$8="Decrease Risk",10-10*((IF('Advanced Entry'!Q$5="Logarithm",LN(0.001+'Advanced Entry'!Q32),IF('Advanced Entry'!Q$5="Exponential",EXP('Advanced Entry'!Q32),'Advanced Entry'!Q32)))-'Advanced Entry'!Q$6)/('Advanced Entry'!Q$7-'Advanced Entry'!Q$6),10*((IF('Advanced Entry'!Q$5="Logarithm",LN(0.001+'Advanced Entry'!Q32),IF('Advanced Entry'!Q$5="Exponential",EXP('Advanced Entry'!Q32),'Advanced Entry'!Q32)))-'Advanced Entry'!Q$6)/('Advanced Entry'!Q$7-'Advanced Entry'!Q$6)),1))),"No data"))</f>
        <v/>
      </c>
      <c r="R32" s="17">
        <f>IF('Advanced Entry'!R32="","",IFERROR(MAX(0,MIN(10,ROUND(IF('Advanced Entry'!R$8="Decrease Risk",10-10*((IF('Advanced Entry'!R$5="Logarithm",LN(0.001+'Advanced Entry'!R32),IF('Advanced Entry'!R$5="Exponential",EXP('Advanced Entry'!R32),'Advanced Entry'!R32)))-'Advanced Entry'!R$6)/('Advanced Entry'!R$7-'Advanced Entry'!R$6),10*((IF('Advanced Entry'!R$5="Logarithm",LN(0.001+'Advanced Entry'!R32),IF('Advanced Entry'!R$5="Exponential",EXP('Advanced Entry'!R32),'Advanced Entry'!R32)))-'Advanced Entry'!R$6)/('Advanced Entry'!R$7-'Advanced Entry'!R$6)),1))),"No data"))</f>
        <v/>
      </c>
      <c r="S32" s="17">
        <f>IF('Advanced Entry'!S32="","",IFERROR(MAX(0,MIN(10,ROUND(IF('Advanced Entry'!S$8="Decrease Risk",10-10*((IF('Advanced Entry'!S$5="Logarithm",LN(0.001+'Advanced Entry'!S32),IF('Advanced Entry'!S$5="Exponential",EXP('Advanced Entry'!S32),'Advanced Entry'!S32)))-'Advanced Entry'!S$6)/('Advanced Entry'!S$7-'Advanced Entry'!S$6),10*((IF('Advanced Entry'!S$5="Logarithm",LN(0.001+'Advanced Entry'!S32),IF('Advanced Entry'!S$5="Exponential",EXP('Advanced Entry'!S32),'Advanced Entry'!S32)))-'Advanced Entry'!S$6)/('Advanced Entry'!S$7-'Advanced Entry'!S$6)),1))),"No data"))</f>
        <v/>
      </c>
      <c r="T32" s="17">
        <f>IF('Advanced Entry'!T32="","",IFERROR(MAX(0,MIN(10,ROUND(IF('Advanced Entry'!T$8="Decrease Risk",10-10*((IF('Advanced Entry'!T$5="Logarithm",LN(0.001+'Advanced Entry'!T32),IF('Advanced Entry'!T$5="Exponential",EXP('Advanced Entry'!T32),'Advanced Entry'!T32)))-'Advanced Entry'!T$6)/('Advanced Entry'!T$7-'Advanced Entry'!T$6),10*((IF('Advanced Entry'!T$5="Logarithm",LN(0.001+'Advanced Entry'!T32),IF('Advanced Entry'!T$5="Exponential",EXP('Advanced Entry'!T32),'Advanced Entry'!T32)))-'Advanced Entry'!T$6)/('Advanced Entry'!T$7-'Advanced Entry'!T$6)),1))),"No data"))</f>
        <v/>
      </c>
      <c r="U32" s="17">
        <f>IF('Advanced Entry'!U32="","",IFERROR(MAX(0,MIN(10,ROUND(IF('Advanced Entry'!U$8="Decrease Risk",10-10*((IF('Advanced Entry'!U$5="Logarithm",LN(0.001+'Advanced Entry'!U32),IF('Advanced Entry'!U$5="Exponential",EXP('Advanced Entry'!U32),'Advanced Entry'!U32)))-'Advanced Entry'!U$6)/('Advanced Entry'!U$7-'Advanced Entry'!U$6),10*((IF('Advanced Entry'!U$5="Logarithm",LN(0.001+'Advanced Entry'!U32),IF('Advanced Entry'!U$5="Exponential",EXP('Advanced Entry'!U32),'Advanced Entry'!U32)))-'Advanced Entry'!U$6)/('Advanced Entry'!U$7-'Advanced Entry'!U$6)),1))),"No data"))</f>
        <v/>
      </c>
      <c r="V32" s="17">
        <f>IF('Advanced Entry'!V32="","",IFERROR(MAX(0,MIN(10,ROUND(IF('Advanced Entry'!V$8="Decrease Risk",10-10*((IF('Advanced Entry'!V$5="Logarithm",LN(0.001+'Advanced Entry'!V32),IF('Advanced Entry'!V$5="Exponential",EXP('Advanced Entry'!V32),'Advanced Entry'!V32)))-'Advanced Entry'!V$6)/('Advanced Entry'!V$7-'Advanced Entry'!V$6),10*((IF('Advanced Entry'!V$5="Logarithm",LN(0.001+'Advanced Entry'!V32),IF('Advanced Entry'!V$5="Exponential",EXP('Advanced Entry'!V32),'Advanced Entry'!V32)))-'Advanced Entry'!V$6)/('Advanced Entry'!V$7-'Advanced Entry'!V$6)),1))),"No data"))</f>
        <v/>
      </c>
      <c r="W32" s="17">
        <f>IF('Advanced Entry'!W32="","",IFERROR(MAX(0,MIN(10,ROUND(IF('Advanced Entry'!W$8="Decrease Risk",10-10*((IF('Advanced Entry'!W$5="Logarithm",LN(0.001+'Advanced Entry'!W32),IF('Advanced Entry'!W$5="Exponential",EXP('Advanced Entry'!W32),'Advanced Entry'!W32)))-'Advanced Entry'!W$6)/('Advanced Entry'!W$7-'Advanced Entry'!W$6),10*((IF('Advanced Entry'!W$5="Logarithm",LN(0.001+'Advanced Entry'!W32),IF('Advanced Entry'!W$5="Exponential",EXP('Advanced Entry'!W32),'Advanced Entry'!W32)))-'Advanced Entry'!W$6)/('Advanced Entry'!W$7-'Advanced Entry'!W$6)),1))),"No data"))</f>
        <v/>
      </c>
      <c r="X32" s="17">
        <f>IF('Advanced Entry'!X32="","",IFERROR(MAX(0,MIN(10,ROUND(IF('Advanced Entry'!X$8="Decrease Risk",10-10*((IF('Advanced Entry'!X$5="Logarithm",LN(0.001+'Advanced Entry'!X32),IF('Advanced Entry'!X$5="Exponential",EXP('Advanced Entry'!X32),'Advanced Entry'!X32)))-'Advanced Entry'!X$6)/('Advanced Entry'!X$7-'Advanced Entry'!X$6),10*((IF('Advanced Entry'!X$5="Logarithm",LN(0.001+'Advanced Entry'!X32),IF('Advanced Entry'!X$5="Exponential",EXP('Advanced Entry'!X32),'Advanced Entry'!X32)))-'Advanced Entry'!X$6)/('Advanced Entry'!X$7-'Advanced Entry'!X$6)),1))),"No data"))</f>
        <v/>
      </c>
      <c r="Y32" s="17">
        <f>IF('Advanced Entry'!Y32="","",IFERROR(MAX(0,MIN(10,ROUND(IF('Advanced Entry'!Y$8="Decrease Risk",10-10*((IF('Advanced Entry'!Y$5="Logarithm",LN(0.001+'Advanced Entry'!Y32),IF('Advanced Entry'!Y$5="Exponential",EXP('Advanced Entry'!Y32),'Advanced Entry'!Y32)))-'Advanced Entry'!Y$6)/('Advanced Entry'!Y$7-'Advanced Entry'!Y$6),10*((IF('Advanced Entry'!Y$5="Logarithm",LN(0.001+'Advanced Entry'!Y32),IF('Advanced Entry'!Y$5="Exponential",EXP('Advanced Entry'!Y32),'Advanced Entry'!Y32)))-'Advanced Entry'!Y$6)/('Advanced Entry'!Y$7-'Advanced Entry'!Y$6)),1))),"No data"))</f>
        <v/>
      </c>
      <c r="Z32" s="17">
        <f>IF('Advanced Entry'!Z32="","",IFERROR(MAX(0,MIN(10,ROUND(IF('Advanced Entry'!Z$8="Decrease Risk",10-10*((IF('Advanced Entry'!Z$5="Logarithm",LN(0.001+'Advanced Entry'!Z32),IF('Advanced Entry'!Z$5="Exponential",EXP('Advanced Entry'!Z32),'Advanced Entry'!Z32)))-'Advanced Entry'!Z$6)/('Advanced Entry'!Z$7-'Advanced Entry'!Z$6),10*((IF('Advanced Entry'!Z$5="Logarithm",LN(0.001+'Advanced Entry'!Z32),IF('Advanced Entry'!Z$5="Exponential",EXP('Advanced Entry'!Z32),'Advanced Entry'!Z32)))-'Advanced Entry'!Z$6)/('Advanced Entry'!Z$7-'Advanced Entry'!Z$6)),1))),"No data"))</f>
        <v/>
      </c>
      <c r="AA32" s="17">
        <f>IF('Advanced Entry'!AA32="","",IFERROR(MAX(0,MIN(10,ROUND(IF('Advanced Entry'!AA$8="Decrease Risk",10-10*((IF('Advanced Entry'!AA$5="Logarithm",LN(0.001+'Advanced Entry'!AA32),IF('Advanced Entry'!AA$5="Exponential",EXP('Advanced Entry'!AA32),'Advanced Entry'!AA32)))-'Advanced Entry'!AA$6)/('Advanced Entry'!AA$7-'Advanced Entry'!AA$6),10*((IF('Advanced Entry'!AA$5="Logarithm",LN(0.001+'Advanced Entry'!AA32),IF('Advanced Entry'!AA$5="Exponential",EXP('Advanced Entry'!AA32),'Advanced Entry'!AA32)))-'Advanced Entry'!AA$6)/('Advanced Entry'!AA$7-'Advanced Entry'!AA$6)),1))),"No data"))</f>
        <v/>
      </c>
      <c r="AB32" s="17">
        <f>IF('Advanced Entry'!AB32="","",IFERROR(MAX(0,MIN(10,ROUND(IF('Advanced Entry'!AB$8="Decrease Risk",10-10*((IF('Advanced Entry'!AB$5="Logarithm",LN(0.001+'Advanced Entry'!AB32),IF('Advanced Entry'!AB$5="Exponential",EXP('Advanced Entry'!AB32),'Advanced Entry'!AB32)))-'Advanced Entry'!AB$6)/('Advanced Entry'!AB$7-'Advanced Entry'!AB$6),10*((IF('Advanced Entry'!AB$5="Logarithm",LN(0.001+'Advanced Entry'!AB32),IF('Advanced Entry'!AB$5="Exponential",EXP('Advanced Entry'!AB32),'Advanced Entry'!AB32)))-'Advanced Entry'!AB$6)/('Advanced Entry'!AB$7-'Advanced Entry'!AB$6)),1))),"No data"))</f>
        <v/>
      </c>
    </row>
    <row r="33">
      <c r="A33" t="inlineStr">
        <is>
          <t>Geita</t>
        </is>
      </c>
      <c r="B33" t="inlineStr">
        <is>
          <t>Geita District</t>
        </is>
      </c>
      <c r="C33" t="inlineStr">
        <is>
          <t>C174</t>
        </is>
      </c>
      <c r="D33" s="17">
        <f>IF('Advanced Entry'!D33="","",IFERROR(MAX(0,MIN(10,ROUND(IF('Advanced Entry'!D$8="Decrease Risk",10-10*((IF('Advanced Entry'!D$5="Logarithm",LN(0.001+'Advanced Entry'!D33),IF('Advanced Entry'!D$5="Exponential",EXP('Advanced Entry'!D33),'Advanced Entry'!D33)))-'Advanced Entry'!D$6)/('Advanced Entry'!D$7-'Advanced Entry'!D$6),10*((IF('Advanced Entry'!D$5="Logarithm",LN(0.001+'Advanced Entry'!D33),IF('Advanced Entry'!D$5="Exponential",EXP('Advanced Entry'!D33),'Advanced Entry'!D33)))-'Advanced Entry'!D$6)/('Advanced Entry'!D$7-'Advanced Entry'!D$6)),1))),"No data"))</f>
        <v/>
      </c>
      <c r="E33" s="17">
        <f>IF('Advanced Entry'!E33="","",IFERROR(MAX(0,MIN(10,ROUND(IF('Advanced Entry'!E$8="Decrease Risk",10-10*((IF('Advanced Entry'!E$5="Logarithm",LN(0.001+'Advanced Entry'!E33),IF('Advanced Entry'!E$5="Exponential",EXP('Advanced Entry'!E33),'Advanced Entry'!E33)))-'Advanced Entry'!E$6)/('Advanced Entry'!E$7-'Advanced Entry'!E$6),10*((IF('Advanced Entry'!E$5="Logarithm",LN(0.001+'Advanced Entry'!E33),IF('Advanced Entry'!E$5="Exponential",EXP('Advanced Entry'!E33),'Advanced Entry'!E33)))-'Advanced Entry'!E$6)/('Advanced Entry'!E$7-'Advanced Entry'!E$6)),1))),"No data"))</f>
        <v/>
      </c>
      <c r="F33" s="17">
        <f>IF('Advanced Entry'!F33="","",IFERROR(MAX(0,MIN(10,ROUND(IF('Advanced Entry'!F$8="Decrease Risk",10-10*((IF('Advanced Entry'!F$5="Logarithm",LN(0.001+'Advanced Entry'!F33),IF('Advanced Entry'!F$5="Exponential",EXP('Advanced Entry'!F33),'Advanced Entry'!F33)))-'Advanced Entry'!F$6)/('Advanced Entry'!F$7-'Advanced Entry'!F$6),10*((IF('Advanced Entry'!F$5="Logarithm",LN(0.001+'Advanced Entry'!F33),IF('Advanced Entry'!F$5="Exponential",EXP('Advanced Entry'!F33),'Advanced Entry'!F33)))-'Advanced Entry'!F$6)/('Advanced Entry'!F$7-'Advanced Entry'!F$6)),1))),"No data"))</f>
        <v/>
      </c>
      <c r="G33" s="17">
        <f>IF('Advanced Entry'!G33="","",IFERROR(MAX(0,MIN(10,ROUND(IF('Advanced Entry'!G$8="Decrease Risk",10-10*((IF('Advanced Entry'!G$5="Logarithm",LN(0.001+'Advanced Entry'!G33),IF('Advanced Entry'!G$5="Exponential",EXP('Advanced Entry'!G33),'Advanced Entry'!G33)))-'Advanced Entry'!G$6)/('Advanced Entry'!G$7-'Advanced Entry'!G$6),10*((IF('Advanced Entry'!G$5="Logarithm",LN(0.001+'Advanced Entry'!G33),IF('Advanced Entry'!G$5="Exponential",EXP('Advanced Entry'!G33),'Advanced Entry'!G33)))-'Advanced Entry'!G$6)/('Advanced Entry'!G$7-'Advanced Entry'!G$6)),1))),"No data"))</f>
        <v/>
      </c>
      <c r="H33" s="17">
        <f>IF('Advanced Entry'!H33="","",IFERROR(MAX(0,MIN(10,ROUND(IF('Advanced Entry'!H$8="Decrease Risk",10-10*((IF('Advanced Entry'!H$5="Logarithm",LN(0.001+'Advanced Entry'!H33),IF('Advanced Entry'!H$5="Exponential",EXP('Advanced Entry'!H33),'Advanced Entry'!H33)))-'Advanced Entry'!H$6)/('Advanced Entry'!H$7-'Advanced Entry'!H$6),10*((IF('Advanced Entry'!H$5="Logarithm",LN(0.001+'Advanced Entry'!H33),IF('Advanced Entry'!H$5="Exponential",EXP('Advanced Entry'!H33),'Advanced Entry'!H33)))-'Advanced Entry'!H$6)/('Advanced Entry'!H$7-'Advanced Entry'!H$6)),1))),"No data"))</f>
        <v/>
      </c>
      <c r="I33" s="17">
        <f>IF('Advanced Entry'!I33="","",IFERROR(MAX(0,MIN(10,ROUND(IF('Advanced Entry'!I$8="Decrease Risk",10-10*((IF('Advanced Entry'!I$5="Logarithm",LN(0.001+'Advanced Entry'!I33),IF('Advanced Entry'!I$5="Exponential",EXP('Advanced Entry'!I33),'Advanced Entry'!I33)))-'Advanced Entry'!I$6)/('Advanced Entry'!I$7-'Advanced Entry'!I$6),10*((IF('Advanced Entry'!I$5="Logarithm",LN(0.001+'Advanced Entry'!I33),IF('Advanced Entry'!I$5="Exponential",EXP('Advanced Entry'!I33),'Advanced Entry'!I33)))-'Advanced Entry'!I$6)/('Advanced Entry'!I$7-'Advanced Entry'!I$6)),1))),"No data"))</f>
        <v/>
      </c>
      <c r="J33" s="17">
        <f>IF('Advanced Entry'!J33="","",IFERROR(MAX(0,MIN(10,ROUND(IF('Advanced Entry'!J$8="Decrease Risk",10-10*((IF('Advanced Entry'!J$5="Logarithm",LN(0.001+'Advanced Entry'!J33),IF('Advanced Entry'!J$5="Exponential",EXP('Advanced Entry'!J33),'Advanced Entry'!J33)))-'Advanced Entry'!J$6)/('Advanced Entry'!J$7-'Advanced Entry'!J$6),10*((IF('Advanced Entry'!J$5="Logarithm",LN(0.001+'Advanced Entry'!J33),IF('Advanced Entry'!J$5="Exponential",EXP('Advanced Entry'!J33),'Advanced Entry'!J33)))-'Advanced Entry'!J$6)/('Advanced Entry'!J$7-'Advanced Entry'!J$6)),1))),"No data"))</f>
        <v/>
      </c>
      <c r="K33" s="17">
        <f>IF('Advanced Entry'!K33="","",IFERROR(MAX(0,MIN(10,ROUND(IF('Advanced Entry'!K$8="Decrease Risk",10-10*((IF('Advanced Entry'!K$5="Logarithm",LN(0.001+'Advanced Entry'!K33),IF('Advanced Entry'!K$5="Exponential",EXP('Advanced Entry'!K33),'Advanced Entry'!K33)))-'Advanced Entry'!K$6)/('Advanced Entry'!K$7-'Advanced Entry'!K$6),10*((IF('Advanced Entry'!K$5="Logarithm",LN(0.001+'Advanced Entry'!K33),IF('Advanced Entry'!K$5="Exponential",EXP('Advanced Entry'!K33),'Advanced Entry'!K33)))-'Advanced Entry'!K$6)/('Advanced Entry'!K$7-'Advanced Entry'!K$6)),1))),"No data"))</f>
        <v/>
      </c>
      <c r="L33" s="17">
        <f>IF('Advanced Entry'!L33="","",IFERROR(MAX(0,MIN(10,ROUND(IF('Advanced Entry'!L$8="Decrease Risk",10-10*((IF('Advanced Entry'!L$5="Logarithm",LN(0.001+'Advanced Entry'!L33),IF('Advanced Entry'!L$5="Exponential",EXP('Advanced Entry'!L33),'Advanced Entry'!L33)))-'Advanced Entry'!L$6)/('Advanced Entry'!L$7-'Advanced Entry'!L$6),10*((IF('Advanced Entry'!L$5="Logarithm",LN(0.001+'Advanced Entry'!L33),IF('Advanced Entry'!L$5="Exponential",EXP('Advanced Entry'!L33),'Advanced Entry'!L33)))-'Advanced Entry'!L$6)/('Advanced Entry'!L$7-'Advanced Entry'!L$6)),1))),"No data"))</f>
        <v/>
      </c>
      <c r="M33" s="17">
        <f>IF('Advanced Entry'!M33="","",IFERROR(MAX(0,MIN(10,ROUND(IF('Advanced Entry'!M$8="Decrease Risk",10-10*((IF('Advanced Entry'!M$5="Logarithm",LN(0.001+'Advanced Entry'!M33),IF('Advanced Entry'!M$5="Exponential",EXP('Advanced Entry'!M33),'Advanced Entry'!M33)))-'Advanced Entry'!M$6)/('Advanced Entry'!M$7-'Advanced Entry'!M$6),10*((IF('Advanced Entry'!M$5="Logarithm",LN(0.001+'Advanced Entry'!M33),IF('Advanced Entry'!M$5="Exponential",EXP('Advanced Entry'!M33),'Advanced Entry'!M33)))-'Advanced Entry'!M$6)/('Advanced Entry'!M$7-'Advanced Entry'!M$6)),1))),"No data"))</f>
        <v/>
      </c>
      <c r="N33" s="17">
        <f>IF('Advanced Entry'!N33="","",IFERROR(MAX(0,MIN(10,ROUND(IF('Advanced Entry'!N$8="Decrease Risk",10-10*((IF('Advanced Entry'!N$5="Logarithm",LN(0.001+'Advanced Entry'!N33),IF('Advanced Entry'!N$5="Exponential",EXP('Advanced Entry'!N33),'Advanced Entry'!N33)))-'Advanced Entry'!N$6)/('Advanced Entry'!N$7-'Advanced Entry'!N$6),10*((IF('Advanced Entry'!N$5="Logarithm",LN(0.001+'Advanced Entry'!N33),IF('Advanced Entry'!N$5="Exponential",EXP('Advanced Entry'!N33),'Advanced Entry'!N33)))-'Advanced Entry'!N$6)/('Advanced Entry'!N$7-'Advanced Entry'!N$6)),1))),"No data"))</f>
        <v/>
      </c>
      <c r="O33" s="17">
        <f>IF('Advanced Entry'!O33="","",IFERROR(MAX(0,MIN(10,ROUND(IF('Advanced Entry'!O$8="Decrease Risk",10-10*((IF('Advanced Entry'!O$5="Logarithm",LN(0.001+'Advanced Entry'!O33),IF('Advanced Entry'!O$5="Exponential",EXP('Advanced Entry'!O33),'Advanced Entry'!O33)))-'Advanced Entry'!O$6)/('Advanced Entry'!O$7-'Advanced Entry'!O$6),10*((IF('Advanced Entry'!O$5="Logarithm",LN(0.001+'Advanced Entry'!O33),IF('Advanced Entry'!O$5="Exponential",EXP('Advanced Entry'!O33),'Advanced Entry'!O33)))-'Advanced Entry'!O$6)/('Advanced Entry'!O$7-'Advanced Entry'!O$6)),1))),"No data"))</f>
        <v/>
      </c>
      <c r="P33" s="17">
        <f>IF('Advanced Entry'!P33="","",IFERROR(MAX(0,MIN(10,ROUND(IF('Advanced Entry'!P$8="Decrease Risk",10-10*((IF('Advanced Entry'!P$5="Logarithm",LN(0.001+'Advanced Entry'!P33),IF('Advanced Entry'!P$5="Exponential",EXP('Advanced Entry'!P33),'Advanced Entry'!P33)))-'Advanced Entry'!P$6)/('Advanced Entry'!P$7-'Advanced Entry'!P$6),10*((IF('Advanced Entry'!P$5="Logarithm",LN(0.001+'Advanced Entry'!P33),IF('Advanced Entry'!P$5="Exponential",EXP('Advanced Entry'!P33),'Advanced Entry'!P33)))-'Advanced Entry'!P$6)/('Advanced Entry'!P$7-'Advanced Entry'!P$6)),1))),"No data"))</f>
        <v/>
      </c>
      <c r="Q33" s="17">
        <f>IF('Advanced Entry'!Q33="","",IFERROR(MAX(0,MIN(10,ROUND(IF('Advanced Entry'!Q$8="Decrease Risk",10-10*((IF('Advanced Entry'!Q$5="Logarithm",LN(0.001+'Advanced Entry'!Q33),IF('Advanced Entry'!Q$5="Exponential",EXP('Advanced Entry'!Q33),'Advanced Entry'!Q33)))-'Advanced Entry'!Q$6)/('Advanced Entry'!Q$7-'Advanced Entry'!Q$6),10*((IF('Advanced Entry'!Q$5="Logarithm",LN(0.001+'Advanced Entry'!Q33),IF('Advanced Entry'!Q$5="Exponential",EXP('Advanced Entry'!Q33),'Advanced Entry'!Q33)))-'Advanced Entry'!Q$6)/('Advanced Entry'!Q$7-'Advanced Entry'!Q$6)),1))),"No data"))</f>
        <v/>
      </c>
      <c r="R33" s="17">
        <f>IF('Advanced Entry'!R33="","",IFERROR(MAX(0,MIN(10,ROUND(IF('Advanced Entry'!R$8="Decrease Risk",10-10*((IF('Advanced Entry'!R$5="Logarithm",LN(0.001+'Advanced Entry'!R33),IF('Advanced Entry'!R$5="Exponential",EXP('Advanced Entry'!R33),'Advanced Entry'!R33)))-'Advanced Entry'!R$6)/('Advanced Entry'!R$7-'Advanced Entry'!R$6),10*((IF('Advanced Entry'!R$5="Logarithm",LN(0.001+'Advanced Entry'!R33),IF('Advanced Entry'!R$5="Exponential",EXP('Advanced Entry'!R33),'Advanced Entry'!R33)))-'Advanced Entry'!R$6)/('Advanced Entry'!R$7-'Advanced Entry'!R$6)),1))),"No data"))</f>
        <v/>
      </c>
      <c r="S33" s="17">
        <f>IF('Advanced Entry'!S33="","",IFERROR(MAX(0,MIN(10,ROUND(IF('Advanced Entry'!S$8="Decrease Risk",10-10*((IF('Advanced Entry'!S$5="Logarithm",LN(0.001+'Advanced Entry'!S33),IF('Advanced Entry'!S$5="Exponential",EXP('Advanced Entry'!S33),'Advanced Entry'!S33)))-'Advanced Entry'!S$6)/('Advanced Entry'!S$7-'Advanced Entry'!S$6),10*((IF('Advanced Entry'!S$5="Logarithm",LN(0.001+'Advanced Entry'!S33),IF('Advanced Entry'!S$5="Exponential",EXP('Advanced Entry'!S33),'Advanced Entry'!S33)))-'Advanced Entry'!S$6)/('Advanced Entry'!S$7-'Advanced Entry'!S$6)),1))),"No data"))</f>
        <v/>
      </c>
      <c r="T33" s="17">
        <f>IF('Advanced Entry'!T33="","",IFERROR(MAX(0,MIN(10,ROUND(IF('Advanced Entry'!T$8="Decrease Risk",10-10*((IF('Advanced Entry'!T$5="Logarithm",LN(0.001+'Advanced Entry'!T33),IF('Advanced Entry'!T$5="Exponential",EXP('Advanced Entry'!T33),'Advanced Entry'!T33)))-'Advanced Entry'!T$6)/('Advanced Entry'!T$7-'Advanced Entry'!T$6),10*((IF('Advanced Entry'!T$5="Logarithm",LN(0.001+'Advanced Entry'!T33),IF('Advanced Entry'!T$5="Exponential",EXP('Advanced Entry'!T33),'Advanced Entry'!T33)))-'Advanced Entry'!T$6)/('Advanced Entry'!T$7-'Advanced Entry'!T$6)),1))),"No data"))</f>
        <v/>
      </c>
      <c r="U33" s="17">
        <f>IF('Advanced Entry'!U33="","",IFERROR(MAX(0,MIN(10,ROUND(IF('Advanced Entry'!U$8="Decrease Risk",10-10*((IF('Advanced Entry'!U$5="Logarithm",LN(0.001+'Advanced Entry'!U33),IF('Advanced Entry'!U$5="Exponential",EXP('Advanced Entry'!U33),'Advanced Entry'!U33)))-'Advanced Entry'!U$6)/('Advanced Entry'!U$7-'Advanced Entry'!U$6),10*((IF('Advanced Entry'!U$5="Logarithm",LN(0.001+'Advanced Entry'!U33),IF('Advanced Entry'!U$5="Exponential",EXP('Advanced Entry'!U33),'Advanced Entry'!U33)))-'Advanced Entry'!U$6)/('Advanced Entry'!U$7-'Advanced Entry'!U$6)),1))),"No data"))</f>
        <v/>
      </c>
      <c r="V33" s="17">
        <f>IF('Advanced Entry'!V33="","",IFERROR(MAX(0,MIN(10,ROUND(IF('Advanced Entry'!V$8="Decrease Risk",10-10*((IF('Advanced Entry'!V$5="Logarithm",LN(0.001+'Advanced Entry'!V33),IF('Advanced Entry'!V$5="Exponential",EXP('Advanced Entry'!V33),'Advanced Entry'!V33)))-'Advanced Entry'!V$6)/('Advanced Entry'!V$7-'Advanced Entry'!V$6),10*((IF('Advanced Entry'!V$5="Logarithm",LN(0.001+'Advanced Entry'!V33),IF('Advanced Entry'!V$5="Exponential",EXP('Advanced Entry'!V33),'Advanced Entry'!V33)))-'Advanced Entry'!V$6)/('Advanced Entry'!V$7-'Advanced Entry'!V$6)),1))),"No data"))</f>
        <v/>
      </c>
      <c r="W33" s="17">
        <f>IF('Advanced Entry'!W33="","",IFERROR(MAX(0,MIN(10,ROUND(IF('Advanced Entry'!W$8="Decrease Risk",10-10*((IF('Advanced Entry'!W$5="Logarithm",LN(0.001+'Advanced Entry'!W33),IF('Advanced Entry'!W$5="Exponential",EXP('Advanced Entry'!W33),'Advanced Entry'!W33)))-'Advanced Entry'!W$6)/('Advanced Entry'!W$7-'Advanced Entry'!W$6),10*((IF('Advanced Entry'!W$5="Logarithm",LN(0.001+'Advanced Entry'!W33),IF('Advanced Entry'!W$5="Exponential",EXP('Advanced Entry'!W33),'Advanced Entry'!W33)))-'Advanced Entry'!W$6)/('Advanced Entry'!W$7-'Advanced Entry'!W$6)),1))),"No data"))</f>
        <v/>
      </c>
      <c r="X33" s="17">
        <f>IF('Advanced Entry'!X33="","",IFERROR(MAX(0,MIN(10,ROUND(IF('Advanced Entry'!X$8="Decrease Risk",10-10*((IF('Advanced Entry'!X$5="Logarithm",LN(0.001+'Advanced Entry'!X33),IF('Advanced Entry'!X$5="Exponential",EXP('Advanced Entry'!X33),'Advanced Entry'!X33)))-'Advanced Entry'!X$6)/('Advanced Entry'!X$7-'Advanced Entry'!X$6),10*((IF('Advanced Entry'!X$5="Logarithm",LN(0.001+'Advanced Entry'!X33),IF('Advanced Entry'!X$5="Exponential",EXP('Advanced Entry'!X33),'Advanced Entry'!X33)))-'Advanced Entry'!X$6)/('Advanced Entry'!X$7-'Advanced Entry'!X$6)),1))),"No data"))</f>
        <v/>
      </c>
      <c r="Y33" s="17">
        <f>IF('Advanced Entry'!Y33="","",IFERROR(MAX(0,MIN(10,ROUND(IF('Advanced Entry'!Y$8="Decrease Risk",10-10*((IF('Advanced Entry'!Y$5="Logarithm",LN(0.001+'Advanced Entry'!Y33),IF('Advanced Entry'!Y$5="Exponential",EXP('Advanced Entry'!Y33),'Advanced Entry'!Y33)))-'Advanced Entry'!Y$6)/('Advanced Entry'!Y$7-'Advanced Entry'!Y$6),10*((IF('Advanced Entry'!Y$5="Logarithm",LN(0.001+'Advanced Entry'!Y33),IF('Advanced Entry'!Y$5="Exponential",EXP('Advanced Entry'!Y33),'Advanced Entry'!Y33)))-'Advanced Entry'!Y$6)/('Advanced Entry'!Y$7-'Advanced Entry'!Y$6)),1))),"No data"))</f>
        <v/>
      </c>
      <c r="Z33" s="17">
        <f>IF('Advanced Entry'!Z33="","",IFERROR(MAX(0,MIN(10,ROUND(IF('Advanced Entry'!Z$8="Decrease Risk",10-10*((IF('Advanced Entry'!Z$5="Logarithm",LN(0.001+'Advanced Entry'!Z33),IF('Advanced Entry'!Z$5="Exponential",EXP('Advanced Entry'!Z33),'Advanced Entry'!Z33)))-'Advanced Entry'!Z$6)/('Advanced Entry'!Z$7-'Advanced Entry'!Z$6),10*((IF('Advanced Entry'!Z$5="Logarithm",LN(0.001+'Advanced Entry'!Z33),IF('Advanced Entry'!Z$5="Exponential",EXP('Advanced Entry'!Z33),'Advanced Entry'!Z33)))-'Advanced Entry'!Z$6)/('Advanced Entry'!Z$7-'Advanced Entry'!Z$6)),1))),"No data"))</f>
        <v/>
      </c>
      <c r="AA33" s="17">
        <f>IF('Advanced Entry'!AA33="","",IFERROR(MAX(0,MIN(10,ROUND(IF('Advanced Entry'!AA$8="Decrease Risk",10-10*((IF('Advanced Entry'!AA$5="Logarithm",LN(0.001+'Advanced Entry'!AA33),IF('Advanced Entry'!AA$5="Exponential",EXP('Advanced Entry'!AA33),'Advanced Entry'!AA33)))-'Advanced Entry'!AA$6)/('Advanced Entry'!AA$7-'Advanced Entry'!AA$6),10*((IF('Advanced Entry'!AA$5="Logarithm",LN(0.001+'Advanced Entry'!AA33),IF('Advanced Entry'!AA$5="Exponential",EXP('Advanced Entry'!AA33),'Advanced Entry'!AA33)))-'Advanced Entry'!AA$6)/('Advanced Entry'!AA$7-'Advanced Entry'!AA$6)),1))),"No data"))</f>
        <v/>
      </c>
      <c r="AB33" s="17">
        <f>IF('Advanced Entry'!AB33="","",IFERROR(MAX(0,MIN(10,ROUND(IF('Advanced Entry'!AB$8="Decrease Risk",10-10*((IF('Advanced Entry'!AB$5="Logarithm",LN(0.001+'Advanced Entry'!AB33),IF('Advanced Entry'!AB$5="Exponential",EXP('Advanced Entry'!AB33),'Advanced Entry'!AB33)))-'Advanced Entry'!AB$6)/('Advanced Entry'!AB$7-'Advanced Entry'!AB$6),10*((IF('Advanced Entry'!AB$5="Logarithm",LN(0.001+'Advanced Entry'!AB33),IF('Advanced Entry'!AB$5="Exponential",EXP('Advanced Entry'!AB33),'Advanced Entry'!AB33)))-'Advanced Entry'!AB$6)/('Advanced Entry'!AB$7-'Advanced Entry'!AB$6)),1))),"No data"))</f>
        <v/>
      </c>
    </row>
    <row r="34">
      <c r="A34" t="inlineStr">
        <is>
          <t>Geita</t>
        </is>
      </c>
      <c r="B34" t="inlineStr">
        <is>
          <t>Geita Town</t>
        </is>
      </c>
      <c r="C34" t="inlineStr">
        <is>
          <t>C175</t>
        </is>
      </c>
      <c r="D34" s="17">
        <f>IF('Advanced Entry'!D34="","",IFERROR(MAX(0,MIN(10,ROUND(IF('Advanced Entry'!D$8="Decrease Risk",10-10*((IF('Advanced Entry'!D$5="Logarithm",LN(0.001+'Advanced Entry'!D34),IF('Advanced Entry'!D$5="Exponential",EXP('Advanced Entry'!D34),'Advanced Entry'!D34)))-'Advanced Entry'!D$6)/('Advanced Entry'!D$7-'Advanced Entry'!D$6),10*((IF('Advanced Entry'!D$5="Logarithm",LN(0.001+'Advanced Entry'!D34),IF('Advanced Entry'!D$5="Exponential",EXP('Advanced Entry'!D34),'Advanced Entry'!D34)))-'Advanced Entry'!D$6)/('Advanced Entry'!D$7-'Advanced Entry'!D$6)),1))),"No data"))</f>
        <v/>
      </c>
      <c r="E34" s="17">
        <f>IF('Advanced Entry'!E34="","",IFERROR(MAX(0,MIN(10,ROUND(IF('Advanced Entry'!E$8="Decrease Risk",10-10*((IF('Advanced Entry'!E$5="Logarithm",LN(0.001+'Advanced Entry'!E34),IF('Advanced Entry'!E$5="Exponential",EXP('Advanced Entry'!E34),'Advanced Entry'!E34)))-'Advanced Entry'!E$6)/('Advanced Entry'!E$7-'Advanced Entry'!E$6),10*((IF('Advanced Entry'!E$5="Logarithm",LN(0.001+'Advanced Entry'!E34),IF('Advanced Entry'!E$5="Exponential",EXP('Advanced Entry'!E34),'Advanced Entry'!E34)))-'Advanced Entry'!E$6)/('Advanced Entry'!E$7-'Advanced Entry'!E$6)),1))),"No data"))</f>
        <v/>
      </c>
      <c r="F34" s="17">
        <f>IF('Advanced Entry'!F34="","",IFERROR(MAX(0,MIN(10,ROUND(IF('Advanced Entry'!F$8="Decrease Risk",10-10*((IF('Advanced Entry'!F$5="Logarithm",LN(0.001+'Advanced Entry'!F34),IF('Advanced Entry'!F$5="Exponential",EXP('Advanced Entry'!F34),'Advanced Entry'!F34)))-'Advanced Entry'!F$6)/('Advanced Entry'!F$7-'Advanced Entry'!F$6),10*((IF('Advanced Entry'!F$5="Logarithm",LN(0.001+'Advanced Entry'!F34),IF('Advanced Entry'!F$5="Exponential",EXP('Advanced Entry'!F34),'Advanced Entry'!F34)))-'Advanced Entry'!F$6)/('Advanced Entry'!F$7-'Advanced Entry'!F$6)),1))),"No data"))</f>
        <v/>
      </c>
      <c r="G34" s="17">
        <f>IF('Advanced Entry'!G34="","",IFERROR(MAX(0,MIN(10,ROUND(IF('Advanced Entry'!G$8="Decrease Risk",10-10*((IF('Advanced Entry'!G$5="Logarithm",LN(0.001+'Advanced Entry'!G34),IF('Advanced Entry'!G$5="Exponential",EXP('Advanced Entry'!G34),'Advanced Entry'!G34)))-'Advanced Entry'!G$6)/('Advanced Entry'!G$7-'Advanced Entry'!G$6),10*((IF('Advanced Entry'!G$5="Logarithm",LN(0.001+'Advanced Entry'!G34),IF('Advanced Entry'!G$5="Exponential",EXP('Advanced Entry'!G34),'Advanced Entry'!G34)))-'Advanced Entry'!G$6)/('Advanced Entry'!G$7-'Advanced Entry'!G$6)),1))),"No data"))</f>
        <v/>
      </c>
      <c r="H34" s="17">
        <f>IF('Advanced Entry'!H34="","",IFERROR(MAX(0,MIN(10,ROUND(IF('Advanced Entry'!H$8="Decrease Risk",10-10*((IF('Advanced Entry'!H$5="Logarithm",LN(0.001+'Advanced Entry'!H34),IF('Advanced Entry'!H$5="Exponential",EXP('Advanced Entry'!H34),'Advanced Entry'!H34)))-'Advanced Entry'!H$6)/('Advanced Entry'!H$7-'Advanced Entry'!H$6),10*((IF('Advanced Entry'!H$5="Logarithm",LN(0.001+'Advanced Entry'!H34),IF('Advanced Entry'!H$5="Exponential",EXP('Advanced Entry'!H34),'Advanced Entry'!H34)))-'Advanced Entry'!H$6)/('Advanced Entry'!H$7-'Advanced Entry'!H$6)),1))),"No data"))</f>
        <v/>
      </c>
      <c r="I34" s="17">
        <f>IF('Advanced Entry'!I34="","",IFERROR(MAX(0,MIN(10,ROUND(IF('Advanced Entry'!I$8="Decrease Risk",10-10*((IF('Advanced Entry'!I$5="Logarithm",LN(0.001+'Advanced Entry'!I34),IF('Advanced Entry'!I$5="Exponential",EXP('Advanced Entry'!I34),'Advanced Entry'!I34)))-'Advanced Entry'!I$6)/('Advanced Entry'!I$7-'Advanced Entry'!I$6),10*((IF('Advanced Entry'!I$5="Logarithm",LN(0.001+'Advanced Entry'!I34),IF('Advanced Entry'!I$5="Exponential",EXP('Advanced Entry'!I34),'Advanced Entry'!I34)))-'Advanced Entry'!I$6)/('Advanced Entry'!I$7-'Advanced Entry'!I$6)),1))),"No data"))</f>
        <v/>
      </c>
      <c r="J34" s="17">
        <f>IF('Advanced Entry'!J34="","",IFERROR(MAX(0,MIN(10,ROUND(IF('Advanced Entry'!J$8="Decrease Risk",10-10*((IF('Advanced Entry'!J$5="Logarithm",LN(0.001+'Advanced Entry'!J34),IF('Advanced Entry'!J$5="Exponential",EXP('Advanced Entry'!J34),'Advanced Entry'!J34)))-'Advanced Entry'!J$6)/('Advanced Entry'!J$7-'Advanced Entry'!J$6),10*((IF('Advanced Entry'!J$5="Logarithm",LN(0.001+'Advanced Entry'!J34),IF('Advanced Entry'!J$5="Exponential",EXP('Advanced Entry'!J34),'Advanced Entry'!J34)))-'Advanced Entry'!J$6)/('Advanced Entry'!J$7-'Advanced Entry'!J$6)),1))),"No data"))</f>
        <v/>
      </c>
      <c r="K34" s="17">
        <f>IF('Advanced Entry'!K34="","",IFERROR(MAX(0,MIN(10,ROUND(IF('Advanced Entry'!K$8="Decrease Risk",10-10*((IF('Advanced Entry'!K$5="Logarithm",LN(0.001+'Advanced Entry'!K34),IF('Advanced Entry'!K$5="Exponential",EXP('Advanced Entry'!K34),'Advanced Entry'!K34)))-'Advanced Entry'!K$6)/('Advanced Entry'!K$7-'Advanced Entry'!K$6),10*((IF('Advanced Entry'!K$5="Logarithm",LN(0.001+'Advanced Entry'!K34),IF('Advanced Entry'!K$5="Exponential",EXP('Advanced Entry'!K34),'Advanced Entry'!K34)))-'Advanced Entry'!K$6)/('Advanced Entry'!K$7-'Advanced Entry'!K$6)),1))),"No data"))</f>
        <v/>
      </c>
      <c r="L34" s="17">
        <f>IF('Advanced Entry'!L34="","",IFERROR(MAX(0,MIN(10,ROUND(IF('Advanced Entry'!L$8="Decrease Risk",10-10*((IF('Advanced Entry'!L$5="Logarithm",LN(0.001+'Advanced Entry'!L34),IF('Advanced Entry'!L$5="Exponential",EXP('Advanced Entry'!L34),'Advanced Entry'!L34)))-'Advanced Entry'!L$6)/('Advanced Entry'!L$7-'Advanced Entry'!L$6),10*((IF('Advanced Entry'!L$5="Logarithm",LN(0.001+'Advanced Entry'!L34),IF('Advanced Entry'!L$5="Exponential",EXP('Advanced Entry'!L34),'Advanced Entry'!L34)))-'Advanced Entry'!L$6)/('Advanced Entry'!L$7-'Advanced Entry'!L$6)),1))),"No data"))</f>
        <v/>
      </c>
      <c r="M34" s="17">
        <f>IF('Advanced Entry'!M34="","",IFERROR(MAX(0,MIN(10,ROUND(IF('Advanced Entry'!M$8="Decrease Risk",10-10*((IF('Advanced Entry'!M$5="Logarithm",LN(0.001+'Advanced Entry'!M34),IF('Advanced Entry'!M$5="Exponential",EXP('Advanced Entry'!M34),'Advanced Entry'!M34)))-'Advanced Entry'!M$6)/('Advanced Entry'!M$7-'Advanced Entry'!M$6),10*((IF('Advanced Entry'!M$5="Logarithm",LN(0.001+'Advanced Entry'!M34),IF('Advanced Entry'!M$5="Exponential",EXP('Advanced Entry'!M34),'Advanced Entry'!M34)))-'Advanced Entry'!M$6)/('Advanced Entry'!M$7-'Advanced Entry'!M$6)),1))),"No data"))</f>
        <v/>
      </c>
      <c r="N34" s="17">
        <f>IF('Advanced Entry'!N34="","",IFERROR(MAX(0,MIN(10,ROUND(IF('Advanced Entry'!N$8="Decrease Risk",10-10*((IF('Advanced Entry'!N$5="Logarithm",LN(0.001+'Advanced Entry'!N34),IF('Advanced Entry'!N$5="Exponential",EXP('Advanced Entry'!N34),'Advanced Entry'!N34)))-'Advanced Entry'!N$6)/('Advanced Entry'!N$7-'Advanced Entry'!N$6),10*((IF('Advanced Entry'!N$5="Logarithm",LN(0.001+'Advanced Entry'!N34),IF('Advanced Entry'!N$5="Exponential",EXP('Advanced Entry'!N34),'Advanced Entry'!N34)))-'Advanced Entry'!N$6)/('Advanced Entry'!N$7-'Advanced Entry'!N$6)),1))),"No data"))</f>
        <v/>
      </c>
      <c r="O34" s="17">
        <f>IF('Advanced Entry'!O34="","",IFERROR(MAX(0,MIN(10,ROUND(IF('Advanced Entry'!O$8="Decrease Risk",10-10*((IF('Advanced Entry'!O$5="Logarithm",LN(0.001+'Advanced Entry'!O34),IF('Advanced Entry'!O$5="Exponential",EXP('Advanced Entry'!O34),'Advanced Entry'!O34)))-'Advanced Entry'!O$6)/('Advanced Entry'!O$7-'Advanced Entry'!O$6),10*((IF('Advanced Entry'!O$5="Logarithm",LN(0.001+'Advanced Entry'!O34),IF('Advanced Entry'!O$5="Exponential",EXP('Advanced Entry'!O34),'Advanced Entry'!O34)))-'Advanced Entry'!O$6)/('Advanced Entry'!O$7-'Advanced Entry'!O$6)),1))),"No data"))</f>
        <v/>
      </c>
      <c r="P34" s="17">
        <f>IF('Advanced Entry'!P34="","",IFERROR(MAX(0,MIN(10,ROUND(IF('Advanced Entry'!P$8="Decrease Risk",10-10*((IF('Advanced Entry'!P$5="Logarithm",LN(0.001+'Advanced Entry'!P34),IF('Advanced Entry'!P$5="Exponential",EXP('Advanced Entry'!P34),'Advanced Entry'!P34)))-'Advanced Entry'!P$6)/('Advanced Entry'!P$7-'Advanced Entry'!P$6),10*((IF('Advanced Entry'!P$5="Logarithm",LN(0.001+'Advanced Entry'!P34),IF('Advanced Entry'!P$5="Exponential",EXP('Advanced Entry'!P34),'Advanced Entry'!P34)))-'Advanced Entry'!P$6)/('Advanced Entry'!P$7-'Advanced Entry'!P$6)),1))),"No data"))</f>
        <v/>
      </c>
      <c r="Q34" s="17">
        <f>IF('Advanced Entry'!Q34="","",IFERROR(MAX(0,MIN(10,ROUND(IF('Advanced Entry'!Q$8="Decrease Risk",10-10*((IF('Advanced Entry'!Q$5="Logarithm",LN(0.001+'Advanced Entry'!Q34),IF('Advanced Entry'!Q$5="Exponential",EXP('Advanced Entry'!Q34),'Advanced Entry'!Q34)))-'Advanced Entry'!Q$6)/('Advanced Entry'!Q$7-'Advanced Entry'!Q$6),10*((IF('Advanced Entry'!Q$5="Logarithm",LN(0.001+'Advanced Entry'!Q34),IF('Advanced Entry'!Q$5="Exponential",EXP('Advanced Entry'!Q34),'Advanced Entry'!Q34)))-'Advanced Entry'!Q$6)/('Advanced Entry'!Q$7-'Advanced Entry'!Q$6)),1))),"No data"))</f>
        <v/>
      </c>
      <c r="R34" s="17">
        <f>IF('Advanced Entry'!R34="","",IFERROR(MAX(0,MIN(10,ROUND(IF('Advanced Entry'!R$8="Decrease Risk",10-10*((IF('Advanced Entry'!R$5="Logarithm",LN(0.001+'Advanced Entry'!R34),IF('Advanced Entry'!R$5="Exponential",EXP('Advanced Entry'!R34),'Advanced Entry'!R34)))-'Advanced Entry'!R$6)/('Advanced Entry'!R$7-'Advanced Entry'!R$6),10*((IF('Advanced Entry'!R$5="Logarithm",LN(0.001+'Advanced Entry'!R34),IF('Advanced Entry'!R$5="Exponential",EXP('Advanced Entry'!R34),'Advanced Entry'!R34)))-'Advanced Entry'!R$6)/('Advanced Entry'!R$7-'Advanced Entry'!R$6)),1))),"No data"))</f>
        <v/>
      </c>
      <c r="S34" s="17">
        <f>IF('Advanced Entry'!S34="","",IFERROR(MAX(0,MIN(10,ROUND(IF('Advanced Entry'!S$8="Decrease Risk",10-10*((IF('Advanced Entry'!S$5="Logarithm",LN(0.001+'Advanced Entry'!S34),IF('Advanced Entry'!S$5="Exponential",EXP('Advanced Entry'!S34),'Advanced Entry'!S34)))-'Advanced Entry'!S$6)/('Advanced Entry'!S$7-'Advanced Entry'!S$6),10*((IF('Advanced Entry'!S$5="Logarithm",LN(0.001+'Advanced Entry'!S34),IF('Advanced Entry'!S$5="Exponential",EXP('Advanced Entry'!S34),'Advanced Entry'!S34)))-'Advanced Entry'!S$6)/('Advanced Entry'!S$7-'Advanced Entry'!S$6)),1))),"No data"))</f>
        <v/>
      </c>
      <c r="T34" s="17">
        <f>IF('Advanced Entry'!T34="","",IFERROR(MAX(0,MIN(10,ROUND(IF('Advanced Entry'!T$8="Decrease Risk",10-10*((IF('Advanced Entry'!T$5="Logarithm",LN(0.001+'Advanced Entry'!T34),IF('Advanced Entry'!T$5="Exponential",EXP('Advanced Entry'!T34),'Advanced Entry'!T34)))-'Advanced Entry'!T$6)/('Advanced Entry'!T$7-'Advanced Entry'!T$6),10*((IF('Advanced Entry'!T$5="Logarithm",LN(0.001+'Advanced Entry'!T34),IF('Advanced Entry'!T$5="Exponential",EXP('Advanced Entry'!T34),'Advanced Entry'!T34)))-'Advanced Entry'!T$6)/('Advanced Entry'!T$7-'Advanced Entry'!T$6)),1))),"No data"))</f>
        <v/>
      </c>
      <c r="U34" s="17">
        <f>IF('Advanced Entry'!U34="","",IFERROR(MAX(0,MIN(10,ROUND(IF('Advanced Entry'!U$8="Decrease Risk",10-10*((IF('Advanced Entry'!U$5="Logarithm",LN(0.001+'Advanced Entry'!U34),IF('Advanced Entry'!U$5="Exponential",EXP('Advanced Entry'!U34),'Advanced Entry'!U34)))-'Advanced Entry'!U$6)/('Advanced Entry'!U$7-'Advanced Entry'!U$6),10*((IF('Advanced Entry'!U$5="Logarithm",LN(0.001+'Advanced Entry'!U34),IF('Advanced Entry'!U$5="Exponential",EXP('Advanced Entry'!U34),'Advanced Entry'!U34)))-'Advanced Entry'!U$6)/('Advanced Entry'!U$7-'Advanced Entry'!U$6)),1))),"No data"))</f>
        <v/>
      </c>
      <c r="V34" s="17">
        <f>IF('Advanced Entry'!V34="","",IFERROR(MAX(0,MIN(10,ROUND(IF('Advanced Entry'!V$8="Decrease Risk",10-10*((IF('Advanced Entry'!V$5="Logarithm",LN(0.001+'Advanced Entry'!V34),IF('Advanced Entry'!V$5="Exponential",EXP('Advanced Entry'!V34),'Advanced Entry'!V34)))-'Advanced Entry'!V$6)/('Advanced Entry'!V$7-'Advanced Entry'!V$6),10*((IF('Advanced Entry'!V$5="Logarithm",LN(0.001+'Advanced Entry'!V34),IF('Advanced Entry'!V$5="Exponential",EXP('Advanced Entry'!V34),'Advanced Entry'!V34)))-'Advanced Entry'!V$6)/('Advanced Entry'!V$7-'Advanced Entry'!V$6)),1))),"No data"))</f>
        <v/>
      </c>
      <c r="W34" s="17">
        <f>IF('Advanced Entry'!W34="","",IFERROR(MAX(0,MIN(10,ROUND(IF('Advanced Entry'!W$8="Decrease Risk",10-10*((IF('Advanced Entry'!W$5="Logarithm",LN(0.001+'Advanced Entry'!W34),IF('Advanced Entry'!W$5="Exponential",EXP('Advanced Entry'!W34),'Advanced Entry'!W34)))-'Advanced Entry'!W$6)/('Advanced Entry'!W$7-'Advanced Entry'!W$6),10*((IF('Advanced Entry'!W$5="Logarithm",LN(0.001+'Advanced Entry'!W34),IF('Advanced Entry'!W$5="Exponential",EXP('Advanced Entry'!W34),'Advanced Entry'!W34)))-'Advanced Entry'!W$6)/('Advanced Entry'!W$7-'Advanced Entry'!W$6)),1))),"No data"))</f>
        <v/>
      </c>
      <c r="X34" s="17">
        <f>IF('Advanced Entry'!X34="","",IFERROR(MAX(0,MIN(10,ROUND(IF('Advanced Entry'!X$8="Decrease Risk",10-10*((IF('Advanced Entry'!X$5="Logarithm",LN(0.001+'Advanced Entry'!X34),IF('Advanced Entry'!X$5="Exponential",EXP('Advanced Entry'!X34),'Advanced Entry'!X34)))-'Advanced Entry'!X$6)/('Advanced Entry'!X$7-'Advanced Entry'!X$6),10*((IF('Advanced Entry'!X$5="Logarithm",LN(0.001+'Advanced Entry'!X34),IF('Advanced Entry'!X$5="Exponential",EXP('Advanced Entry'!X34),'Advanced Entry'!X34)))-'Advanced Entry'!X$6)/('Advanced Entry'!X$7-'Advanced Entry'!X$6)),1))),"No data"))</f>
        <v/>
      </c>
      <c r="Y34" s="17">
        <f>IF('Advanced Entry'!Y34="","",IFERROR(MAX(0,MIN(10,ROUND(IF('Advanced Entry'!Y$8="Decrease Risk",10-10*((IF('Advanced Entry'!Y$5="Logarithm",LN(0.001+'Advanced Entry'!Y34),IF('Advanced Entry'!Y$5="Exponential",EXP('Advanced Entry'!Y34),'Advanced Entry'!Y34)))-'Advanced Entry'!Y$6)/('Advanced Entry'!Y$7-'Advanced Entry'!Y$6),10*((IF('Advanced Entry'!Y$5="Logarithm",LN(0.001+'Advanced Entry'!Y34),IF('Advanced Entry'!Y$5="Exponential",EXP('Advanced Entry'!Y34),'Advanced Entry'!Y34)))-'Advanced Entry'!Y$6)/('Advanced Entry'!Y$7-'Advanced Entry'!Y$6)),1))),"No data"))</f>
        <v/>
      </c>
      <c r="Z34" s="17">
        <f>IF('Advanced Entry'!Z34="","",IFERROR(MAX(0,MIN(10,ROUND(IF('Advanced Entry'!Z$8="Decrease Risk",10-10*((IF('Advanced Entry'!Z$5="Logarithm",LN(0.001+'Advanced Entry'!Z34),IF('Advanced Entry'!Z$5="Exponential",EXP('Advanced Entry'!Z34),'Advanced Entry'!Z34)))-'Advanced Entry'!Z$6)/('Advanced Entry'!Z$7-'Advanced Entry'!Z$6),10*((IF('Advanced Entry'!Z$5="Logarithm",LN(0.001+'Advanced Entry'!Z34),IF('Advanced Entry'!Z$5="Exponential",EXP('Advanced Entry'!Z34),'Advanced Entry'!Z34)))-'Advanced Entry'!Z$6)/('Advanced Entry'!Z$7-'Advanced Entry'!Z$6)),1))),"No data"))</f>
        <v/>
      </c>
      <c r="AA34" s="17">
        <f>IF('Advanced Entry'!AA34="","",IFERROR(MAX(0,MIN(10,ROUND(IF('Advanced Entry'!AA$8="Decrease Risk",10-10*((IF('Advanced Entry'!AA$5="Logarithm",LN(0.001+'Advanced Entry'!AA34),IF('Advanced Entry'!AA$5="Exponential",EXP('Advanced Entry'!AA34),'Advanced Entry'!AA34)))-'Advanced Entry'!AA$6)/('Advanced Entry'!AA$7-'Advanced Entry'!AA$6),10*((IF('Advanced Entry'!AA$5="Logarithm",LN(0.001+'Advanced Entry'!AA34),IF('Advanced Entry'!AA$5="Exponential",EXP('Advanced Entry'!AA34),'Advanced Entry'!AA34)))-'Advanced Entry'!AA$6)/('Advanced Entry'!AA$7-'Advanced Entry'!AA$6)),1))),"No data"))</f>
        <v/>
      </c>
      <c r="AB34" s="17">
        <f>IF('Advanced Entry'!AB34="","",IFERROR(MAX(0,MIN(10,ROUND(IF('Advanced Entry'!AB$8="Decrease Risk",10-10*((IF('Advanced Entry'!AB$5="Logarithm",LN(0.001+'Advanced Entry'!AB34),IF('Advanced Entry'!AB$5="Exponential",EXP('Advanced Entry'!AB34),'Advanced Entry'!AB34)))-'Advanced Entry'!AB$6)/('Advanced Entry'!AB$7-'Advanced Entry'!AB$6),10*((IF('Advanced Entry'!AB$5="Logarithm",LN(0.001+'Advanced Entry'!AB34),IF('Advanced Entry'!AB$5="Exponential",EXP('Advanced Entry'!AB34),'Advanced Entry'!AB34)))-'Advanced Entry'!AB$6)/('Advanced Entry'!AB$7-'Advanced Entry'!AB$6)),1))),"No data"))</f>
        <v/>
      </c>
    </row>
    <row r="35">
      <c r="A35" t="inlineStr">
        <is>
          <t>Geita</t>
        </is>
      </c>
      <c r="B35" t="inlineStr">
        <is>
          <t>Halmashuari Ya Wilaya Ya Mbogwe District</t>
        </is>
      </c>
      <c r="C35" t="inlineStr">
        <is>
          <t>C177</t>
        </is>
      </c>
      <c r="D35" s="17">
        <f>IF('Advanced Entry'!D35="","",IFERROR(MAX(0,MIN(10,ROUND(IF('Advanced Entry'!D$8="Decrease Risk",10-10*((IF('Advanced Entry'!D$5="Logarithm",LN(0.001+'Advanced Entry'!D35),IF('Advanced Entry'!D$5="Exponential",EXP('Advanced Entry'!D35),'Advanced Entry'!D35)))-'Advanced Entry'!D$6)/('Advanced Entry'!D$7-'Advanced Entry'!D$6),10*((IF('Advanced Entry'!D$5="Logarithm",LN(0.001+'Advanced Entry'!D35),IF('Advanced Entry'!D$5="Exponential",EXP('Advanced Entry'!D35),'Advanced Entry'!D35)))-'Advanced Entry'!D$6)/('Advanced Entry'!D$7-'Advanced Entry'!D$6)),1))),"No data"))</f>
        <v/>
      </c>
      <c r="E35" s="17">
        <f>IF('Advanced Entry'!E35="","",IFERROR(MAX(0,MIN(10,ROUND(IF('Advanced Entry'!E$8="Decrease Risk",10-10*((IF('Advanced Entry'!E$5="Logarithm",LN(0.001+'Advanced Entry'!E35),IF('Advanced Entry'!E$5="Exponential",EXP('Advanced Entry'!E35),'Advanced Entry'!E35)))-'Advanced Entry'!E$6)/('Advanced Entry'!E$7-'Advanced Entry'!E$6),10*((IF('Advanced Entry'!E$5="Logarithm",LN(0.001+'Advanced Entry'!E35),IF('Advanced Entry'!E$5="Exponential",EXP('Advanced Entry'!E35),'Advanced Entry'!E35)))-'Advanced Entry'!E$6)/('Advanced Entry'!E$7-'Advanced Entry'!E$6)),1))),"No data"))</f>
        <v/>
      </c>
      <c r="F35" s="17">
        <f>IF('Advanced Entry'!F35="","",IFERROR(MAX(0,MIN(10,ROUND(IF('Advanced Entry'!F$8="Decrease Risk",10-10*((IF('Advanced Entry'!F$5="Logarithm",LN(0.001+'Advanced Entry'!F35),IF('Advanced Entry'!F$5="Exponential",EXP('Advanced Entry'!F35),'Advanced Entry'!F35)))-'Advanced Entry'!F$6)/('Advanced Entry'!F$7-'Advanced Entry'!F$6),10*((IF('Advanced Entry'!F$5="Logarithm",LN(0.001+'Advanced Entry'!F35),IF('Advanced Entry'!F$5="Exponential",EXP('Advanced Entry'!F35),'Advanced Entry'!F35)))-'Advanced Entry'!F$6)/('Advanced Entry'!F$7-'Advanced Entry'!F$6)),1))),"No data"))</f>
        <v/>
      </c>
      <c r="G35" s="17">
        <f>IF('Advanced Entry'!G35="","",IFERROR(MAX(0,MIN(10,ROUND(IF('Advanced Entry'!G$8="Decrease Risk",10-10*((IF('Advanced Entry'!G$5="Logarithm",LN(0.001+'Advanced Entry'!G35),IF('Advanced Entry'!G$5="Exponential",EXP('Advanced Entry'!G35),'Advanced Entry'!G35)))-'Advanced Entry'!G$6)/('Advanced Entry'!G$7-'Advanced Entry'!G$6),10*((IF('Advanced Entry'!G$5="Logarithm",LN(0.001+'Advanced Entry'!G35),IF('Advanced Entry'!G$5="Exponential",EXP('Advanced Entry'!G35),'Advanced Entry'!G35)))-'Advanced Entry'!G$6)/('Advanced Entry'!G$7-'Advanced Entry'!G$6)),1))),"No data"))</f>
        <v/>
      </c>
      <c r="H35" s="17">
        <f>IF('Advanced Entry'!H35="","",IFERROR(MAX(0,MIN(10,ROUND(IF('Advanced Entry'!H$8="Decrease Risk",10-10*((IF('Advanced Entry'!H$5="Logarithm",LN(0.001+'Advanced Entry'!H35),IF('Advanced Entry'!H$5="Exponential",EXP('Advanced Entry'!H35),'Advanced Entry'!H35)))-'Advanced Entry'!H$6)/('Advanced Entry'!H$7-'Advanced Entry'!H$6),10*((IF('Advanced Entry'!H$5="Logarithm",LN(0.001+'Advanced Entry'!H35),IF('Advanced Entry'!H$5="Exponential",EXP('Advanced Entry'!H35),'Advanced Entry'!H35)))-'Advanced Entry'!H$6)/('Advanced Entry'!H$7-'Advanced Entry'!H$6)),1))),"No data"))</f>
        <v/>
      </c>
      <c r="I35" s="17">
        <f>IF('Advanced Entry'!I35="","",IFERROR(MAX(0,MIN(10,ROUND(IF('Advanced Entry'!I$8="Decrease Risk",10-10*((IF('Advanced Entry'!I$5="Logarithm",LN(0.001+'Advanced Entry'!I35),IF('Advanced Entry'!I$5="Exponential",EXP('Advanced Entry'!I35),'Advanced Entry'!I35)))-'Advanced Entry'!I$6)/('Advanced Entry'!I$7-'Advanced Entry'!I$6),10*((IF('Advanced Entry'!I$5="Logarithm",LN(0.001+'Advanced Entry'!I35),IF('Advanced Entry'!I$5="Exponential",EXP('Advanced Entry'!I35),'Advanced Entry'!I35)))-'Advanced Entry'!I$6)/('Advanced Entry'!I$7-'Advanced Entry'!I$6)),1))),"No data"))</f>
        <v/>
      </c>
      <c r="J35" s="17">
        <f>IF('Advanced Entry'!J35="","",IFERROR(MAX(0,MIN(10,ROUND(IF('Advanced Entry'!J$8="Decrease Risk",10-10*((IF('Advanced Entry'!J$5="Logarithm",LN(0.001+'Advanced Entry'!J35),IF('Advanced Entry'!J$5="Exponential",EXP('Advanced Entry'!J35),'Advanced Entry'!J35)))-'Advanced Entry'!J$6)/('Advanced Entry'!J$7-'Advanced Entry'!J$6),10*((IF('Advanced Entry'!J$5="Logarithm",LN(0.001+'Advanced Entry'!J35),IF('Advanced Entry'!J$5="Exponential",EXP('Advanced Entry'!J35),'Advanced Entry'!J35)))-'Advanced Entry'!J$6)/('Advanced Entry'!J$7-'Advanced Entry'!J$6)),1))),"No data"))</f>
        <v/>
      </c>
      <c r="K35" s="17">
        <f>IF('Advanced Entry'!K35="","",IFERROR(MAX(0,MIN(10,ROUND(IF('Advanced Entry'!K$8="Decrease Risk",10-10*((IF('Advanced Entry'!K$5="Logarithm",LN(0.001+'Advanced Entry'!K35),IF('Advanced Entry'!K$5="Exponential",EXP('Advanced Entry'!K35),'Advanced Entry'!K35)))-'Advanced Entry'!K$6)/('Advanced Entry'!K$7-'Advanced Entry'!K$6),10*((IF('Advanced Entry'!K$5="Logarithm",LN(0.001+'Advanced Entry'!K35),IF('Advanced Entry'!K$5="Exponential",EXP('Advanced Entry'!K35),'Advanced Entry'!K35)))-'Advanced Entry'!K$6)/('Advanced Entry'!K$7-'Advanced Entry'!K$6)),1))),"No data"))</f>
        <v/>
      </c>
      <c r="L35" s="17">
        <f>IF('Advanced Entry'!L35="","",IFERROR(MAX(0,MIN(10,ROUND(IF('Advanced Entry'!L$8="Decrease Risk",10-10*((IF('Advanced Entry'!L$5="Logarithm",LN(0.001+'Advanced Entry'!L35),IF('Advanced Entry'!L$5="Exponential",EXP('Advanced Entry'!L35),'Advanced Entry'!L35)))-'Advanced Entry'!L$6)/('Advanced Entry'!L$7-'Advanced Entry'!L$6),10*((IF('Advanced Entry'!L$5="Logarithm",LN(0.001+'Advanced Entry'!L35),IF('Advanced Entry'!L$5="Exponential",EXP('Advanced Entry'!L35),'Advanced Entry'!L35)))-'Advanced Entry'!L$6)/('Advanced Entry'!L$7-'Advanced Entry'!L$6)),1))),"No data"))</f>
        <v/>
      </c>
      <c r="M35" s="17">
        <f>IF('Advanced Entry'!M35="","",IFERROR(MAX(0,MIN(10,ROUND(IF('Advanced Entry'!M$8="Decrease Risk",10-10*((IF('Advanced Entry'!M$5="Logarithm",LN(0.001+'Advanced Entry'!M35),IF('Advanced Entry'!M$5="Exponential",EXP('Advanced Entry'!M35),'Advanced Entry'!M35)))-'Advanced Entry'!M$6)/('Advanced Entry'!M$7-'Advanced Entry'!M$6),10*((IF('Advanced Entry'!M$5="Logarithm",LN(0.001+'Advanced Entry'!M35),IF('Advanced Entry'!M$5="Exponential",EXP('Advanced Entry'!M35),'Advanced Entry'!M35)))-'Advanced Entry'!M$6)/('Advanced Entry'!M$7-'Advanced Entry'!M$6)),1))),"No data"))</f>
        <v/>
      </c>
      <c r="N35" s="17">
        <f>IF('Advanced Entry'!N35="","",IFERROR(MAX(0,MIN(10,ROUND(IF('Advanced Entry'!N$8="Decrease Risk",10-10*((IF('Advanced Entry'!N$5="Logarithm",LN(0.001+'Advanced Entry'!N35),IF('Advanced Entry'!N$5="Exponential",EXP('Advanced Entry'!N35),'Advanced Entry'!N35)))-'Advanced Entry'!N$6)/('Advanced Entry'!N$7-'Advanced Entry'!N$6),10*((IF('Advanced Entry'!N$5="Logarithm",LN(0.001+'Advanced Entry'!N35),IF('Advanced Entry'!N$5="Exponential",EXP('Advanced Entry'!N35),'Advanced Entry'!N35)))-'Advanced Entry'!N$6)/('Advanced Entry'!N$7-'Advanced Entry'!N$6)),1))),"No data"))</f>
        <v/>
      </c>
      <c r="O35" s="17">
        <f>IF('Advanced Entry'!O35="","",IFERROR(MAX(0,MIN(10,ROUND(IF('Advanced Entry'!O$8="Decrease Risk",10-10*((IF('Advanced Entry'!O$5="Logarithm",LN(0.001+'Advanced Entry'!O35),IF('Advanced Entry'!O$5="Exponential",EXP('Advanced Entry'!O35),'Advanced Entry'!O35)))-'Advanced Entry'!O$6)/('Advanced Entry'!O$7-'Advanced Entry'!O$6),10*((IF('Advanced Entry'!O$5="Logarithm",LN(0.001+'Advanced Entry'!O35),IF('Advanced Entry'!O$5="Exponential",EXP('Advanced Entry'!O35),'Advanced Entry'!O35)))-'Advanced Entry'!O$6)/('Advanced Entry'!O$7-'Advanced Entry'!O$6)),1))),"No data"))</f>
        <v/>
      </c>
      <c r="P35" s="17">
        <f>IF('Advanced Entry'!P35="","",IFERROR(MAX(0,MIN(10,ROUND(IF('Advanced Entry'!P$8="Decrease Risk",10-10*((IF('Advanced Entry'!P$5="Logarithm",LN(0.001+'Advanced Entry'!P35),IF('Advanced Entry'!P$5="Exponential",EXP('Advanced Entry'!P35),'Advanced Entry'!P35)))-'Advanced Entry'!P$6)/('Advanced Entry'!P$7-'Advanced Entry'!P$6),10*((IF('Advanced Entry'!P$5="Logarithm",LN(0.001+'Advanced Entry'!P35),IF('Advanced Entry'!P$5="Exponential",EXP('Advanced Entry'!P35),'Advanced Entry'!P35)))-'Advanced Entry'!P$6)/('Advanced Entry'!P$7-'Advanced Entry'!P$6)),1))),"No data"))</f>
        <v/>
      </c>
      <c r="Q35" s="17">
        <f>IF('Advanced Entry'!Q35="","",IFERROR(MAX(0,MIN(10,ROUND(IF('Advanced Entry'!Q$8="Decrease Risk",10-10*((IF('Advanced Entry'!Q$5="Logarithm",LN(0.001+'Advanced Entry'!Q35),IF('Advanced Entry'!Q$5="Exponential",EXP('Advanced Entry'!Q35),'Advanced Entry'!Q35)))-'Advanced Entry'!Q$6)/('Advanced Entry'!Q$7-'Advanced Entry'!Q$6),10*((IF('Advanced Entry'!Q$5="Logarithm",LN(0.001+'Advanced Entry'!Q35),IF('Advanced Entry'!Q$5="Exponential",EXP('Advanced Entry'!Q35),'Advanced Entry'!Q35)))-'Advanced Entry'!Q$6)/('Advanced Entry'!Q$7-'Advanced Entry'!Q$6)),1))),"No data"))</f>
        <v/>
      </c>
      <c r="R35" s="17">
        <f>IF('Advanced Entry'!R35="","",IFERROR(MAX(0,MIN(10,ROUND(IF('Advanced Entry'!R$8="Decrease Risk",10-10*((IF('Advanced Entry'!R$5="Logarithm",LN(0.001+'Advanced Entry'!R35),IF('Advanced Entry'!R$5="Exponential",EXP('Advanced Entry'!R35),'Advanced Entry'!R35)))-'Advanced Entry'!R$6)/('Advanced Entry'!R$7-'Advanced Entry'!R$6),10*((IF('Advanced Entry'!R$5="Logarithm",LN(0.001+'Advanced Entry'!R35),IF('Advanced Entry'!R$5="Exponential",EXP('Advanced Entry'!R35),'Advanced Entry'!R35)))-'Advanced Entry'!R$6)/('Advanced Entry'!R$7-'Advanced Entry'!R$6)),1))),"No data"))</f>
        <v/>
      </c>
      <c r="S35" s="17">
        <f>IF('Advanced Entry'!S35="","",IFERROR(MAX(0,MIN(10,ROUND(IF('Advanced Entry'!S$8="Decrease Risk",10-10*((IF('Advanced Entry'!S$5="Logarithm",LN(0.001+'Advanced Entry'!S35),IF('Advanced Entry'!S$5="Exponential",EXP('Advanced Entry'!S35),'Advanced Entry'!S35)))-'Advanced Entry'!S$6)/('Advanced Entry'!S$7-'Advanced Entry'!S$6),10*((IF('Advanced Entry'!S$5="Logarithm",LN(0.001+'Advanced Entry'!S35),IF('Advanced Entry'!S$5="Exponential",EXP('Advanced Entry'!S35),'Advanced Entry'!S35)))-'Advanced Entry'!S$6)/('Advanced Entry'!S$7-'Advanced Entry'!S$6)),1))),"No data"))</f>
        <v/>
      </c>
      <c r="T35" s="17">
        <f>IF('Advanced Entry'!T35="","",IFERROR(MAX(0,MIN(10,ROUND(IF('Advanced Entry'!T$8="Decrease Risk",10-10*((IF('Advanced Entry'!T$5="Logarithm",LN(0.001+'Advanced Entry'!T35),IF('Advanced Entry'!T$5="Exponential",EXP('Advanced Entry'!T35),'Advanced Entry'!T35)))-'Advanced Entry'!T$6)/('Advanced Entry'!T$7-'Advanced Entry'!T$6),10*((IF('Advanced Entry'!T$5="Logarithm",LN(0.001+'Advanced Entry'!T35),IF('Advanced Entry'!T$5="Exponential",EXP('Advanced Entry'!T35),'Advanced Entry'!T35)))-'Advanced Entry'!T$6)/('Advanced Entry'!T$7-'Advanced Entry'!T$6)),1))),"No data"))</f>
        <v/>
      </c>
      <c r="U35" s="17">
        <f>IF('Advanced Entry'!U35="","",IFERROR(MAX(0,MIN(10,ROUND(IF('Advanced Entry'!U$8="Decrease Risk",10-10*((IF('Advanced Entry'!U$5="Logarithm",LN(0.001+'Advanced Entry'!U35),IF('Advanced Entry'!U$5="Exponential",EXP('Advanced Entry'!U35),'Advanced Entry'!U35)))-'Advanced Entry'!U$6)/('Advanced Entry'!U$7-'Advanced Entry'!U$6),10*((IF('Advanced Entry'!U$5="Logarithm",LN(0.001+'Advanced Entry'!U35),IF('Advanced Entry'!U$5="Exponential",EXP('Advanced Entry'!U35),'Advanced Entry'!U35)))-'Advanced Entry'!U$6)/('Advanced Entry'!U$7-'Advanced Entry'!U$6)),1))),"No data"))</f>
        <v/>
      </c>
      <c r="V35" s="17">
        <f>IF('Advanced Entry'!V35="","",IFERROR(MAX(0,MIN(10,ROUND(IF('Advanced Entry'!V$8="Decrease Risk",10-10*((IF('Advanced Entry'!V$5="Logarithm",LN(0.001+'Advanced Entry'!V35),IF('Advanced Entry'!V$5="Exponential",EXP('Advanced Entry'!V35),'Advanced Entry'!V35)))-'Advanced Entry'!V$6)/('Advanced Entry'!V$7-'Advanced Entry'!V$6),10*((IF('Advanced Entry'!V$5="Logarithm",LN(0.001+'Advanced Entry'!V35),IF('Advanced Entry'!V$5="Exponential",EXP('Advanced Entry'!V35),'Advanced Entry'!V35)))-'Advanced Entry'!V$6)/('Advanced Entry'!V$7-'Advanced Entry'!V$6)),1))),"No data"))</f>
        <v/>
      </c>
      <c r="W35" s="17">
        <f>IF('Advanced Entry'!W35="","",IFERROR(MAX(0,MIN(10,ROUND(IF('Advanced Entry'!W$8="Decrease Risk",10-10*((IF('Advanced Entry'!W$5="Logarithm",LN(0.001+'Advanced Entry'!W35),IF('Advanced Entry'!W$5="Exponential",EXP('Advanced Entry'!W35),'Advanced Entry'!W35)))-'Advanced Entry'!W$6)/('Advanced Entry'!W$7-'Advanced Entry'!W$6),10*((IF('Advanced Entry'!W$5="Logarithm",LN(0.001+'Advanced Entry'!W35),IF('Advanced Entry'!W$5="Exponential",EXP('Advanced Entry'!W35),'Advanced Entry'!W35)))-'Advanced Entry'!W$6)/('Advanced Entry'!W$7-'Advanced Entry'!W$6)),1))),"No data"))</f>
        <v/>
      </c>
      <c r="X35" s="17">
        <f>IF('Advanced Entry'!X35="","",IFERROR(MAX(0,MIN(10,ROUND(IF('Advanced Entry'!X$8="Decrease Risk",10-10*((IF('Advanced Entry'!X$5="Logarithm",LN(0.001+'Advanced Entry'!X35),IF('Advanced Entry'!X$5="Exponential",EXP('Advanced Entry'!X35),'Advanced Entry'!X35)))-'Advanced Entry'!X$6)/('Advanced Entry'!X$7-'Advanced Entry'!X$6),10*((IF('Advanced Entry'!X$5="Logarithm",LN(0.001+'Advanced Entry'!X35),IF('Advanced Entry'!X$5="Exponential",EXP('Advanced Entry'!X35),'Advanced Entry'!X35)))-'Advanced Entry'!X$6)/('Advanced Entry'!X$7-'Advanced Entry'!X$6)),1))),"No data"))</f>
        <v/>
      </c>
      <c r="Y35" s="17">
        <f>IF('Advanced Entry'!Y35="","",IFERROR(MAX(0,MIN(10,ROUND(IF('Advanced Entry'!Y$8="Decrease Risk",10-10*((IF('Advanced Entry'!Y$5="Logarithm",LN(0.001+'Advanced Entry'!Y35),IF('Advanced Entry'!Y$5="Exponential",EXP('Advanced Entry'!Y35),'Advanced Entry'!Y35)))-'Advanced Entry'!Y$6)/('Advanced Entry'!Y$7-'Advanced Entry'!Y$6),10*((IF('Advanced Entry'!Y$5="Logarithm",LN(0.001+'Advanced Entry'!Y35),IF('Advanced Entry'!Y$5="Exponential",EXP('Advanced Entry'!Y35),'Advanced Entry'!Y35)))-'Advanced Entry'!Y$6)/('Advanced Entry'!Y$7-'Advanced Entry'!Y$6)),1))),"No data"))</f>
        <v/>
      </c>
      <c r="Z35" s="17">
        <f>IF('Advanced Entry'!Z35="","",IFERROR(MAX(0,MIN(10,ROUND(IF('Advanced Entry'!Z$8="Decrease Risk",10-10*((IF('Advanced Entry'!Z$5="Logarithm",LN(0.001+'Advanced Entry'!Z35),IF('Advanced Entry'!Z$5="Exponential",EXP('Advanced Entry'!Z35),'Advanced Entry'!Z35)))-'Advanced Entry'!Z$6)/('Advanced Entry'!Z$7-'Advanced Entry'!Z$6),10*((IF('Advanced Entry'!Z$5="Logarithm",LN(0.001+'Advanced Entry'!Z35),IF('Advanced Entry'!Z$5="Exponential",EXP('Advanced Entry'!Z35),'Advanced Entry'!Z35)))-'Advanced Entry'!Z$6)/('Advanced Entry'!Z$7-'Advanced Entry'!Z$6)),1))),"No data"))</f>
        <v/>
      </c>
      <c r="AA35" s="17">
        <f>IF('Advanced Entry'!AA35="","",IFERROR(MAX(0,MIN(10,ROUND(IF('Advanced Entry'!AA$8="Decrease Risk",10-10*((IF('Advanced Entry'!AA$5="Logarithm",LN(0.001+'Advanced Entry'!AA35),IF('Advanced Entry'!AA$5="Exponential",EXP('Advanced Entry'!AA35),'Advanced Entry'!AA35)))-'Advanced Entry'!AA$6)/('Advanced Entry'!AA$7-'Advanced Entry'!AA$6),10*((IF('Advanced Entry'!AA$5="Logarithm",LN(0.001+'Advanced Entry'!AA35),IF('Advanced Entry'!AA$5="Exponential",EXP('Advanced Entry'!AA35),'Advanced Entry'!AA35)))-'Advanced Entry'!AA$6)/('Advanced Entry'!AA$7-'Advanced Entry'!AA$6)),1))),"No data"))</f>
        <v/>
      </c>
      <c r="AB35" s="17">
        <f>IF('Advanced Entry'!AB35="","",IFERROR(MAX(0,MIN(10,ROUND(IF('Advanced Entry'!AB$8="Decrease Risk",10-10*((IF('Advanced Entry'!AB$5="Logarithm",LN(0.001+'Advanced Entry'!AB35),IF('Advanced Entry'!AB$5="Exponential",EXP('Advanced Entry'!AB35),'Advanced Entry'!AB35)))-'Advanced Entry'!AB$6)/('Advanced Entry'!AB$7-'Advanced Entry'!AB$6),10*((IF('Advanced Entry'!AB$5="Logarithm",LN(0.001+'Advanced Entry'!AB35),IF('Advanced Entry'!AB$5="Exponential",EXP('Advanced Entry'!AB35),'Advanced Entry'!AB35)))-'Advanced Entry'!AB$6)/('Advanced Entry'!AB$7-'Advanced Entry'!AB$6)),1))),"No data"))</f>
        <v/>
      </c>
    </row>
    <row r="36">
      <c r="A36" t="inlineStr">
        <is>
          <t>Geita</t>
        </is>
      </c>
      <c r="B36" t="inlineStr">
        <is>
          <t>Nyang'Hwale District</t>
        </is>
      </c>
      <c r="C36" t="inlineStr">
        <is>
          <t>C176</t>
        </is>
      </c>
      <c r="D36" s="17">
        <f>IF('Advanced Entry'!D36="","",IFERROR(MAX(0,MIN(10,ROUND(IF('Advanced Entry'!D$8="Decrease Risk",10-10*((IF('Advanced Entry'!D$5="Logarithm",LN(0.001+'Advanced Entry'!D36),IF('Advanced Entry'!D$5="Exponential",EXP('Advanced Entry'!D36),'Advanced Entry'!D36)))-'Advanced Entry'!D$6)/('Advanced Entry'!D$7-'Advanced Entry'!D$6),10*((IF('Advanced Entry'!D$5="Logarithm",LN(0.001+'Advanced Entry'!D36),IF('Advanced Entry'!D$5="Exponential",EXP('Advanced Entry'!D36),'Advanced Entry'!D36)))-'Advanced Entry'!D$6)/('Advanced Entry'!D$7-'Advanced Entry'!D$6)),1))),"No data"))</f>
        <v/>
      </c>
      <c r="E36" s="17">
        <f>IF('Advanced Entry'!E36="","",IFERROR(MAX(0,MIN(10,ROUND(IF('Advanced Entry'!E$8="Decrease Risk",10-10*((IF('Advanced Entry'!E$5="Logarithm",LN(0.001+'Advanced Entry'!E36),IF('Advanced Entry'!E$5="Exponential",EXP('Advanced Entry'!E36),'Advanced Entry'!E36)))-'Advanced Entry'!E$6)/('Advanced Entry'!E$7-'Advanced Entry'!E$6),10*((IF('Advanced Entry'!E$5="Logarithm",LN(0.001+'Advanced Entry'!E36),IF('Advanced Entry'!E$5="Exponential",EXP('Advanced Entry'!E36),'Advanced Entry'!E36)))-'Advanced Entry'!E$6)/('Advanced Entry'!E$7-'Advanced Entry'!E$6)),1))),"No data"))</f>
        <v/>
      </c>
      <c r="F36" s="17">
        <f>IF('Advanced Entry'!F36="","",IFERROR(MAX(0,MIN(10,ROUND(IF('Advanced Entry'!F$8="Decrease Risk",10-10*((IF('Advanced Entry'!F$5="Logarithm",LN(0.001+'Advanced Entry'!F36),IF('Advanced Entry'!F$5="Exponential",EXP('Advanced Entry'!F36),'Advanced Entry'!F36)))-'Advanced Entry'!F$6)/('Advanced Entry'!F$7-'Advanced Entry'!F$6),10*((IF('Advanced Entry'!F$5="Logarithm",LN(0.001+'Advanced Entry'!F36),IF('Advanced Entry'!F$5="Exponential",EXP('Advanced Entry'!F36),'Advanced Entry'!F36)))-'Advanced Entry'!F$6)/('Advanced Entry'!F$7-'Advanced Entry'!F$6)),1))),"No data"))</f>
        <v/>
      </c>
      <c r="G36" s="17">
        <f>IF('Advanced Entry'!G36="","",IFERROR(MAX(0,MIN(10,ROUND(IF('Advanced Entry'!G$8="Decrease Risk",10-10*((IF('Advanced Entry'!G$5="Logarithm",LN(0.001+'Advanced Entry'!G36),IF('Advanced Entry'!G$5="Exponential",EXP('Advanced Entry'!G36),'Advanced Entry'!G36)))-'Advanced Entry'!G$6)/('Advanced Entry'!G$7-'Advanced Entry'!G$6),10*((IF('Advanced Entry'!G$5="Logarithm",LN(0.001+'Advanced Entry'!G36),IF('Advanced Entry'!G$5="Exponential",EXP('Advanced Entry'!G36),'Advanced Entry'!G36)))-'Advanced Entry'!G$6)/('Advanced Entry'!G$7-'Advanced Entry'!G$6)),1))),"No data"))</f>
        <v/>
      </c>
      <c r="H36" s="17">
        <f>IF('Advanced Entry'!H36="","",IFERROR(MAX(0,MIN(10,ROUND(IF('Advanced Entry'!H$8="Decrease Risk",10-10*((IF('Advanced Entry'!H$5="Logarithm",LN(0.001+'Advanced Entry'!H36),IF('Advanced Entry'!H$5="Exponential",EXP('Advanced Entry'!H36),'Advanced Entry'!H36)))-'Advanced Entry'!H$6)/('Advanced Entry'!H$7-'Advanced Entry'!H$6),10*((IF('Advanced Entry'!H$5="Logarithm",LN(0.001+'Advanced Entry'!H36),IF('Advanced Entry'!H$5="Exponential",EXP('Advanced Entry'!H36),'Advanced Entry'!H36)))-'Advanced Entry'!H$6)/('Advanced Entry'!H$7-'Advanced Entry'!H$6)),1))),"No data"))</f>
        <v/>
      </c>
      <c r="I36" s="17">
        <f>IF('Advanced Entry'!I36="","",IFERROR(MAX(0,MIN(10,ROUND(IF('Advanced Entry'!I$8="Decrease Risk",10-10*((IF('Advanced Entry'!I$5="Logarithm",LN(0.001+'Advanced Entry'!I36),IF('Advanced Entry'!I$5="Exponential",EXP('Advanced Entry'!I36),'Advanced Entry'!I36)))-'Advanced Entry'!I$6)/('Advanced Entry'!I$7-'Advanced Entry'!I$6),10*((IF('Advanced Entry'!I$5="Logarithm",LN(0.001+'Advanced Entry'!I36),IF('Advanced Entry'!I$5="Exponential",EXP('Advanced Entry'!I36),'Advanced Entry'!I36)))-'Advanced Entry'!I$6)/('Advanced Entry'!I$7-'Advanced Entry'!I$6)),1))),"No data"))</f>
        <v/>
      </c>
      <c r="J36" s="17">
        <f>IF('Advanced Entry'!J36="","",IFERROR(MAX(0,MIN(10,ROUND(IF('Advanced Entry'!J$8="Decrease Risk",10-10*((IF('Advanced Entry'!J$5="Logarithm",LN(0.001+'Advanced Entry'!J36),IF('Advanced Entry'!J$5="Exponential",EXP('Advanced Entry'!J36),'Advanced Entry'!J36)))-'Advanced Entry'!J$6)/('Advanced Entry'!J$7-'Advanced Entry'!J$6),10*((IF('Advanced Entry'!J$5="Logarithm",LN(0.001+'Advanced Entry'!J36),IF('Advanced Entry'!J$5="Exponential",EXP('Advanced Entry'!J36),'Advanced Entry'!J36)))-'Advanced Entry'!J$6)/('Advanced Entry'!J$7-'Advanced Entry'!J$6)),1))),"No data"))</f>
        <v/>
      </c>
      <c r="K36" s="17">
        <f>IF('Advanced Entry'!K36="","",IFERROR(MAX(0,MIN(10,ROUND(IF('Advanced Entry'!K$8="Decrease Risk",10-10*((IF('Advanced Entry'!K$5="Logarithm",LN(0.001+'Advanced Entry'!K36),IF('Advanced Entry'!K$5="Exponential",EXP('Advanced Entry'!K36),'Advanced Entry'!K36)))-'Advanced Entry'!K$6)/('Advanced Entry'!K$7-'Advanced Entry'!K$6),10*((IF('Advanced Entry'!K$5="Logarithm",LN(0.001+'Advanced Entry'!K36),IF('Advanced Entry'!K$5="Exponential",EXP('Advanced Entry'!K36),'Advanced Entry'!K36)))-'Advanced Entry'!K$6)/('Advanced Entry'!K$7-'Advanced Entry'!K$6)),1))),"No data"))</f>
        <v/>
      </c>
      <c r="L36" s="17">
        <f>IF('Advanced Entry'!L36="","",IFERROR(MAX(0,MIN(10,ROUND(IF('Advanced Entry'!L$8="Decrease Risk",10-10*((IF('Advanced Entry'!L$5="Logarithm",LN(0.001+'Advanced Entry'!L36),IF('Advanced Entry'!L$5="Exponential",EXP('Advanced Entry'!L36),'Advanced Entry'!L36)))-'Advanced Entry'!L$6)/('Advanced Entry'!L$7-'Advanced Entry'!L$6),10*((IF('Advanced Entry'!L$5="Logarithm",LN(0.001+'Advanced Entry'!L36),IF('Advanced Entry'!L$5="Exponential",EXP('Advanced Entry'!L36),'Advanced Entry'!L36)))-'Advanced Entry'!L$6)/('Advanced Entry'!L$7-'Advanced Entry'!L$6)),1))),"No data"))</f>
        <v/>
      </c>
      <c r="M36" s="17">
        <f>IF('Advanced Entry'!M36="","",IFERROR(MAX(0,MIN(10,ROUND(IF('Advanced Entry'!M$8="Decrease Risk",10-10*((IF('Advanced Entry'!M$5="Logarithm",LN(0.001+'Advanced Entry'!M36),IF('Advanced Entry'!M$5="Exponential",EXP('Advanced Entry'!M36),'Advanced Entry'!M36)))-'Advanced Entry'!M$6)/('Advanced Entry'!M$7-'Advanced Entry'!M$6),10*((IF('Advanced Entry'!M$5="Logarithm",LN(0.001+'Advanced Entry'!M36),IF('Advanced Entry'!M$5="Exponential",EXP('Advanced Entry'!M36),'Advanced Entry'!M36)))-'Advanced Entry'!M$6)/('Advanced Entry'!M$7-'Advanced Entry'!M$6)),1))),"No data"))</f>
        <v/>
      </c>
      <c r="N36" s="17">
        <f>IF('Advanced Entry'!N36="","",IFERROR(MAX(0,MIN(10,ROUND(IF('Advanced Entry'!N$8="Decrease Risk",10-10*((IF('Advanced Entry'!N$5="Logarithm",LN(0.001+'Advanced Entry'!N36),IF('Advanced Entry'!N$5="Exponential",EXP('Advanced Entry'!N36),'Advanced Entry'!N36)))-'Advanced Entry'!N$6)/('Advanced Entry'!N$7-'Advanced Entry'!N$6),10*((IF('Advanced Entry'!N$5="Logarithm",LN(0.001+'Advanced Entry'!N36),IF('Advanced Entry'!N$5="Exponential",EXP('Advanced Entry'!N36),'Advanced Entry'!N36)))-'Advanced Entry'!N$6)/('Advanced Entry'!N$7-'Advanced Entry'!N$6)),1))),"No data"))</f>
        <v/>
      </c>
      <c r="O36" s="17">
        <f>IF('Advanced Entry'!O36="","",IFERROR(MAX(0,MIN(10,ROUND(IF('Advanced Entry'!O$8="Decrease Risk",10-10*((IF('Advanced Entry'!O$5="Logarithm",LN(0.001+'Advanced Entry'!O36),IF('Advanced Entry'!O$5="Exponential",EXP('Advanced Entry'!O36),'Advanced Entry'!O36)))-'Advanced Entry'!O$6)/('Advanced Entry'!O$7-'Advanced Entry'!O$6),10*((IF('Advanced Entry'!O$5="Logarithm",LN(0.001+'Advanced Entry'!O36),IF('Advanced Entry'!O$5="Exponential",EXP('Advanced Entry'!O36),'Advanced Entry'!O36)))-'Advanced Entry'!O$6)/('Advanced Entry'!O$7-'Advanced Entry'!O$6)),1))),"No data"))</f>
        <v/>
      </c>
      <c r="P36" s="17">
        <f>IF('Advanced Entry'!P36="","",IFERROR(MAX(0,MIN(10,ROUND(IF('Advanced Entry'!P$8="Decrease Risk",10-10*((IF('Advanced Entry'!P$5="Logarithm",LN(0.001+'Advanced Entry'!P36),IF('Advanced Entry'!P$5="Exponential",EXP('Advanced Entry'!P36),'Advanced Entry'!P36)))-'Advanced Entry'!P$6)/('Advanced Entry'!P$7-'Advanced Entry'!P$6),10*((IF('Advanced Entry'!P$5="Logarithm",LN(0.001+'Advanced Entry'!P36),IF('Advanced Entry'!P$5="Exponential",EXP('Advanced Entry'!P36),'Advanced Entry'!P36)))-'Advanced Entry'!P$6)/('Advanced Entry'!P$7-'Advanced Entry'!P$6)),1))),"No data"))</f>
        <v/>
      </c>
      <c r="Q36" s="17">
        <f>IF('Advanced Entry'!Q36="","",IFERROR(MAX(0,MIN(10,ROUND(IF('Advanced Entry'!Q$8="Decrease Risk",10-10*((IF('Advanced Entry'!Q$5="Logarithm",LN(0.001+'Advanced Entry'!Q36),IF('Advanced Entry'!Q$5="Exponential",EXP('Advanced Entry'!Q36),'Advanced Entry'!Q36)))-'Advanced Entry'!Q$6)/('Advanced Entry'!Q$7-'Advanced Entry'!Q$6),10*((IF('Advanced Entry'!Q$5="Logarithm",LN(0.001+'Advanced Entry'!Q36),IF('Advanced Entry'!Q$5="Exponential",EXP('Advanced Entry'!Q36),'Advanced Entry'!Q36)))-'Advanced Entry'!Q$6)/('Advanced Entry'!Q$7-'Advanced Entry'!Q$6)),1))),"No data"))</f>
        <v/>
      </c>
      <c r="R36" s="17">
        <f>IF('Advanced Entry'!R36="","",IFERROR(MAX(0,MIN(10,ROUND(IF('Advanced Entry'!R$8="Decrease Risk",10-10*((IF('Advanced Entry'!R$5="Logarithm",LN(0.001+'Advanced Entry'!R36),IF('Advanced Entry'!R$5="Exponential",EXP('Advanced Entry'!R36),'Advanced Entry'!R36)))-'Advanced Entry'!R$6)/('Advanced Entry'!R$7-'Advanced Entry'!R$6),10*((IF('Advanced Entry'!R$5="Logarithm",LN(0.001+'Advanced Entry'!R36),IF('Advanced Entry'!R$5="Exponential",EXP('Advanced Entry'!R36),'Advanced Entry'!R36)))-'Advanced Entry'!R$6)/('Advanced Entry'!R$7-'Advanced Entry'!R$6)),1))),"No data"))</f>
        <v/>
      </c>
      <c r="S36" s="17">
        <f>IF('Advanced Entry'!S36="","",IFERROR(MAX(0,MIN(10,ROUND(IF('Advanced Entry'!S$8="Decrease Risk",10-10*((IF('Advanced Entry'!S$5="Logarithm",LN(0.001+'Advanced Entry'!S36),IF('Advanced Entry'!S$5="Exponential",EXP('Advanced Entry'!S36),'Advanced Entry'!S36)))-'Advanced Entry'!S$6)/('Advanced Entry'!S$7-'Advanced Entry'!S$6),10*((IF('Advanced Entry'!S$5="Logarithm",LN(0.001+'Advanced Entry'!S36),IF('Advanced Entry'!S$5="Exponential",EXP('Advanced Entry'!S36),'Advanced Entry'!S36)))-'Advanced Entry'!S$6)/('Advanced Entry'!S$7-'Advanced Entry'!S$6)),1))),"No data"))</f>
        <v/>
      </c>
      <c r="T36" s="17">
        <f>IF('Advanced Entry'!T36="","",IFERROR(MAX(0,MIN(10,ROUND(IF('Advanced Entry'!T$8="Decrease Risk",10-10*((IF('Advanced Entry'!T$5="Logarithm",LN(0.001+'Advanced Entry'!T36),IF('Advanced Entry'!T$5="Exponential",EXP('Advanced Entry'!T36),'Advanced Entry'!T36)))-'Advanced Entry'!T$6)/('Advanced Entry'!T$7-'Advanced Entry'!T$6),10*((IF('Advanced Entry'!T$5="Logarithm",LN(0.001+'Advanced Entry'!T36),IF('Advanced Entry'!T$5="Exponential",EXP('Advanced Entry'!T36),'Advanced Entry'!T36)))-'Advanced Entry'!T$6)/('Advanced Entry'!T$7-'Advanced Entry'!T$6)),1))),"No data"))</f>
        <v/>
      </c>
      <c r="U36" s="17">
        <f>IF('Advanced Entry'!U36="","",IFERROR(MAX(0,MIN(10,ROUND(IF('Advanced Entry'!U$8="Decrease Risk",10-10*((IF('Advanced Entry'!U$5="Logarithm",LN(0.001+'Advanced Entry'!U36),IF('Advanced Entry'!U$5="Exponential",EXP('Advanced Entry'!U36),'Advanced Entry'!U36)))-'Advanced Entry'!U$6)/('Advanced Entry'!U$7-'Advanced Entry'!U$6),10*((IF('Advanced Entry'!U$5="Logarithm",LN(0.001+'Advanced Entry'!U36),IF('Advanced Entry'!U$5="Exponential",EXP('Advanced Entry'!U36),'Advanced Entry'!U36)))-'Advanced Entry'!U$6)/('Advanced Entry'!U$7-'Advanced Entry'!U$6)),1))),"No data"))</f>
        <v/>
      </c>
      <c r="V36" s="17">
        <f>IF('Advanced Entry'!V36="","",IFERROR(MAX(0,MIN(10,ROUND(IF('Advanced Entry'!V$8="Decrease Risk",10-10*((IF('Advanced Entry'!V$5="Logarithm",LN(0.001+'Advanced Entry'!V36),IF('Advanced Entry'!V$5="Exponential",EXP('Advanced Entry'!V36),'Advanced Entry'!V36)))-'Advanced Entry'!V$6)/('Advanced Entry'!V$7-'Advanced Entry'!V$6),10*((IF('Advanced Entry'!V$5="Logarithm",LN(0.001+'Advanced Entry'!V36),IF('Advanced Entry'!V$5="Exponential",EXP('Advanced Entry'!V36),'Advanced Entry'!V36)))-'Advanced Entry'!V$6)/('Advanced Entry'!V$7-'Advanced Entry'!V$6)),1))),"No data"))</f>
        <v/>
      </c>
      <c r="W36" s="17">
        <f>IF('Advanced Entry'!W36="","",IFERROR(MAX(0,MIN(10,ROUND(IF('Advanced Entry'!W$8="Decrease Risk",10-10*((IF('Advanced Entry'!W$5="Logarithm",LN(0.001+'Advanced Entry'!W36),IF('Advanced Entry'!W$5="Exponential",EXP('Advanced Entry'!W36),'Advanced Entry'!W36)))-'Advanced Entry'!W$6)/('Advanced Entry'!W$7-'Advanced Entry'!W$6),10*((IF('Advanced Entry'!W$5="Logarithm",LN(0.001+'Advanced Entry'!W36),IF('Advanced Entry'!W$5="Exponential",EXP('Advanced Entry'!W36),'Advanced Entry'!W36)))-'Advanced Entry'!W$6)/('Advanced Entry'!W$7-'Advanced Entry'!W$6)),1))),"No data"))</f>
        <v/>
      </c>
      <c r="X36" s="17">
        <f>IF('Advanced Entry'!X36="","",IFERROR(MAX(0,MIN(10,ROUND(IF('Advanced Entry'!X$8="Decrease Risk",10-10*((IF('Advanced Entry'!X$5="Logarithm",LN(0.001+'Advanced Entry'!X36),IF('Advanced Entry'!X$5="Exponential",EXP('Advanced Entry'!X36),'Advanced Entry'!X36)))-'Advanced Entry'!X$6)/('Advanced Entry'!X$7-'Advanced Entry'!X$6),10*((IF('Advanced Entry'!X$5="Logarithm",LN(0.001+'Advanced Entry'!X36),IF('Advanced Entry'!X$5="Exponential",EXP('Advanced Entry'!X36),'Advanced Entry'!X36)))-'Advanced Entry'!X$6)/('Advanced Entry'!X$7-'Advanced Entry'!X$6)),1))),"No data"))</f>
        <v/>
      </c>
      <c r="Y36" s="17">
        <f>IF('Advanced Entry'!Y36="","",IFERROR(MAX(0,MIN(10,ROUND(IF('Advanced Entry'!Y$8="Decrease Risk",10-10*((IF('Advanced Entry'!Y$5="Logarithm",LN(0.001+'Advanced Entry'!Y36),IF('Advanced Entry'!Y$5="Exponential",EXP('Advanced Entry'!Y36),'Advanced Entry'!Y36)))-'Advanced Entry'!Y$6)/('Advanced Entry'!Y$7-'Advanced Entry'!Y$6),10*((IF('Advanced Entry'!Y$5="Logarithm",LN(0.001+'Advanced Entry'!Y36),IF('Advanced Entry'!Y$5="Exponential",EXP('Advanced Entry'!Y36),'Advanced Entry'!Y36)))-'Advanced Entry'!Y$6)/('Advanced Entry'!Y$7-'Advanced Entry'!Y$6)),1))),"No data"))</f>
        <v/>
      </c>
      <c r="Z36" s="17">
        <f>IF('Advanced Entry'!Z36="","",IFERROR(MAX(0,MIN(10,ROUND(IF('Advanced Entry'!Z$8="Decrease Risk",10-10*((IF('Advanced Entry'!Z$5="Logarithm",LN(0.001+'Advanced Entry'!Z36),IF('Advanced Entry'!Z$5="Exponential",EXP('Advanced Entry'!Z36),'Advanced Entry'!Z36)))-'Advanced Entry'!Z$6)/('Advanced Entry'!Z$7-'Advanced Entry'!Z$6),10*((IF('Advanced Entry'!Z$5="Logarithm",LN(0.001+'Advanced Entry'!Z36),IF('Advanced Entry'!Z$5="Exponential",EXP('Advanced Entry'!Z36),'Advanced Entry'!Z36)))-'Advanced Entry'!Z$6)/('Advanced Entry'!Z$7-'Advanced Entry'!Z$6)),1))),"No data"))</f>
        <v/>
      </c>
      <c r="AA36" s="17">
        <f>IF('Advanced Entry'!AA36="","",IFERROR(MAX(0,MIN(10,ROUND(IF('Advanced Entry'!AA$8="Decrease Risk",10-10*((IF('Advanced Entry'!AA$5="Logarithm",LN(0.001+'Advanced Entry'!AA36),IF('Advanced Entry'!AA$5="Exponential",EXP('Advanced Entry'!AA36),'Advanced Entry'!AA36)))-'Advanced Entry'!AA$6)/('Advanced Entry'!AA$7-'Advanced Entry'!AA$6),10*((IF('Advanced Entry'!AA$5="Logarithm",LN(0.001+'Advanced Entry'!AA36),IF('Advanced Entry'!AA$5="Exponential",EXP('Advanced Entry'!AA36),'Advanced Entry'!AA36)))-'Advanced Entry'!AA$6)/('Advanced Entry'!AA$7-'Advanced Entry'!AA$6)),1))),"No data"))</f>
        <v/>
      </c>
      <c r="AB36" s="17">
        <f>IF('Advanced Entry'!AB36="","",IFERROR(MAX(0,MIN(10,ROUND(IF('Advanced Entry'!AB$8="Decrease Risk",10-10*((IF('Advanced Entry'!AB$5="Logarithm",LN(0.001+'Advanced Entry'!AB36),IF('Advanced Entry'!AB$5="Exponential",EXP('Advanced Entry'!AB36),'Advanced Entry'!AB36)))-'Advanced Entry'!AB$6)/('Advanced Entry'!AB$7-'Advanced Entry'!AB$6),10*((IF('Advanced Entry'!AB$5="Logarithm",LN(0.001+'Advanced Entry'!AB36),IF('Advanced Entry'!AB$5="Exponential",EXP('Advanced Entry'!AB36),'Advanced Entry'!AB36)))-'Advanced Entry'!AB$6)/('Advanced Entry'!AB$7-'Advanced Entry'!AB$6)),1))),"No data"))</f>
        <v/>
      </c>
    </row>
    <row r="37">
      <c r="A37" t="inlineStr">
        <is>
          <t>Iringa</t>
        </is>
      </c>
      <c r="B37" t="inlineStr">
        <is>
          <t>Iringa District</t>
        </is>
      </c>
      <c r="C37" t="inlineStr">
        <is>
          <t>C080</t>
        </is>
      </c>
      <c r="D37" s="17">
        <f>IF('Advanced Entry'!D37="","",IFERROR(MAX(0,MIN(10,ROUND(IF('Advanced Entry'!D$8="Decrease Risk",10-10*((IF('Advanced Entry'!D$5="Logarithm",LN(0.001+'Advanced Entry'!D37),IF('Advanced Entry'!D$5="Exponential",EXP('Advanced Entry'!D37),'Advanced Entry'!D37)))-'Advanced Entry'!D$6)/('Advanced Entry'!D$7-'Advanced Entry'!D$6),10*((IF('Advanced Entry'!D$5="Logarithm",LN(0.001+'Advanced Entry'!D37),IF('Advanced Entry'!D$5="Exponential",EXP('Advanced Entry'!D37),'Advanced Entry'!D37)))-'Advanced Entry'!D$6)/('Advanced Entry'!D$7-'Advanced Entry'!D$6)),1))),"No data"))</f>
        <v/>
      </c>
      <c r="E37" s="17">
        <f>IF('Advanced Entry'!E37="","",IFERROR(MAX(0,MIN(10,ROUND(IF('Advanced Entry'!E$8="Decrease Risk",10-10*((IF('Advanced Entry'!E$5="Logarithm",LN(0.001+'Advanced Entry'!E37),IF('Advanced Entry'!E$5="Exponential",EXP('Advanced Entry'!E37),'Advanced Entry'!E37)))-'Advanced Entry'!E$6)/('Advanced Entry'!E$7-'Advanced Entry'!E$6),10*((IF('Advanced Entry'!E$5="Logarithm",LN(0.001+'Advanced Entry'!E37),IF('Advanced Entry'!E$5="Exponential",EXP('Advanced Entry'!E37),'Advanced Entry'!E37)))-'Advanced Entry'!E$6)/('Advanced Entry'!E$7-'Advanced Entry'!E$6)),1))),"No data"))</f>
        <v/>
      </c>
      <c r="F37" s="17">
        <f>IF('Advanced Entry'!F37="","",IFERROR(MAX(0,MIN(10,ROUND(IF('Advanced Entry'!F$8="Decrease Risk",10-10*((IF('Advanced Entry'!F$5="Logarithm",LN(0.001+'Advanced Entry'!F37),IF('Advanced Entry'!F$5="Exponential",EXP('Advanced Entry'!F37),'Advanced Entry'!F37)))-'Advanced Entry'!F$6)/('Advanced Entry'!F$7-'Advanced Entry'!F$6),10*((IF('Advanced Entry'!F$5="Logarithm",LN(0.001+'Advanced Entry'!F37),IF('Advanced Entry'!F$5="Exponential",EXP('Advanced Entry'!F37),'Advanced Entry'!F37)))-'Advanced Entry'!F$6)/('Advanced Entry'!F$7-'Advanced Entry'!F$6)),1))),"No data"))</f>
        <v/>
      </c>
      <c r="G37" s="17">
        <f>IF('Advanced Entry'!G37="","",IFERROR(MAX(0,MIN(10,ROUND(IF('Advanced Entry'!G$8="Decrease Risk",10-10*((IF('Advanced Entry'!G$5="Logarithm",LN(0.001+'Advanced Entry'!G37),IF('Advanced Entry'!G$5="Exponential",EXP('Advanced Entry'!G37),'Advanced Entry'!G37)))-'Advanced Entry'!G$6)/('Advanced Entry'!G$7-'Advanced Entry'!G$6),10*((IF('Advanced Entry'!G$5="Logarithm",LN(0.001+'Advanced Entry'!G37),IF('Advanced Entry'!G$5="Exponential",EXP('Advanced Entry'!G37),'Advanced Entry'!G37)))-'Advanced Entry'!G$6)/('Advanced Entry'!G$7-'Advanced Entry'!G$6)),1))),"No data"))</f>
        <v/>
      </c>
      <c r="H37" s="17">
        <f>IF('Advanced Entry'!H37="","",IFERROR(MAX(0,MIN(10,ROUND(IF('Advanced Entry'!H$8="Decrease Risk",10-10*((IF('Advanced Entry'!H$5="Logarithm",LN(0.001+'Advanced Entry'!H37),IF('Advanced Entry'!H$5="Exponential",EXP('Advanced Entry'!H37),'Advanced Entry'!H37)))-'Advanced Entry'!H$6)/('Advanced Entry'!H$7-'Advanced Entry'!H$6),10*((IF('Advanced Entry'!H$5="Logarithm",LN(0.001+'Advanced Entry'!H37),IF('Advanced Entry'!H$5="Exponential",EXP('Advanced Entry'!H37),'Advanced Entry'!H37)))-'Advanced Entry'!H$6)/('Advanced Entry'!H$7-'Advanced Entry'!H$6)),1))),"No data"))</f>
        <v/>
      </c>
      <c r="I37" s="17">
        <f>IF('Advanced Entry'!I37="","",IFERROR(MAX(0,MIN(10,ROUND(IF('Advanced Entry'!I$8="Decrease Risk",10-10*((IF('Advanced Entry'!I$5="Logarithm",LN(0.001+'Advanced Entry'!I37),IF('Advanced Entry'!I$5="Exponential",EXP('Advanced Entry'!I37),'Advanced Entry'!I37)))-'Advanced Entry'!I$6)/('Advanced Entry'!I$7-'Advanced Entry'!I$6),10*((IF('Advanced Entry'!I$5="Logarithm",LN(0.001+'Advanced Entry'!I37),IF('Advanced Entry'!I$5="Exponential",EXP('Advanced Entry'!I37),'Advanced Entry'!I37)))-'Advanced Entry'!I$6)/('Advanced Entry'!I$7-'Advanced Entry'!I$6)),1))),"No data"))</f>
        <v/>
      </c>
      <c r="J37" s="17">
        <f>IF('Advanced Entry'!J37="","",IFERROR(MAX(0,MIN(10,ROUND(IF('Advanced Entry'!J$8="Decrease Risk",10-10*((IF('Advanced Entry'!J$5="Logarithm",LN(0.001+'Advanced Entry'!J37),IF('Advanced Entry'!J$5="Exponential",EXP('Advanced Entry'!J37),'Advanced Entry'!J37)))-'Advanced Entry'!J$6)/('Advanced Entry'!J$7-'Advanced Entry'!J$6),10*((IF('Advanced Entry'!J$5="Logarithm",LN(0.001+'Advanced Entry'!J37),IF('Advanced Entry'!J$5="Exponential",EXP('Advanced Entry'!J37),'Advanced Entry'!J37)))-'Advanced Entry'!J$6)/('Advanced Entry'!J$7-'Advanced Entry'!J$6)),1))),"No data"))</f>
        <v/>
      </c>
      <c r="K37" s="17">
        <f>IF('Advanced Entry'!K37="","",IFERROR(MAX(0,MIN(10,ROUND(IF('Advanced Entry'!K$8="Decrease Risk",10-10*((IF('Advanced Entry'!K$5="Logarithm",LN(0.001+'Advanced Entry'!K37),IF('Advanced Entry'!K$5="Exponential",EXP('Advanced Entry'!K37),'Advanced Entry'!K37)))-'Advanced Entry'!K$6)/('Advanced Entry'!K$7-'Advanced Entry'!K$6),10*((IF('Advanced Entry'!K$5="Logarithm",LN(0.001+'Advanced Entry'!K37),IF('Advanced Entry'!K$5="Exponential",EXP('Advanced Entry'!K37),'Advanced Entry'!K37)))-'Advanced Entry'!K$6)/('Advanced Entry'!K$7-'Advanced Entry'!K$6)),1))),"No data"))</f>
        <v/>
      </c>
      <c r="L37" s="17">
        <f>IF('Advanced Entry'!L37="","",IFERROR(MAX(0,MIN(10,ROUND(IF('Advanced Entry'!L$8="Decrease Risk",10-10*((IF('Advanced Entry'!L$5="Logarithm",LN(0.001+'Advanced Entry'!L37),IF('Advanced Entry'!L$5="Exponential",EXP('Advanced Entry'!L37),'Advanced Entry'!L37)))-'Advanced Entry'!L$6)/('Advanced Entry'!L$7-'Advanced Entry'!L$6),10*((IF('Advanced Entry'!L$5="Logarithm",LN(0.001+'Advanced Entry'!L37),IF('Advanced Entry'!L$5="Exponential",EXP('Advanced Entry'!L37),'Advanced Entry'!L37)))-'Advanced Entry'!L$6)/('Advanced Entry'!L$7-'Advanced Entry'!L$6)),1))),"No data"))</f>
        <v/>
      </c>
      <c r="M37" s="17">
        <f>IF('Advanced Entry'!M37="","",IFERROR(MAX(0,MIN(10,ROUND(IF('Advanced Entry'!M$8="Decrease Risk",10-10*((IF('Advanced Entry'!M$5="Logarithm",LN(0.001+'Advanced Entry'!M37),IF('Advanced Entry'!M$5="Exponential",EXP('Advanced Entry'!M37),'Advanced Entry'!M37)))-'Advanced Entry'!M$6)/('Advanced Entry'!M$7-'Advanced Entry'!M$6),10*((IF('Advanced Entry'!M$5="Logarithm",LN(0.001+'Advanced Entry'!M37),IF('Advanced Entry'!M$5="Exponential",EXP('Advanced Entry'!M37),'Advanced Entry'!M37)))-'Advanced Entry'!M$6)/('Advanced Entry'!M$7-'Advanced Entry'!M$6)),1))),"No data"))</f>
        <v/>
      </c>
      <c r="N37" s="17">
        <f>IF('Advanced Entry'!N37="","",IFERROR(MAX(0,MIN(10,ROUND(IF('Advanced Entry'!N$8="Decrease Risk",10-10*((IF('Advanced Entry'!N$5="Logarithm",LN(0.001+'Advanced Entry'!N37),IF('Advanced Entry'!N$5="Exponential",EXP('Advanced Entry'!N37),'Advanced Entry'!N37)))-'Advanced Entry'!N$6)/('Advanced Entry'!N$7-'Advanced Entry'!N$6),10*((IF('Advanced Entry'!N$5="Logarithm",LN(0.001+'Advanced Entry'!N37),IF('Advanced Entry'!N$5="Exponential",EXP('Advanced Entry'!N37),'Advanced Entry'!N37)))-'Advanced Entry'!N$6)/('Advanced Entry'!N$7-'Advanced Entry'!N$6)),1))),"No data"))</f>
        <v/>
      </c>
      <c r="O37" s="17">
        <f>IF('Advanced Entry'!O37="","",IFERROR(MAX(0,MIN(10,ROUND(IF('Advanced Entry'!O$8="Decrease Risk",10-10*((IF('Advanced Entry'!O$5="Logarithm",LN(0.001+'Advanced Entry'!O37),IF('Advanced Entry'!O$5="Exponential",EXP('Advanced Entry'!O37),'Advanced Entry'!O37)))-'Advanced Entry'!O$6)/('Advanced Entry'!O$7-'Advanced Entry'!O$6),10*((IF('Advanced Entry'!O$5="Logarithm",LN(0.001+'Advanced Entry'!O37),IF('Advanced Entry'!O$5="Exponential",EXP('Advanced Entry'!O37),'Advanced Entry'!O37)))-'Advanced Entry'!O$6)/('Advanced Entry'!O$7-'Advanced Entry'!O$6)),1))),"No data"))</f>
        <v/>
      </c>
      <c r="P37" s="17">
        <f>IF('Advanced Entry'!P37="","",IFERROR(MAX(0,MIN(10,ROUND(IF('Advanced Entry'!P$8="Decrease Risk",10-10*((IF('Advanced Entry'!P$5="Logarithm",LN(0.001+'Advanced Entry'!P37),IF('Advanced Entry'!P$5="Exponential",EXP('Advanced Entry'!P37),'Advanced Entry'!P37)))-'Advanced Entry'!P$6)/('Advanced Entry'!P$7-'Advanced Entry'!P$6),10*((IF('Advanced Entry'!P$5="Logarithm",LN(0.001+'Advanced Entry'!P37),IF('Advanced Entry'!P$5="Exponential",EXP('Advanced Entry'!P37),'Advanced Entry'!P37)))-'Advanced Entry'!P$6)/('Advanced Entry'!P$7-'Advanced Entry'!P$6)),1))),"No data"))</f>
        <v/>
      </c>
      <c r="Q37" s="17">
        <f>IF('Advanced Entry'!Q37="","",IFERROR(MAX(0,MIN(10,ROUND(IF('Advanced Entry'!Q$8="Decrease Risk",10-10*((IF('Advanced Entry'!Q$5="Logarithm",LN(0.001+'Advanced Entry'!Q37),IF('Advanced Entry'!Q$5="Exponential",EXP('Advanced Entry'!Q37),'Advanced Entry'!Q37)))-'Advanced Entry'!Q$6)/('Advanced Entry'!Q$7-'Advanced Entry'!Q$6),10*((IF('Advanced Entry'!Q$5="Logarithm",LN(0.001+'Advanced Entry'!Q37),IF('Advanced Entry'!Q$5="Exponential",EXP('Advanced Entry'!Q37),'Advanced Entry'!Q37)))-'Advanced Entry'!Q$6)/('Advanced Entry'!Q$7-'Advanced Entry'!Q$6)),1))),"No data"))</f>
        <v/>
      </c>
      <c r="R37" s="17">
        <f>IF('Advanced Entry'!R37="","",IFERROR(MAX(0,MIN(10,ROUND(IF('Advanced Entry'!R$8="Decrease Risk",10-10*((IF('Advanced Entry'!R$5="Logarithm",LN(0.001+'Advanced Entry'!R37),IF('Advanced Entry'!R$5="Exponential",EXP('Advanced Entry'!R37),'Advanced Entry'!R37)))-'Advanced Entry'!R$6)/('Advanced Entry'!R$7-'Advanced Entry'!R$6),10*((IF('Advanced Entry'!R$5="Logarithm",LN(0.001+'Advanced Entry'!R37),IF('Advanced Entry'!R$5="Exponential",EXP('Advanced Entry'!R37),'Advanced Entry'!R37)))-'Advanced Entry'!R$6)/('Advanced Entry'!R$7-'Advanced Entry'!R$6)),1))),"No data"))</f>
        <v/>
      </c>
      <c r="S37" s="17">
        <f>IF('Advanced Entry'!S37="","",IFERROR(MAX(0,MIN(10,ROUND(IF('Advanced Entry'!S$8="Decrease Risk",10-10*((IF('Advanced Entry'!S$5="Logarithm",LN(0.001+'Advanced Entry'!S37),IF('Advanced Entry'!S$5="Exponential",EXP('Advanced Entry'!S37),'Advanced Entry'!S37)))-'Advanced Entry'!S$6)/('Advanced Entry'!S$7-'Advanced Entry'!S$6),10*((IF('Advanced Entry'!S$5="Logarithm",LN(0.001+'Advanced Entry'!S37),IF('Advanced Entry'!S$5="Exponential",EXP('Advanced Entry'!S37),'Advanced Entry'!S37)))-'Advanced Entry'!S$6)/('Advanced Entry'!S$7-'Advanced Entry'!S$6)),1))),"No data"))</f>
        <v/>
      </c>
      <c r="T37" s="17">
        <f>IF('Advanced Entry'!T37="","",IFERROR(MAX(0,MIN(10,ROUND(IF('Advanced Entry'!T$8="Decrease Risk",10-10*((IF('Advanced Entry'!T$5="Logarithm",LN(0.001+'Advanced Entry'!T37),IF('Advanced Entry'!T$5="Exponential",EXP('Advanced Entry'!T37),'Advanced Entry'!T37)))-'Advanced Entry'!T$6)/('Advanced Entry'!T$7-'Advanced Entry'!T$6),10*((IF('Advanced Entry'!T$5="Logarithm",LN(0.001+'Advanced Entry'!T37),IF('Advanced Entry'!T$5="Exponential",EXP('Advanced Entry'!T37),'Advanced Entry'!T37)))-'Advanced Entry'!T$6)/('Advanced Entry'!T$7-'Advanced Entry'!T$6)),1))),"No data"))</f>
        <v/>
      </c>
      <c r="U37" s="17">
        <f>IF('Advanced Entry'!U37="","",IFERROR(MAX(0,MIN(10,ROUND(IF('Advanced Entry'!U$8="Decrease Risk",10-10*((IF('Advanced Entry'!U$5="Logarithm",LN(0.001+'Advanced Entry'!U37),IF('Advanced Entry'!U$5="Exponential",EXP('Advanced Entry'!U37),'Advanced Entry'!U37)))-'Advanced Entry'!U$6)/('Advanced Entry'!U$7-'Advanced Entry'!U$6),10*((IF('Advanced Entry'!U$5="Logarithm",LN(0.001+'Advanced Entry'!U37),IF('Advanced Entry'!U$5="Exponential",EXP('Advanced Entry'!U37),'Advanced Entry'!U37)))-'Advanced Entry'!U$6)/('Advanced Entry'!U$7-'Advanced Entry'!U$6)),1))),"No data"))</f>
        <v/>
      </c>
      <c r="V37" s="17">
        <f>IF('Advanced Entry'!V37="","",IFERROR(MAX(0,MIN(10,ROUND(IF('Advanced Entry'!V$8="Decrease Risk",10-10*((IF('Advanced Entry'!V$5="Logarithm",LN(0.001+'Advanced Entry'!V37),IF('Advanced Entry'!V$5="Exponential",EXP('Advanced Entry'!V37),'Advanced Entry'!V37)))-'Advanced Entry'!V$6)/('Advanced Entry'!V$7-'Advanced Entry'!V$6),10*((IF('Advanced Entry'!V$5="Logarithm",LN(0.001+'Advanced Entry'!V37),IF('Advanced Entry'!V$5="Exponential",EXP('Advanced Entry'!V37),'Advanced Entry'!V37)))-'Advanced Entry'!V$6)/('Advanced Entry'!V$7-'Advanced Entry'!V$6)),1))),"No data"))</f>
        <v/>
      </c>
      <c r="W37" s="17">
        <f>IF('Advanced Entry'!W37="","",IFERROR(MAX(0,MIN(10,ROUND(IF('Advanced Entry'!W$8="Decrease Risk",10-10*((IF('Advanced Entry'!W$5="Logarithm",LN(0.001+'Advanced Entry'!W37),IF('Advanced Entry'!W$5="Exponential",EXP('Advanced Entry'!W37),'Advanced Entry'!W37)))-'Advanced Entry'!W$6)/('Advanced Entry'!W$7-'Advanced Entry'!W$6),10*((IF('Advanced Entry'!W$5="Logarithm",LN(0.001+'Advanced Entry'!W37),IF('Advanced Entry'!W$5="Exponential",EXP('Advanced Entry'!W37),'Advanced Entry'!W37)))-'Advanced Entry'!W$6)/('Advanced Entry'!W$7-'Advanced Entry'!W$6)),1))),"No data"))</f>
        <v/>
      </c>
      <c r="X37" s="17">
        <f>IF('Advanced Entry'!X37="","",IFERROR(MAX(0,MIN(10,ROUND(IF('Advanced Entry'!X$8="Decrease Risk",10-10*((IF('Advanced Entry'!X$5="Logarithm",LN(0.001+'Advanced Entry'!X37),IF('Advanced Entry'!X$5="Exponential",EXP('Advanced Entry'!X37),'Advanced Entry'!X37)))-'Advanced Entry'!X$6)/('Advanced Entry'!X$7-'Advanced Entry'!X$6),10*((IF('Advanced Entry'!X$5="Logarithm",LN(0.001+'Advanced Entry'!X37),IF('Advanced Entry'!X$5="Exponential",EXP('Advanced Entry'!X37),'Advanced Entry'!X37)))-'Advanced Entry'!X$6)/('Advanced Entry'!X$7-'Advanced Entry'!X$6)),1))),"No data"))</f>
        <v/>
      </c>
      <c r="Y37" s="17">
        <f>IF('Advanced Entry'!Y37="","",IFERROR(MAX(0,MIN(10,ROUND(IF('Advanced Entry'!Y$8="Decrease Risk",10-10*((IF('Advanced Entry'!Y$5="Logarithm",LN(0.001+'Advanced Entry'!Y37),IF('Advanced Entry'!Y$5="Exponential",EXP('Advanced Entry'!Y37),'Advanced Entry'!Y37)))-'Advanced Entry'!Y$6)/('Advanced Entry'!Y$7-'Advanced Entry'!Y$6),10*((IF('Advanced Entry'!Y$5="Logarithm",LN(0.001+'Advanced Entry'!Y37),IF('Advanced Entry'!Y$5="Exponential",EXP('Advanced Entry'!Y37),'Advanced Entry'!Y37)))-'Advanced Entry'!Y$6)/('Advanced Entry'!Y$7-'Advanced Entry'!Y$6)),1))),"No data"))</f>
        <v/>
      </c>
      <c r="Z37" s="17">
        <f>IF('Advanced Entry'!Z37="","",IFERROR(MAX(0,MIN(10,ROUND(IF('Advanced Entry'!Z$8="Decrease Risk",10-10*((IF('Advanced Entry'!Z$5="Logarithm",LN(0.001+'Advanced Entry'!Z37),IF('Advanced Entry'!Z$5="Exponential",EXP('Advanced Entry'!Z37),'Advanced Entry'!Z37)))-'Advanced Entry'!Z$6)/('Advanced Entry'!Z$7-'Advanced Entry'!Z$6),10*((IF('Advanced Entry'!Z$5="Logarithm",LN(0.001+'Advanced Entry'!Z37),IF('Advanced Entry'!Z$5="Exponential",EXP('Advanced Entry'!Z37),'Advanced Entry'!Z37)))-'Advanced Entry'!Z$6)/('Advanced Entry'!Z$7-'Advanced Entry'!Z$6)),1))),"No data"))</f>
        <v/>
      </c>
      <c r="AA37" s="17">
        <f>IF('Advanced Entry'!AA37="","",IFERROR(MAX(0,MIN(10,ROUND(IF('Advanced Entry'!AA$8="Decrease Risk",10-10*((IF('Advanced Entry'!AA$5="Logarithm",LN(0.001+'Advanced Entry'!AA37),IF('Advanced Entry'!AA$5="Exponential",EXP('Advanced Entry'!AA37),'Advanced Entry'!AA37)))-'Advanced Entry'!AA$6)/('Advanced Entry'!AA$7-'Advanced Entry'!AA$6),10*((IF('Advanced Entry'!AA$5="Logarithm",LN(0.001+'Advanced Entry'!AA37),IF('Advanced Entry'!AA$5="Exponential",EXP('Advanced Entry'!AA37),'Advanced Entry'!AA37)))-'Advanced Entry'!AA$6)/('Advanced Entry'!AA$7-'Advanced Entry'!AA$6)),1))),"No data"))</f>
        <v/>
      </c>
      <c r="AB37" s="17">
        <f>IF('Advanced Entry'!AB37="","",IFERROR(MAX(0,MIN(10,ROUND(IF('Advanced Entry'!AB$8="Decrease Risk",10-10*((IF('Advanced Entry'!AB$5="Logarithm",LN(0.001+'Advanced Entry'!AB37),IF('Advanced Entry'!AB$5="Exponential",EXP('Advanced Entry'!AB37),'Advanced Entry'!AB37)))-'Advanced Entry'!AB$6)/('Advanced Entry'!AB$7-'Advanced Entry'!AB$6),10*((IF('Advanced Entry'!AB$5="Logarithm",LN(0.001+'Advanced Entry'!AB37),IF('Advanced Entry'!AB$5="Exponential",EXP('Advanced Entry'!AB37),'Advanced Entry'!AB37)))-'Advanced Entry'!AB$6)/('Advanced Entry'!AB$7-'Advanced Entry'!AB$6)),1))),"No data"))</f>
        <v/>
      </c>
    </row>
    <row r="38">
      <c r="A38" t="inlineStr">
        <is>
          <t>Iringa</t>
        </is>
      </c>
      <c r="B38" t="inlineStr">
        <is>
          <t>Iringa Municipal</t>
        </is>
      </c>
      <c r="C38" t="inlineStr">
        <is>
          <t>C081</t>
        </is>
      </c>
      <c r="D38" s="17">
        <f>IF('Advanced Entry'!D38="","",IFERROR(MAX(0,MIN(10,ROUND(IF('Advanced Entry'!D$8="Decrease Risk",10-10*((IF('Advanced Entry'!D$5="Logarithm",LN(0.001+'Advanced Entry'!D38),IF('Advanced Entry'!D$5="Exponential",EXP('Advanced Entry'!D38),'Advanced Entry'!D38)))-'Advanced Entry'!D$6)/('Advanced Entry'!D$7-'Advanced Entry'!D$6),10*((IF('Advanced Entry'!D$5="Logarithm",LN(0.001+'Advanced Entry'!D38),IF('Advanced Entry'!D$5="Exponential",EXP('Advanced Entry'!D38),'Advanced Entry'!D38)))-'Advanced Entry'!D$6)/('Advanced Entry'!D$7-'Advanced Entry'!D$6)),1))),"No data"))</f>
        <v/>
      </c>
      <c r="E38" s="17">
        <f>IF('Advanced Entry'!E38="","",IFERROR(MAX(0,MIN(10,ROUND(IF('Advanced Entry'!E$8="Decrease Risk",10-10*((IF('Advanced Entry'!E$5="Logarithm",LN(0.001+'Advanced Entry'!E38),IF('Advanced Entry'!E$5="Exponential",EXP('Advanced Entry'!E38),'Advanced Entry'!E38)))-'Advanced Entry'!E$6)/('Advanced Entry'!E$7-'Advanced Entry'!E$6),10*((IF('Advanced Entry'!E$5="Logarithm",LN(0.001+'Advanced Entry'!E38),IF('Advanced Entry'!E$5="Exponential",EXP('Advanced Entry'!E38),'Advanced Entry'!E38)))-'Advanced Entry'!E$6)/('Advanced Entry'!E$7-'Advanced Entry'!E$6)),1))),"No data"))</f>
        <v/>
      </c>
      <c r="F38" s="17">
        <f>IF('Advanced Entry'!F38="","",IFERROR(MAX(0,MIN(10,ROUND(IF('Advanced Entry'!F$8="Decrease Risk",10-10*((IF('Advanced Entry'!F$5="Logarithm",LN(0.001+'Advanced Entry'!F38),IF('Advanced Entry'!F$5="Exponential",EXP('Advanced Entry'!F38),'Advanced Entry'!F38)))-'Advanced Entry'!F$6)/('Advanced Entry'!F$7-'Advanced Entry'!F$6),10*((IF('Advanced Entry'!F$5="Logarithm",LN(0.001+'Advanced Entry'!F38),IF('Advanced Entry'!F$5="Exponential",EXP('Advanced Entry'!F38),'Advanced Entry'!F38)))-'Advanced Entry'!F$6)/('Advanced Entry'!F$7-'Advanced Entry'!F$6)),1))),"No data"))</f>
        <v/>
      </c>
      <c r="G38" s="17">
        <f>IF('Advanced Entry'!G38="","",IFERROR(MAX(0,MIN(10,ROUND(IF('Advanced Entry'!G$8="Decrease Risk",10-10*((IF('Advanced Entry'!G$5="Logarithm",LN(0.001+'Advanced Entry'!G38),IF('Advanced Entry'!G$5="Exponential",EXP('Advanced Entry'!G38),'Advanced Entry'!G38)))-'Advanced Entry'!G$6)/('Advanced Entry'!G$7-'Advanced Entry'!G$6),10*((IF('Advanced Entry'!G$5="Logarithm",LN(0.001+'Advanced Entry'!G38),IF('Advanced Entry'!G$5="Exponential",EXP('Advanced Entry'!G38),'Advanced Entry'!G38)))-'Advanced Entry'!G$6)/('Advanced Entry'!G$7-'Advanced Entry'!G$6)),1))),"No data"))</f>
        <v/>
      </c>
      <c r="H38" s="17">
        <f>IF('Advanced Entry'!H38="","",IFERROR(MAX(0,MIN(10,ROUND(IF('Advanced Entry'!H$8="Decrease Risk",10-10*((IF('Advanced Entry'!H$5="Logarithm",LN(0.001+'Advanced Entry'!H38),IF('Advanced Entry'!H$5="Exponential",EXP('Advanced Entry'!H38),'Advanced Entry'!H38)))-'Advanced Entry'!H$6)/('Advanced Entry'!H$7-'Advanced Entry'!H$6),10*((IF('Advanced Entry'!H$5="Logarithm",LN(0.001+'Advanced Entry'!H38),IF('Advanced Entry'!H$5="Exponential",EXP('Advanced Entry'!H38),'Advanced Entry'!H38)))-'Advanced Entry'!H$6)/('Advanced Entry'!H$7-'Advanced Entry'!H$6)),1))),"No data"))</f>
        <v/>
      </c>
      <c r="I38" s="17">
        <f>IF('Advanced Entry'!I38="","",IFERROR(MAX(0,MIN(10,ROUND(IF('Advanced Entry'!I$8="Decrease Risk",10-10*((IF('Advanced Entry'!I$5="Logarithm",LN(0.001+'Advanced Entry'!I38),IF('Advanced Entry'!I$5="Exponential",EXP('Advanced Entry'!I38),'Advanced Entry'!I38)))-'Advanced Entry'!I$6)/('Advanced Entry'!I$7-'Advanced Entry'!I$6),10*((IF('Advanced Entry'!I$5="Logarithm",LN(0.001+'Advanced Entry'!I38),IF('Advanced Entry'!I$5="Exponential",EXP('Advanced Entry'!I38),'Advanced Entry'!I38)))-'Advanced Entry'!I$6)/('Advanced Entry'!I$7-'Advanced Entry'!I$6)),1))),"No data"))</f>
        <v/>
      </c>
      <c r="J38" s="17">
        <f>IF('Advanced Entry'!J38="","",IFERROR(MAX(0,MIN(10,ROUND(IF('Advanced Entry'!J$8="Decrease Risk",10-10*((IF('Advanced Entry'!J$5="Logarithm",LN(0.001+'Advanced Entry'!J38),IF('Advanced Entry'!J$5="Exponential",EXP('Advanced Entry'!J38),'Advanced Entry'!J38)))-'Advanced Entry'!J$6)/('Advanced Entry'!J$7-'Advanced Entry'!J$6),10*((IF('Advanced Entry'!J$5="Logarithm",LN(0.001+'Advanced Entry'!J38),IF('Advanced Entry'!J$5="Exponential",EXP('Advanced Entry'!J38),'Advanced Entry'!J38)))-'Advanced Entry'!J$6)/('Advanced Entry'!J$7-'Advanced Entry'!J$6)),1))),"No data"))</f>
        <v/>
      </c>
      <c r="K38" s="17">
        <f>IF('Advanced Entry'!K38="","",IFERROR(MAX(0,MIN(10,ROUND(IF('Advanced Entry'!K$8="Decrease Risk",10-10*((IF('Advanced Entry'!K$5="Logarithm",LN(0.001+'Advanced Entry'!K38),IF('Advanced Entry'!K$5="Exponential",EXP('Advanced Entry'!K38),'Advanced Entry'!K38)))-'Advanced Entry'!K$6)/('Advanced Entry'!K$7-'Advanced Entry'!K$6),10*((IF('Advanced Entry'!K$5="Logarithm",LN(0.001+'Advanced Entry'!K38),IF('Advanced Entry'!K$5="Exponential",EXP('Advanced Entry'!K38),'Advanced Entry'!K38)))-'Advanced Entry'!K$6)/('Advanced Entry'!K$7-'Advanced Entry'!K$6)),1))),"No data"))</f>
        <v/>
      </c>
      <c r="L38" s="17">
        <f>IF('Advanced Entry'!L38="","",IFERROR(MAX(0,MIN(10,ROUND(IF('Advanced Entry'!L$8="Decrease Risk",10-10*((IF('Advanced Entry'!L$5="Logarithm",LN(0.001+'Advanced Entry'!L38),IF('Advanced Entry'!L$5="Exponential",EXP('Advanced Entry'!L38),'Advanced Entry'!L38)))-'Advanced Entry'!L$6)/('Advanced Entry'!L$7-'Advanced Entry'!L$6),10*((IF('Advanced Entry'!L$5="Logarithm",LN(0.001+'Advanced Entry'!L38),IF('Advanced Entry'!L$5="Exponential",EXP('Advanced Entry'!L38),'Advanced Entry'!L38)))-'Advanced Entry'!L$6)/('Advanced Entry'!L$7-'Advanced Entry'!L$6)),1))),"No data"))</f>
        <v/>
      </c>
      <c r="M38" s="17">
        <f>IF('Advanced Entry'!M38="","",IFERROR(MAX(0,MIN(10,ROUND(IF('Advanced Entry'!M$8="Decrease Risk",10-10*((IF('Advanced Entry'!M$5="Logarithm",LN(0.001+'Advanced Entry'!M38),IF('Advanced Entry'!M$5="Exponential",EXP('Advanced Entry'!M38),'Advanced Entry'!M38)))-'Advanced Entry'!M$6)/('Advanced Entry'!M$7-'Advanced Entry'!M$6),10*((IF('Advanced Entry'!M$5="Logarithm",LN(0.001+'Advanced Entry'!M38),IF('Advanced Entry'!M$5="Exponential",EXP('Advanced Entry'!M38),'Advanced Entry'!M38)))-'Advanced Entry'!M$6)/('Advanced Entry'!M$7-'Advanced Entry'!M$6)),1))),"No data"))</f>
        <v/>
      </c>
      <c r="N38" s="17">
        <f>IF('Advanced Entry'!N38="","",IFERROR(MAX(0,MIN(10,ROUND(IF('Advanced Entry'!N$8="Decrease Risk",10-10*((IF('Advanced Entry'!N$5="Logarithm",LN(0.001+'Advanced Entry'!N38),IF('Advanced Entry'!N$5="Exponential",EXP('Advanced Entry'!N38),'Advanced Entry'!N38)))-'Advanced Entry'!N$6)/('Advanced Entry'!N$7-'Advanced Entry'!N$6),10*((IF('Advanced Entry'!N$5="Logarithm",LN(0.001+'Advanced Entry'!N38),IF('Advanced Entry'!N$5="Exponential",EXP('Advanced Entry'!N38),'Advanced Entry'!N38)))-'Advanced Entry'!N$6)/('Advanced Entry'!N$7-'Advanced Entry'!N$6)),1))),"No data"))</f>
        <v/>
      </c>
      <c r="O38" s="17">
        <f>IF('Advanced Entry'!O38="","",IFERROR(MAX(0,MIN(10,ROUND(IF('Advanced Entry'!O$8="Decrease Risk",10-10*((IF('Advanced Entry'!O$5="Logarithm",LN(0.001+'Advanced Entry'!O38),IF('Advanced Entry'!O$5="Exponential",EXP('Advanced Entry'!O38),'Advanced Entry'!O38)))-'Advanced Entry'!O$6)/('Advanced Entry'!O$7-'Advanced Entry'!O$6),10*((IF('Advanced Entry'!O$5="Logarithm",LN(0.001+'Advanced Entry'!O38),IF('Advanced Entry'!O$5="Exponential",EXP('Advanced Entry'!O38),'Advanced Entry'!O38)))-'Advanced Entry'!O$6)/('Advanced Entry'!O$7-'Advanced Entry'!O$6)),1))),"No data"))</f>
        <v/>
      </c>
      <c r="P38" s="17">
        <f>IF('Advanced Entry'!P38="","",IFERROR(MAX(0,MIN(10,ROUND(IF('Advanced Entry'!P$8="Decrease Risk",10-10*((IF('Advanced Entry'!P$5="Logarithm",LN(0.001+'Advanced Entry'!P38),IF('Advanced Entry'!P$5="Exponential",EXP('Advanced Entry'!P38),'Advanced Entry'!P38)))-'Advanced Entry'!P$6)/('Advanced Entry'!P$7-'Advanced Entry'!P$6),10*((IF('Advanced Entry'!P$5="Logarithm",LN(0.001+'Advanced Entry'!P38),IF('Advanced Entry'!P$5="Exponential",EXP('Advanced Entry'!P38),'Advanced Entry'!P38)))-'Advanced Entry'!P$6)/('Advanced Entry'!P$7-'Advanced Entry'!P$6)),1))),"No data"))</f>
        <v/>
      </c>
      <c r="Q38" s="17">
        <f>IF('Advanced Entry'!Q38="","",IFERROR(MAX(0,MIN(10,ROUND(IF('Advanced Entry'!Q$8="Decrease Risk",10-10*((IF('Advanced Entry'!Q$5="Logarithm",LN(0.001+'Advanced Entry'!Q38),IF('Advanced Entry'!Q$5="Exponential",EXP('Advanced Entry'!Q38),'Advanced Entry'!Q38)))-'Advanced Entry'!Q$6)/('Advanced Entry'!Q$7-'Advanced Entry'!Q$6),10*((IF('Advanced Entry'!Q$5="Logarithm",LN(0.001+'Advanced Entry'!Q38),IF('Advanced Entry'!Q$5="Exponential",EXP('Advanced Entry'!Q38),'Advanced Entry'!Q38)))-'Advanced Entry'!Q$6)/('Advanced Entry'!Q$7-'Advanced Entry'!Q$6)),1))),"No data"))</f>
        <v/>
      </c>
      <c r="R38" s="17">
        <f>IF('Advanced Entry'!R38="","",IFERROR(MAX(0,MIN(10,ROUND(IF('Advanced Entry'!R$8="Decrease Risk",10-10*((IF('Advanced Entry'!R$5="Logarithm",LN(0.001+'Advanced Entry'!R38),IF('Advanced Entry'!R$5="Exponential",EXP('Advanced Entry'!R38),'Advanced Entry'!R38)))-'Advanced Entry'!R$6)/('Advanced Entry'!R$7-'Advanced Entry'!R$6),10*((IF('Advanced Entry'!R$5="Logarithm",LN(0.001+'Advanced Entry'!R38),IF('Advanced Entry'!R$5="Exponential",EXP('Advanced Entry'!R38),'Advanced Entry'!R38)))-'Advanced Entry'!R$6)/('Advanced Entry'!R$7-'Advanced Entry'!R$6)),1))),"No data"))</f>
        <v/>
      </c>
      <c r="S38" s="17">
        <f>IF('Advanced Entry'!S38="","",IFERROR(MAX(0,MIN(10,ROUND(IF('Advanced Entry'!S$8="Decrease Risk",10-10*((IF('Advanced Entry'!S$5="Logarithm",LN(0.001+'Advanced Entry'!S38),IF('Advanced Entry'!S$5="Exponential",EXP('Advanced Entry'!S38),'Advanced Entry'!S38)))-'Advanced Entry'!S$6)/('Advanced Entry'!S$7-'Advanced Entry'!S$6),10*((IF('Advanced Entry'!S$5="Logarithm",LN(0.001+'Advanced Entry'!S38),IF('Advanced Entry'!S$5="Exponential",EXP('Advanced Entry'!S38),'Advanced Entry'!S38)))-'Advanced Entry'!S$6)/('Advanced Entry'!S$7-'Advanced Entry'!S$6)),1))),"No data"))</f>
        <v/>
      </c>
      <c r="T38" s="17">
        <f>IF('Advanced Entry'!T38="","",IFERROR(MAX(0,MIN(10,ROUND(IF('Advanced Entry'!T$8="Decrease Risk",10-10*((IF('Advanced Entry'!T$5="Logarithm",LN(0.001+'Advanced Entry'!T38),IF('Advanced Entry'!T$5="Exponential",EXP('Advanced Entry'!T38),'Advanced Entry'!T38)))-'Advanced Entry'!T$6)/('Advanced Entry'!T$7-'Advanced Entry'!T$6),10*((IF('Advanced Entry'!T$5="Logarithm",LN(0.001+'Advanced Entry'!T38),IF('Advanced Entry'!T$5="Exponential",EXP('Advanced Entry'!T38),'Advanced Entry'!T38)))-'Advanced Entry'!T$6)/('Advanced Entry'!T$7-'Advanced Entry'!T$6)),1))),"No data"))</f>
        <v/>
      </c>
      <c r="U38" s="17">
        <f>IF('Advanced Entry'!U38="","",IFERROR(MAX(0,MIN(10,ROUND(IF('Advanced Entry'!U$8="Decrease Risk",10-10*((IF('Advanced Entry'!U$5="Logarithm",LN(0.001+'Advanced Entry'!U38),IF('Advanced Entry'!U$5="Exponential",EXP('Advanced Entry'!U38),'Advanced Entry'!U38)))-'Advanced Entry'!U$6)/('Advanced Entry'!U$7-'Advanced Entry'!U$6),10*((IF('Advanced Entry'!U$5="Logarithm",LN(0.001+'Advanced Entry'!U38),IF('Advanced Entry'!U$5="Exponential",EXP('Advanced Entry'!U38),'Advanced Entry'!U38)))-'Advanced Entry'!U$6)/('Advanced Entry'!U$7-'Advanced Entry'!U$6)),1))),"No data"))</f>
        <v/>
      </c>
      <c r="V38" s="17">
        <f>IF('Advanced Entry'!V38="","",IFERROR(MAX(0,MIN(10,ROUND(IF('Advanced Entry'!V$8="Decrease Risk",10-10*((IF('Advanced Entry'!V$5="Logarithm",LN(0.001+'Advanced Entry'!V38),IF('Advanced Entry'!V$5="Exponential",EXP('Advanced Entry'!V38),'Advanced Entry'!V38)))-'Advanced Entry'!V$6)/('Advanced Entry'!V$7-'Advanced Entry'!V$6),10*((IF('Advanced Entry'!V$5="Logarithm",LN(0.001+'Advanced Entry'!V38),IF('Advanced Entry'!V$5="Exponential",EXP('Advanced Entry'!V38),'Advanced Entry'!V38)))-'Advanced Entry'!V$6)/('Advanced Entry'!V$7-'Advanced Entry'!V$6)),1))),"No data"))</f>
        <v/>
      </c>
      <c r="W38" s="17">
        <f>IF('Advanced Entry'!W38="","",IFERROR(MAX(0,MIN(10,ROUND(IF('Advanced Entry'!W$8="Decrease Risk",10-10*((IF('Advanced Entry'!W$5="Logarithm",LN(0.001+'Advanced Entry'!W38),IF('Advanced Entry'!W$5="Exponential",EXP('Advanced Entry'!W38),'Advanced Entry'!W38)))-'Advanced Entry'!W$6)/('Advanced Entry'!W$7-'Advanced Entry'!W$6),10*((IF('Advanced Entry'!W$5="Logarithm",LN(0.001+'Advanced Entry'!W38),IF('Advanced Entry'!W$5="Exponential",EXP('Advanced Entry'!W38),'Advanced Entry'!W38)))-'Advanced Entry'!W$6)/('Advanced Entry'!W$7-'Advanced Entry'!W$6)),1))),"No data"))</f>
        <v/>
      </c>
      <c r="X38" s="17">
        <f>IF('Advanced Entry'!X38="","",IFERROR(MAX(0,MIN(10,ROUND(IF('Advanced Entry'!X$8="Decrease Risk",10-10*((IF('Advanced Entry'!X$5="Logarithm",LN(0.001+'Advanced Entry'!X38),IF('Advanced Entry'!X$5="Exponential",EXP('Advanced Entry'!X38),'Advanced Entry'!X38)))-'Advanced Entry'!X$6)/('Advanced Entry'!X$7-'Advanced Entry'!X$6),10*((IF('Advanced Entry'!X$5="Logarithm",LN(0.001+'Advanced Entry'!X38),IF('Advanced Entry'!X$5="Exponential",EXP('Advanced Entry'!X38),'Advanced Entry'!X38)))-'Advanced Entry'!X$6)/('Advanced Entry'!X$7-'Advanced Entry'!X$6)),1))),"No data"))</f>
        <v/>
      </c>
      <c r="Y38" s="17">
        <f>IF('Advanced Entry'!Y38="","",IFERROR(MAX(0,MIN(10,ROUND(IF('Advanced Entry'!Y$8="Decrease Risk",10-10*((IF('Advanced Entry'!Y$5="Logarithm",LN(0.001+'Advanced Entry'!Y38),IF('Advanced Entry'!Y$5="Exponential",EXP('Advanced Entry'!Y38),'Advanced Entry'!Y38)))-'Advanced Entry'!Y$6)/('Advanced Entry'!Y$7-'Advanced Entry'!Y$6),10*((IF('Advanced Entry'!Y$5="Logarithm",LN(0.001+'Advanced Entry'!Y38),IF('Advanced Entry'!Y$5="Exponential",EXP('Advanced Entry'!Y38),'Advanced Entry'!Y38)))-'Advanced Entry'!Y$6)/('Advanced Entry'!Y$7-'Advanced Entry'!Y$6)),1))),"No data"))</f>
        <v/>
      </c>
      <c r="Z38" s="17">
        <f>IF('Advanced Entry'!Z38="","",IFERROR(MAX(0,MIN(10,ROUND(IF('Advanced Entry'!Z$8="Decrease Risk",10-10*((IF('Advanced Entry'!Z$5="Logarithm",LN(0.001+'Advanced Entry'!Z38),IF('Advanced Entry'!Z$5="Exponential",EXP('Advanced Entry'!Z38),'Advanced Entry'!Z38)))-'Advanced Entry'!Z$6)/('Advanced Entry'!Z$7-'Advanced Entry'!Z$6),10*((IF('Advanced Entry'!Z$5="Logarithm",LN(0.001+'Advanced Entry'!Z38),IF('Advanced Entry'!Z$5="Exponential",EXP('Advanced Entry'!Z38),'Advanced Entry'!Z38)))-'Advanced Entry'!Z$6)/('Advanced Entry'!Z$7-'Advanced Entry'!Z$6)),1))),"No data"))</f>
        <v/>
      </c>
      <c r="AA38" s="17">
        <f>IF('Advanced Entry'!AA38="","",IFERROR(MAX(0,MIN(10,ROUND(IF('Advanced Entry'!AA$8="Decrease Risk",10-10*((IF('Advanced Entry'!AA$5="Logarithm",LN(0.001+'Advanced Entry'!AA38),IF('Advanced Entry'!AA$5="Exponential",EXP('Advanced Entry'!AA38),'Advanced Entry'!AA38)))-'Advanced Entry'!AA$6)/('Advanced Entry'!AA$7-'Advanced Entry'!AA$6),10*((IF('Advanced Entry'!AA$5="Logarithm",LN(0.001+'Advanced Entry'!AA38),IF('Advanced Entry'!AA$5="Exponential",EXP('Advanced Entry'!AA38),'Advanced Entry'!AA38)))-'Advanced Entry'!AA$6)/('Advanced Entry'!AA$7-'Advanced Entry'!AA$6)),1))),"No data"))</f>
        <v/>
      </c>
      <c r="AB38" s="17">
        <f>IF('Advanced Entry'!AB38="","",IFERROR(MAX(0,MIN(10,ROUND(IF('Advanced Entry'!AB$8="Decrease Risk",10-10*((IF('Advanced Entry'!AB$5="Logarithm",LN(0.001+'Advanced Entry'!AB38),IF('Advanced Entry'!AB$5="Exponential",EXP('Advanced Entry'!AB38),'Advanced Entry'!AB38)))-'Advanced Entry'!AB$6)/('Advanced Entry'!AB$7-'Advanced Entry'!AB$6),10*((IF('Advanced Entry'!AB$5="Logarithm",LN(0.001+'Advanced Entry'!AB38),IF('Advanced Entry'!AB$5="Exponential",EXP('Advanced Entry'!AB38),'Advanced Entry'!AB38)))-'Advanced Entry'!AB$6)/('Advanced Entry'!AB$7-'Advanced Entry'!AB$6)),1))),"No data"))</f>
        <v/>
      </c>
    </row>
    <row r="39">
      <c r="A39" t="inlineStr">
        <is>
          <t>Iringa</t>
        </is>
      </c>
      <c r="B39" t="inlineStr">
        <is>
          <t>Kilolo District</t>
        </is>
      </c>
      <c r="C39" t="inlineStr">
        <is>
          <t>C084</t>
        </is>
      </c>
      <c r="D39" s="17">
        <f>IF('Advanced Entry'!D39="","",IFERROR(MAX(0,MIN(10,ROUND(IF('Advanced Entry'!D$8="Decrease Risk",10-10*((IF('Advanced Entry'!D$5="Logarithm",LN(0.001+'Advanced Entry'!D39),IF('Advanced Entry'!D$5="Exponential",EXP('Advanced Entry'!D39),'Advanced Entry'!D39)))-'Advanced Entry'!D$6)/('Advanced Entry'!D$7-'Advanced Entry'!D$6),10*((IF('Advanced Entry'!D$5="Logarithm",LN(0.001+'Advanced Entry'!D39),IF('Advanced Entry'!D$5="Exponential",EXP('Advanced Entry'!D39),'Advanced Entry'!D39)))-'Advanced Entry'!D$6)/('Advanced Entry'!D$7-'Advanced Entry'!D$6)),1))),"No data"))</f>
        <v/>
      </c>
      <c r="E39" s="17">
        <f>IF('Advanced Entry'!E39="","",IFERROR(MAX(0,MIN(10,ROUND(IF('Advanced Entry'!E$8="Decrease Risk",10-10*((IF('Advanced Entry'!E$5="Logarithm",LN(0.001+'Advanced Entry'!E39),IF('Advanced Entry'!E$5="Exponential",EXP('Advanced Entry'!E39),'Advanced Entry'!E39)))-'Advanced Entry'!E$6)/('Advanced Entry'!E$7-'Advanced Entry'!E$6),10*((IF('Advanced Entry'!E$5="Logarithm",LN(0.001+'Advanced Entry'!E39),IF('Advanced Entry'!E$5="Exponential",EXP('Advanced Entry'!E39),'Advanced Entry'!E39)))-'Advanced Entry'!E$6)/('Advanced Entry'!E$7-'Advanced Entry'!E$6)),1))),"No data"))</f>
        <v/>
      </c>
      <c r="F39" s="17">
        <f>IF('Advanced Entry'!F39="","",IFERROR(MAX(0,MIN(10,ROUND(IF('Advanced Entry'!F$8="Decrease Risk",10-10*((IF('Advanced Entry'!F$5="Logarithm",LN(0.001+'Advanced Entry'!F39),IF('Advanced Entry'!F$5="Exponential",EXP('Advanced Entry'!F39),'Advanced Entry'!F39)))-'Advanced Entry'!F$6)/('Advanced Entry'!F$7-'Advanced Entry'!F$6),10*((IF('Advanced Entry'!F$5="Logarithm",LN(0.001+'Advanced Entry'!F39),IF('Advanced Entry'!F$5="Exponential",EXP('Advanced Entry'!F39),'Advanced Entry'!F39)))-'Advanced Entry'!F$6)/('Advanced Entry'!F$7-'Advanced Entry'!F$6)),1))),"No data"))</f>
        <v/>
      </c>
      <c r="G39" s="17">
        <f>IF('Advanced Entry'!G39="","",IFERROR(MAX(0,MIN(10,ROUND(IF('Advanced Entry'!G$8="Decrease Risk",10-10*((IF('Advanced Entry'!G$5="Logarithm",LN(0.001+'Advanced Entry'!G39),IF('Advanced Entry'!G$5="Exponential",EXP('Advanced Entry'!G39),'Advanced Entry'!G39)))-'Advanced Entry'!G$6)/('Advanced Entry'!G$7-'Advanced Entry'!G$6),10*((IF('Advanced Entry'!G$5="Logarithm",LN(0.001+'Advanced Entry'!G39),IF('Advanced Entry'!G$5="Exponential",EXP('Advanced Entry'!G39),'Advanced Entry'!G39)))-'Advanced Entry'!G$6)/('Advanced Entry'!G$7-'Advanced Entry'!G$6)),1))),"No data"))</f>
        <v/>
      </c>
      <c r="H39" s="17">
        <f>IF('Advanced Entry'!H39="","",IFERROR(MAX(0,MIN(10,ROUND(IF('Advanced Entry'!H$8="Decrease Risk",10-10*((IF('Advanced Entry'!H$5="Logarithm",LN(0.001+'Advanced Entry'!H39),IF('Advanced Entry'!H$5="Exponential",EXP('Advanced Entry'!H39),'Advanced Entry'!H39)))-'Advanced Entry'!H$6)/('Advanced Entry'!H$7-'Advanced Entry'!H$6),10*((IF('Advanced Entry'!H$5="Logarithm",LN(0.001+'Advanced Entry'!H39),IF('Advanced Entry'!H$5="Exponential",EXP('Advanced Entry'!H39),'Advanced Entry'!H39)))-'Advanced Entry'!H$6)/('Advanced Entry'!H$7-'Advanced Entry'!H$6)),1))),"No data"))</f>
        <v/>
      </c>
      <c r="I39" s="17">
        <f>IF('Advanced Entry'!I39="","",IFERROR(MAX(0,MIN(10,ROUND(IF('Advanced Entry'!I$8="Decrease Risk",10-10*((IF('Advanced Entry'!I$5="Logarithm",LN(0.001+'Advanced Entry'!I39),IF('Advanced Entry'!I$5="Exponential",EXP('Advanced Entry'!I39),'Advanced Entry'!I39)))-'Advanced Entry'!I$6)/('Advanced Entry'!I$7-'Advanced Entry'!I$6),10*((IF('Advanced Entry'!I$5="Logarithm",LN(0.001+'Advanced Entry'!I39),IF('Advanced Entry'!I$5="Exponential",EXP('Advanced Entry'!I39),'Advanced Entry'!I39)))-'Advanced Entry'!I$6)/('Advanced Entry'!I$7-'Advanced Entry'!I$6)),1))),"No data"))</f>
        <v/>
      </c>
      <c r="J39" s="17">
        <f>IF('Advanced Entry'!J39="","",IFERROR(MAX(0,MIN(10,ROUND(IF('Advanced Entry'!J$8="Decrease Risk",10-10*((IF('Advanced Entry'!J$5="Logarithm",LN(0.001+'Advanced Entry'!J39),IF('Advanced Entry'!J$5="Exponential",EXP('Advanced Entry'!J39),'Advanced Entry'!J39)))-'Advanced Entry'!J$6)/('Advanced Entry'!J$7-'Advanced Entry'!J$6),10*((IF('Advanced Entry'!J$5="Logarithm",LN(0.001+'Advanced Entry'!J39),IF('Advanced Entry'!J$5="Exponential",EXP('Advanced Entry'!J39),'Advanced Entry'!J39)))-'Advanced Entry'!J$6)/('Advanced Entry'!J$7-'Advanced Entry'!J$6)),1))),"No data"))</f>
        <v/>
      </c>
      <c r="K39" s="17">
        <f>IF('Advanced Entry'!K39="","",IFERROR(MAX(0,MIN(10,ROUND(IF('Advanced Entry'!K$8="Decrease Risk",10-10*((IF('Advanced Entry'!K$5="Logarithm",LN(0.001+'Advanced Entry'!K39),IF('Advanced Entry'!K$5="Exponential",EXP('Advanced Entry'!K39),'Advanced Entry'!K39)))-'Advanced Entry'!K$6)/('Advanced Entry'!K$7-'Advanced Entry'!K$6),10*((IF('Advanced Entry'!K$5="Logarithm",LN(0.001+'Advanced Entry'!K39),IF('Advanced Entry'!K$5="Exponential",EXP('Advanced Entry'!K39),'Advanced Entry'!K39)))-'Advanced Entry'!K$6)/('Advanced Entry'!K$7-'Advanced Entry'!K$6)),1))),"No data"))</f>
        <v/>
      </c>
      <c r="L39" s="17">
        <f>IF('Advanced Entry'!L39="","",IFERROR(MAX(0,MIN(10,ROUND(IF('Advanced Entry'!L$8="Decrease Risk",10-10*((IF('Advanced Entry'!L$5="Logarithm",LN(0.001+'Advanced Entry'!L39),IF('Advanced Entry'!L$5="Exponential",EXP('Advanced Entry'!L39),'Advanced Entry'!L39)))-'Advanced Entry'!L$6)/('Advanced Entry'!L$7-'Advanced Entry'!L$6),10*((IF('Advanced Entry'!L$5="Logarithm",LN(0.001+'Advanced Entry'!L39),IF('Advanced Entry'!L$5="Exponential",EXP('Advanced Entry'!L39),'Advanced Entry'!L39)))-'Advanced Entry'!L$6)/('Advanced Entry'!L$7-'Advanced Entry'!L$6)),1))),"No data"))</f>
        <v/>
      </c>
      <c r="M39" s="17">
        <f>IF('Advanced Entry'!M39="","",IFERROR(MAX(0,MIN(10,ROUND(IF('Advanced Entry'!M$8="Decrease Risk",10-10*((IF('Advanced Entry'!M$5="Logarithm",LN(0.001+'Advanced Entry'!M39),IF('Advanced Entry'!M$5="Exponential",EXP('Advanced Entry'!M39),'Advanced Entry'!M39)))-'Advanced Entry'!M$6)/('Advanced Entry'!M$7-'Advanced Entry'!M$6),10*((IF('Advanced Entry'!M$5="Logarithm",LN(0.001+'Advanced Entry'!M39),IF('Advanced Entry'!M$5="Exponential",EXP('Advanced Entry'!M39),'Advanced Entry'!M39)))-'Advanced Entry'!M$6)/('Advanced Entry'!M$7-'Advanced Entry'!M$6)),1))),"No data"))</f>
        <v/>
      </c>
      <c r="N39" s="17">
        <f>IF('Advanced Entry'!N39="","",IFERROR(MAX(0,MIN(10,ROUND(IF('Advanced Entry'!N$8="Decrease Risk",10-10*((IF('Advanced Entry'!N$5="Logarithm",LN(0.001+'Advanced Entry'!N39),IF('Advanced Entry'!N$5="Exponential",EXP('Advanced Entry'!N39),'Advanced Entry'!N39)))-'Advanced Entry'!N$6)/('Advanced Entry'!N$7-'Advanced Entry'!N$6),10*((IF('Advanced Entry'!N$5="Logarithm",LN(0.001+'Advanced Entry'!N39),IF('Advanced Entry'!N$5="Exponential",EXP('Advanced Entry'!N39),'Advanced Entry'!N39)))-'Advanced Entry'!N$6)/('Advanced Entry'!N$7-'Advanced Entry'!N$6)),1))),"No data"))</f>
        <v/>
      </c>
      <c r="O39" s="17">
        <f>IF('Advanced Entry'!O39="","",IFERROR(MAX(0,MIN(10,ROUND(IF('Advanced Entry'!O$8="Decrease Risk",10-10*((IF('Advanced Entry'!O$5="Logarithm",LN(0.001+'Advanced Entry'!O39),IF('Advanced Entry'!O$5="Exponential",EXP('Advanced Entry'!O39),'Advanced Entry'!O39)))-'Advanced Entry'!O$6)/('Advanced Entry'!O$7-'Advanced Entry'!O$6),10*((IF('Advanced Entry'!O$5="Logarithm",LN(0.001+'Advanced Entry'!O39),IF('Advanced Entry'!O$5="Exponential",EXP('Advanced Entry'!O39),'Advanced Entry'!O39)))-'Advanced Entry'!O$6)/('Advanced Entry'!O$7-'Advanced Entry'!O$6)),1))),"No data"))</f>
        <v/>
      </c>
      <c r="P39" s="17">
        <f>IF('Advanced Entry'!P39="","",IFERROR(MAX(0,MIN(10,ROUND(IF('Advanced Entry'!P$8="Decrease Risk",10-10*((IF('Advanced Entry'!P$5="Logarithm",LN(0.001+'Advanced Entry'!P39),IF('Advanced Entry'!P$5="Exponential",EXP('Advanced Entry'!P39),'Advanced Entry'!P39)))-'Advanced Entry'!P$6)/('Advanced Entry'!P$7-'Advanced Entry'!P$6),10*((IF('Advanced Entry'!P$5="Logarithm",LN(0.001+'Advanced Entry'!P39),IF('Advanced Entry'!P$5="Exponential",EXP('Advanced Entry'!P39),'Advanced Entry'!P39)))-'Advanced Entry'!P$6)/('Advanced Entry'!P$7-'Advanced Entry'!P$6)),1))),"No data"))</f>
        <v/>
      </c>
      <c r="Q39" s="17">
        <f>IF('Advanced Entry'!Q39="","",IFERROR(MAX(0,MIN(10,ROUND(IF('Advanced Entry'!Q$8="Decrease Risk",10-10*((IF('Advanced Entry'!Q$5="Logarithm",LN(0.001+'Advanced Entry'!Q39),IF('Advanced Entry'!Q$5="Exponential",EXP('Advanced Entry'!Q39),'Advanced Entry'!Q39)))-'Advanced Entry'!Q$6)/('Advanced Entry'!Q$7-'Advanced Entry'!Q$6),10*((IF('Advanced Entry'!Q$5="Logarithm",LN(0.001+'Advanced Entry'!Q39),IF('Advanced Entry'!Q$5="Exponential",EXP('Advanced Entry'!Q39),'Advanced Entry'!Q39)))-'Advanced Entry'!Q$6)/('Advanced Entry'!Q$7-'Advanced Entry'!Q$6)),1))),"No data"))</f>
        <v/>
      </c>
      <c r="R39" s="17">
        <f>IF('Advanced Entry'!R39="","",IFERROR(MAX(0,MIN(10,ROUND(IF('Advanced Entry'!R$8="Decrease Risk",10-10*((IF('Advanced Entry'!R$5="Logarithm",LN(0.001+'Advanced Entry'!R39),IF('Advanced Entry'!R$5="Exponential",EXP('Advanced Entry'!R39),'Advanced Entry'!R39)))-'Advanced Entry'!R$6)/('Advanced Entry'!R$7-'Advanced Entry'!R$6),10*((IF('Advanced Entry'!R$5="Logarithm",LN(0.001+'Advanced Entry'!R39),IF('Advanced Entry'!R$5="Exponential",EXP('Advanced Entry'!R39),'Advanced Entry'!R39)))-'Advanced Entry'!R$6)/('Advanced Entry'!R$7-'Advanced Entry'!R$6)),1))),"No data"))</f>
        <v/>
      </c>
      <c r="S39" s="17">
        <f>IF('Advanced Entry'!S39="","",IFERROR(MAX(0,MIN(10,ROUND(IF('Advanced Entry'!S$8="Decrease Risk",10-10*((IF('Advanced Entry'!S$5="Logarithm",LN(0.001+'Advanced Entry'!S39),IF('Advanced Entry'!S$5="Exponential",EXP('Advanced Entry'!S39),'Advanced Entry'!S39)))-'Advanced Entry'!S$6)/('Advanced Entry'!S$7-'Advanced Entry'!S$6),10*((IF('Advanced Entry'!S$5="Logarithm",LN(0.001+'Advanced Entry'!S39),IF('Advanced Entry'!S$5="Exponential",EXP('Advanced Entry'!S39),'Advanced Entry'!S39)))-'Advanced Entry'!S$6)/('Advanced Entry'!S$7-'Advanced Entry'!S$6)),1))),"No data"))</f>
        <v/>
      </c>
      <c r="T39" s="17">
        <f>IF('Advanced Entry'!T39="","",IFERROR(MAX(0,MIN(10,ROUND(IF('Advanced Entry'!T$8="Decrease Risk",10-10*((IF('Advanced Entry'!T$5="Logarithm",LN(0.001+'Advanced Entry'!T39),IF('Advanced Entry'!T$5="Exponential",EXP('Advanced Entry'!T39),'Advanced Entry'!T39)))-'Advanced Entry'!T$6)/('Advanced Entry'!T$7-'Advanced Entry'!T$6),10*((IF('Advanced Entry'!T$5="Logarithm",LN(0.001+'Advanced Entry'!T39),IF('Advanced Entry'!T$5="Exponential",EXP('Advanced Entry'!T39),'Advanced Entry'!T39)))-'Advanced Entry'!T$6)/('Advanced Entry'!T$7-'Advanced Entry'!T$6)),1))),"No data"))</f>
        <v/>
      </c>
      <c r="U39" s="17">
        <f>IF('Advanced Entry'!U39="","",IFERROR(MAX(0,MIN(10,ROUND(IF('Advanced Entry'!U$8="Decrease Risk",10-10*((IF('Advanced Entry'!U$5="Logarithm",LN(0.001+'Advanced Entry'!U39),IF('Advanced Entry'!U$5="Exponential",EXP('Advanced Entry'!U39),'Advanced Entry'!U39)))-'Advanced Entry'!U$6)/('Advanced Entry'!U$7-'Advanced Entry'!U$6),10*((IF('Advanced Entry'!U$5="Logarithm",LN(0.001+'Advanced Entry'!U39),IF('Advanced Entry'!U$5="Exponential",EXP('Advanced Entry'!U39),'Advanced Entry'!U39)))-'Advanced Entry'!U$6)/('Advanced Entry'!U$7-'Advanced Entry'!U$6)),1))),"No data"))</f>
        <v/>
      </c>
      <c r="V39" s="17">
        <f>IF('Advanced Entry'!V39="","",IFERROR(MAX(0,MIN(10,ROUND(IF('Advanced Entry'!V$8="Decrease Risk",10-10*((IF('Advanced Entry'!V$5="Logarithm",LN(0.001+'Advanced Entry'!V39),IF('Advanced Entry'!V$5="Exponential",EXP('Advanced Entry'!V39),'Advanced Entry'!V39)))-'Advanced Entry'!V$6)/('Advanced Entry'!V$7-'Advanced Entry'!V$6),10*((IF('Advanced Entry'!V$5="Logarithm",LN(0.001+'Advanced Entry'!V39),IF('Advanced Entry'!V$5="Exponential",EXP('Advanced Entry'!V39),'Advanced Entry'!V39)))-'Advanced Entry'!V$6)/('Advanced Entry'!V$7-'Advanced Entry'!V$6)),1))),"No data"))</f>
        <v/>
      </c>
      <c r="W39" s="17">
        <f>IF('Advanced Entry'!W39="","",IFERROR(MAX(0,MIN(10,ROUND(IF('Advanced Entry'!W$8="Decrease Risk",10-10*((IF('Advanced Entry'!W$5="Logarithm",LN(0.001+'Advanced Entry'!W39),IF('Advanced Entry'!W$5="Exponential",EXP('Advanced Entry'!W39),'Advanced Entry'!W39)))-'Advanced Entry'!W$6)/('Advanced Entry'!W$7-'Advanced Entry'!W$6),10*((IF('Advanced Entry'!W$5="Logarithm",LN(0.001+'Advanced Entry'!W39),IF('Advanced Entry'!W$5="Exponential",EXP('Advanced Entry'!W39),'Advanced Entry'!W39)))-'Advanced Entry'!W$6)/('Advanced Entry'!W$7-'Advanced Entry'!W$6)),1))),"No data"))</f>
        <v/>
      </c>
      <c r="X39" s="17">
        <f>IF('Advanced Entry'!X39="","",IFERROR(MAX(0,MIN(10,ROUND(IF('Advanced Entry'!X$8="Decrease Risk",10-10*((IF('Advanced Entry'!X$5="Logarithm",LN(0.001+'Advanced Entry'!X39),IF('Advanced Entry'!X$5="Exponential",EXP('Advanced Entry'!X39),'Advanced Entry'!X39)))-'Advanced Entry'!X$6)/('Advanced Entry'!X$7-'Advanced Entry'!X$6),10*((IF('Advanced Entry'!X$5="Logarithm",LN(0.001+'Advanced Entry'!X39),IF('Advanced Entry'!X$5="Exponential",EXP('Advanced Entry'!X39),'Advanced Entry'!X39)))-'Advanced Entry'!X$6)/('Advanced Entry'!X$7-'Advanced Entry'!X$6)),1))),"No data"))</f>
        <v/>
      </c>
      <c r="Y39" s="17">
        <f>IF('Advanced Entry'!Y39="","",IFERROR(MAX(0,MIN(10,ROUND(IF('Advanced Entry'!Y$8="Decrease Risk",10-10*((IF('Advanced Entry'!Y$5="Logarithm",LN(0.001+'Advanced Entry'!Y39),IF('Advanced Entry'!Y$5="Exponential",EXP('Advanced Entry'!Y39),'Advanced Entry'!Y39)))-'Advanced Entry'!Y$6)/('Advanced Entry'!Y$7-'Advanced Entry'!Y$6),10*((IF('Advanced Entry'!Y$5="Logarithm",LN(0.001+'Advanced Entry'!Y39),IF('Advanced Entry'!Y$5="Exponential",EXP('Advanced Entry'!Y39),'Advanced Entry'!Y39)))-'Advanced Entry'!Y$6)/('Advanced Entry'!Y$7-'Advanced Entry'!Y$6)),1))),"No data"))</f>
        <v/>
      </c>
      <c r="Z39" s="17">
        <f>IF('Advanced Entry'!Z39="","",IFERROR(MAX(0,MIN(10,ROUND(IF('Advanced Entry'!Z$8="Decrease Risk",10-10*((IF('Advanced Entry'!Z$5="Logarithm",LN(0.001+'Advanced Entry'!Z39),IF('Advanced Entry'!Z$5="Exponential",EXP('Advanced Entry'!Z39),'Advanced Entry'!Z39)))-'Advanced Entry'!Z$6)/('Advanced Entry'!Z$7-'Advanced Entry'!Z$6),10*((IF('Advanced Entry'!Z$5="Logarithm",LN(0.001+'Advanced Entry'!Z39),IF('Advanced Entry'!Z$5="Exponential",EXP('Advanced Entry'!Z39),'Advanced Entry'!Z39)))-'Advanced Entry'!Z$6)/('Advanced Entry'!Z$7-'Advanced Entry'!Z$6)),1))),"No data"))</f>
        <v/>
      </c>
      <c r="AA39" s="17">
        <f>IF('Advanced Entry'!AA39="","",IFERROR(MAX(0,MIN(10,ROUND(IF('Advanced Entry'!AA$8="Decrease Risk",10-10*((IF('Advanced Entry'!AA$5="Logarithm",LN(0.001+'Advanced Entry'!AA39),IF('Advanced Entry'!AA$5="Exponential",EXP('Advanced Entry'!AA39),'Advanced Entry'!AA39)))-'Advanced Entry'!AA$6)/('Advanced Entry'!AA$7-'Advanced Entry'!AA$6),10*((IF('Advanced Entry'!AA$5="Logarithm",LN(0.001+'Advanced Entry'!AA39),IF('Advanced Entry'!AA$5="Exponential",EXP('Advanced Entry'!AA39),'Advanced Entry'!AA39)))-'Advanced Entry'!AA$6)/('Advanced Entry'!AA$7-'Advanced Entry'!AA$6)),1))),"No data"))</f>
        <v/>
      </c>
      <c r="AB39" s="17">
        <f>IF('Advanced Entry'!AB39="","",IFERROR(MAX(0,MIN(10,ROUND(IF('Advanced Entry'!AB$8="Decrease Risk",10-10*((IF('Advanced Entry'!AB$5="Logarithm",LN(0.001+'Advanced Entry'!AB39),IF('Advanced Entry'!AB$5="Exponential",EXP('Advanced Entry'!AB39),'Advanced Entry'!AB39)))-'Advanced Entry'!AB$6)/('Advanced Entry'!AB$7-'Advanced Entry'!AB$6),10*((IF('Advanced Entry'!AB$5="Logarithm",LN(0.001+'Advanced Entry'!AB39),IF('Advanced Entry'!AB$5="Exponential",EXP('Advanced Entry'!AB39),'Advanced Entry'!AB39)))-'Advanced Entry'!AB$6)/('Advanced Entry'!AB$7-'Advanced Entry'!AB$6)),1))),"No data"))</f>
        <v/>
      </c>
    </row>
    <row r="40">
      <c r="A40" t="inlineStr">
        <is>
          <t>Iringa</t>
        </is>
      </c>
      <c r="B40" t="inlineStr">
        <is>
          <t>Mafinga Town</t>
        </is>
      </c>
      <c r="C40" t="inlineStr">
        <is>
          <t>C082</t>
        </is>
      </c>
      <c r="D40" s="17">
        <f>IF('Advanced Entry'!D40="","",IFERROR(MAX(0,MIN(10,ROUND(IF('Advanced Entry'!D$8="Decrease Risk",10-10*((IF('Advanced Entry'!D$5="Logarithm",LN(0.001+'Advanced Entry'!D40),IF('Advanced Entry'!D$5="Exponential",EXP('Advanced Entry'!D40),'Advanced Entry'!D40)))-'Advanced Entry'!D$6)/('Advanced Entry'!D$7-'Advanced Entry'!D$6),10*((IF('Advanced Entry'!D$5="Logarithm",LN(0.001+'Advanced Entry'!D40),IF('Advanced Entry'!D$5="Exponential",EXP('Advanced Entry'!D40),'Advanced Entry'!D40)))-'Advanced Entry'!D$6)/('Advanced Entry'!D$7-'Advanced Entry'!D$6)),1))),"No data"))</f>
        <v/>
      </c>
      <c r="E40" s="17">
        <f>IF('Advanced Entry'!E40="","",IFERROR(MAX(0,MIN(10,ROUND(IF('Advanced Entry'!E$8="Decrease Risk",10-10*((IF('Advanced Entry'!E$5="Logarithm",LN(0.001+'Advanced Entry'!E40),IF('Advanced Entry'!E$5="Exponential",EXP('Advanced Entry'!E40),'Advanced Entry'!E40)))-'Advanced Entry'!E$6)/('Advanced Entry'!E$7-'Advanced Entry'!E$6),10*((IF('Advanced Entry'!E$5="Logarithm",LN(0.001+'Advanced Entry'!E40),IF('Advanced Entry'!E$5="Exponential",EXP('Advanced Entry'!E40),'Advanced Entry'!E40)))-'Advanced Entry'!E$6)/('Advanced Entry'!E$7-'Advanced Entry'!E$6)),1))),"No data"))</f>
        <v/>
      </c>
      <c r="F40" s="17">
        <f>IF('Advanced Entry'!F40="","",IFERROR(MAX(0,MIN(10,ROUND(IF('Advanced Entry'!F$8="Decrease Risk",10-10*((IF('Advanced Entry'!F$5="Logarithm",LN(0.001+'Advanced Entry'!F40),IF('Advanced Entry'!F$5="Exponential",EXP('Advanced Entry'!F40),'Advanced Entry'!F40)))-'Advanced Entry'!F$6)/('Advanced Entry'!F$7-'Advanced Entry'!F$6),10*((IF('Advanced Entry'!F$5="Logarithm",LN(0.001+'Advanced Entry'!F40),IF('Advanced Entry'!F$5="Exponential",EXP('Advanced Entry'!F40),'Advanced Entry'!F40)))-'Advanced Entry'!F$6)/('Advanced Entry'!F$7-'Advanced Entry'!F$6)),1))),"No data"))</f>
        <v/>
      </c>
      <c r="G40" s="17">
        <f>IF('Advanced Entry'!G40="","",IFERROR(MAX(0,MIN(10,ROUND(IF('Advanced Entry'!G$8="Decrease Risk",10-10*((IF('Advanced Entry'!G$5="Logarithm",LN(0.001+'Advanced Entry'!G40),IF('Advanced Entry'!G$5="Exponential",EXP('Advanced Entry'!G40),'Advanced Entry'!G40)))-'Advanced Entry'!G$6)/('Advanced Entry'!G$7-'Advanced Entry'!G$6),10*((IF('Advanced Entry'!G$5="Logarithm",LN(0.001+'Advanced Entry'!G40),IF('Advanced Entry'!G$5="Exponential",EXP('Advanced Entry'!G40),'Advanced Entry'!G40)))-'Advanced Entry'!G$6)/('Advanced Entry'!G$7-'Advanced Entry'!G$6)),1))),"No data"))</f>
        <v/>
      </c>
      <c r="H40" s="17">
        <f>IF('Advanced Entry'!H40="","",IFERROR(MAX(0,MIN(10,ROUND(IF('Advanced Entry'!H$8="Decrease Risk",10-10*((IF('Advanced Entry'!H$5="Logarithm",LN(0.001+'Advanced Entry'!H40),IF('Advanced Entry'!H$5="Exponential",EXP('Advanced Entry'!H40),'Advanced Entry'!H40)))-'Advanced Entry'!H$6)/('Advanced Entry'!H$7-'Advanced Entry'!H$6),10*((IF('Advanced Entry'!H$5="Logarithm",LN(0.001+'Advanced Entry'!H40),IF('Advanced Entry'!H$5="Exponential",EXP('Advanced Entry'!H40),'Advanced Entry'!H40)))-'Advanced Entry'!H$6)/('Advanced Entry'!H$7-'Advanced Entry'!H$6)),1))),"No data"))</f>
        <v/>
      </c>
      <c r="I40" s="17">
        <f>IF('Advanced Entry'!I40="","",IFERROR(MAX(0,MIN(10,ROUND(IF('Advanced Entry'!I$8="Decrease Risk",10-10*((IF('Advanced Entry'!I$5="Logarithm",LN(0.001+'Advanced Entry'!I40),IF('Advanced Entry'!I$5="Exponential",EXP('Advanced Entry'!I40),'Advanced Entry'!I40)))-'Advanced Entry'!I$6)/('Advanced Entry'!I$7-'Advanced Entry'!I$6),10*((IF('Advanced Entry'!I$5="Logarithm",LN(0.001+'Advanced Entry'!I40),IF('Advanced Entry'!I$5="Exponential",EXP('Advanced Entry'!I40),'Advanced Entry'!I40)))-'Advanced Entry'!I$6)/('Advanced Entry'!I$7-'Advanced Entry'!I$6)),1))),"No data"))</f>
        <v/>
      </c>
      <c r="J40" s="17">
        <f>IF('Advanced Entry'!J40="","",IFERROR(MAX(0,MIN(10,ROUND(IF('Advanced Entry'!J$8="Decrease Risk",10-10*((IF('Advanced Entry'!J$5="Logarithm",LN(0.001+'Advanced Entry'!J40),IF('Advanced Entry'!J$5="Exponential",EXP('Advanced Entry'!J40),'Advanced Entry'!J40)))-'Advanced Entry'!J$6)/('Advanced Entry'!J$7-'Advanced Entry'!J$6),10*((IF('Advanced Entry'!J$5="Logarithm",LN(0.001+'Advanced Entry'!J40),IF('Advanced Entry'!J$5="Exponential",EXP('Advanced Entry'!J40),'Advanced Entry'!J40)))-'Advanced Entry'!J$6)/('Advanced Entry'!J$7-'Advanced Entry'!J$6)),1))),"No data"))</f>
        <v/>
      </c>
      <c r="K40" s="17">
        <f>IF('Advanced Entry'!K40="","",IFERROR(MAX(0,MIN(10,ROUND(IF('Advanced Entry'!K$8="Decrease Risk",10-10*((IF('Advanced Entry'!K$5="Logarithm",LN(0.001+'Advanced Entry'!K40),IF('Advanced Entry'!K$5="Exponential",EXP('Advanced Entry'!K40),'Advanced Entry'!K40)))-'Advanced Entry'!K$6)/('Advanced Entry'!K$7-'Advanced Entry'!K$6),10*((IF('Advanced Entry'!K$5="Logarithm",LN(0.001+'Advanced Entry'!K40),IF('Advanced Entry'!K$5="Exponential",EXP('Advanced Entry'!K40),'Advanced Entry'!K40)))-'Advanced Entry'!K$6)/('Advanced Entry'!K$7-'Advanced Entry'!K$6)),1))),"No data"))</f>
        <v/>
      </c>
      <c r="L40" s="17">
        <f>IF('Advanced Entry'!L40="","",IFERROR(MAX(0,MIN(10,ROUND(IF('Advanced Entry'!L$8="Decrease Risk",10-10*((IF('Advanced Entry'!L$5="Logarithm",LN(0.001+'Advanced Entry'!L40),IF('Advanced Entry'!L$5="Exponential",EXP('Advanced Entry'!L40),'Advanced Entry'!L40)))-'Advanced Entry'!L$6)/('Advanced Entry'!L$7-'Advanced Entry'!L$6),10*((IF('Advanced Entry'!L$5="Logarithm",LN(0.001+'Advanced Entry'!L40),IF('Advanced Entry'!L$5="Exponential",EXP('Advanced Entry'!L40),'Advanced Entry'!L40)))-'Advanced Entry'!L$6)/('Advanced Entry'!L$7-'Advanced Entry'!L$6)),1))),"No data"))</f>
        <v/>
      </c>
      <c r="M40" s="17">
        <f>IF('Advanced Entry'!M40="","",IFERROR(MAX(0,MIN(10,ROUND(IF('Advanced Entry'!M$8="Decrease Risk",10-10*((IF('Advanced Entry'!M$5="Logarithm",LN(0.001+'Advanced Entry'!M40),IF('Advanced Entry'!M$5="Exponential",EXP('Advanced Entry'!M40),'Advanced Entry'!M40)))-'Advanced Entry'!M$6)/('Advanced Entry'!M$7-'Advanced Entry'!M$6),10*((IF('Advanced Entry'!M$5="Logarithm",LN(0.001+'Advanced Entry'!M40),IF('Advanced Entry'!M$5="Exponential",EXP('Advanced Entry'!M40),'Advanced Entry'!M40)))-'Advanced Entry'!M$6)/('Advanced Entry'!M$7-'Advanced Entry'!M$6)),1))),"No data"))</f>
        <v/>
      </c>
      <c r="N40" s="17">
        <f>IF('Advanced Entry'!N40="","",IFERROR(MAX(0,MIN(10,ROUND(IF('Advanced Entry'!N$8="Decrease Risk",10-10*((IF('Advanced Entry'!N$5="Logarithm",LN(0.001+'Advanced Entry'!N40),IF('Advanced Entry'!N$5="Exponential",EXP('Advanced Entry'!N40),'Advanced Entry'!N40)))-'Advanced Entry'!N$6)/('Advanced Entry'!N$7-'Advanced Entry'!N$6),10*((IF('Advanced Entry'!N$5="Logarithm",LN(0.001+'Advanced Entry'!N40),IF('Advanced Entry'!N$5="Exponential",EXP('Advanced Entry'!N40),'Advanced Entry'!N40)))-'Advanced Entry'!N$6)/('Advanced Entry'!N$7-'Advanced Entry'!N$6)),1))),"No data"))</f>
        <v/>
      </c>
      <c r="O40" s="17">
        <f>IF('Advanced Entry'!O40="","",IFERROR(MAX(0,MIN(10,ROUND(IF('Advanced Entry'!O$8="Decrease Risk",10-10*((IF('Advanced Entry'!O$5="Logarithm",LN(0.001+'Advanced Entry'!O40),IF('Advanced Entry'!O$5="Exponential",EXP('Advanced Entry'!O40),'Advanced Entry'!O40)))-'Advanced Entry'!O$6)/('Advanced Entry'!O$7-'Advanced Entry'!O$6),10*((IF('Advanced Entry'!O$5="Logarithm",LN(0.001+'Advanced Entry'!O40),IF('Advanced Entry'!O$5="Exponential",EXP('Advanced Entry'!O40),'Advanced Entry'!O40)))-'Advanced Entry'!O$6)/('Advanced Entry'!O$7-'Advanced Entry'!O$6)),1))),"No data"))</f>
        <v/>
      </c>
      <c r="P40" s="17">
        <f>IF('Advanced Entry'!P40="","",IFERROR(MAX(0,MIN(10,ROUND(IF('Advanced Entry'!P$8="Decrease Risk",10-10*((IF('Advanced Entry'!P$5="Logarithm",LN(0.001+'Advanced Entry'!P40),IF('Advanced Entry'!P$5="Exponential",EXP('Advanced Entry'!P40),'Advanced Entry'!P40)))-'Advanced Entry'!P$6)/('Advanced Entry'!P$7-'Advanced Entry'!P$6),10*((IF('Advanced Entry'!P$5="Logarithm",LN(0.001+'Advanced Entry'!P40),IF('Advanced Entry'!P$5="Exponential",EXP('Advanced Entry'!P40),'Advanced Entry'!P40)))-'Advanced Entry'!P$6)/('Advanced Entry'!P$7-'Advanced Entry'!P$6)),1))),"No data"))</f>
        <v/>
      </c>
      <c r="Q40" s="17">
        <f>IF('Advanced Entry'!Q40="","",IFERROR(MAX(0,MIN(10,ROUND(IF('Advanced Entry'!Q$8="Decrease Risk",10-10*((IF('Advanced Entry'!Q$5="Logarithm",LN(0.001+'Advanced Entry'!Q40),IF('Advanced Entry'!Q$5="Exponential",EXP('Advanced Entry'!Q40),'Advanced Entry'!Q40)))-'Advanced Entry'!Q$6)/('Advanced Entry'!Q$7-'Advanced Entry'!Q$6),10*((IF('Advanced Entry'!Q$5="Logarithm",LN(0.001+'Advanced Entry'!Q40),IF('Advanced Entry'!Q$5="Exponential",EXP('Advanced Entry'!Q40),'Advanced Entry'!Q40)))-'Advanced Entry'!Q$6)/('Advanced Entry'!Q$7-'Advanced Entry'!Q$6)),1))),"No data"))</f>
        <v/>
      </c>
      <c r="R40" s="17">
        <f>IF('Advanced Entry'!R40="","",IFERROR(MAX(0,MIN(10,ROUND(IF('Advanced Entry'!R$8="Decrease Risk",10-10*((IF('Advanced Entry'!R$5="Logarithm",LN(0.001+'Advanced Entry'!R40),IF('Advanced Entry'!R$5="Exponential",EXP('Advanced Entry'!R40),'Advanced Entry'!R40)))-'Advanced Entry'!R$6)/('Advanced Entry'!R$7-'Advanced Entry'!R$6),10*((IF('Advanced Entry'!R$5="Logarithm",LN(0.001+'Advanced Entry'!R40),IF('Advanced Entry'!R$5="Exponential",EXP('Advanced Entry'!R40),'Advanced Entry'!R40)))-'Advanced Entry'!R$6)/('Advanced Entry'!R$7-'Advanced Entry'!R$6)),1))),"No data"))</f>
        <v/>
      </c>
      <c r="S40" s="17">
        <f>IF('Advanced Entry'!S40="","",IFERROR(MAX(0,MIN(10,ROUND(IF('Advanced Entry'!S$8="Decrease Risk",10-10*((IF('Advanced Entry'!S$5="Logarithm",LN(0.001+'Advanced Entry'!S40),IF('Advanced Entry'!S$5="Exponential",EXP('Advanced Entry'!S40),'Advanced Entry'!S40)))-'Advanced Entry'!S$6)/('Advanced Entry'!S$7-'Advanced Entry'!S$6),10*((IF('Advanced Entry'!S$5="Logarithm",LN(0.001+'Advanced Entry'!S40),IF('Advanced Entry'!S$5="Exponential",EXP('Advanced Entry'!S40),'Advanced Entry'!S40)))-'Advanced Entry'!S$6)/('Advanced Entry'!S$7-'Advanced Entry'!S$6)),1))),"No data"))</f>
        <v/>
      </c>
      <c r="T40" s="17">
        <f>IF('Advanced Entry'!T40="","",IFERROR(MAX(0,MIN(10,ROUND(IF('Advanced Entry'!T$8="Decrease Risk",10-10*((IF('Advanced Entry'!T$5="Logarithm",LN(0.001+'Advanced Entry'!T40),IF('Advanced Entry'!T$5="Exponential",EXP('Advanced Entry'!T40),'Advanced Entry'!T40)))-'Advanced Entry'!T$6)/('Advanced Entry'!T$7-'Advanced Entry'!T$6),10*((IF('Advanced Entry'!T$5="Logarithm",LN(0.001+'Advanced Entry'!T40),IF('Advanced Entry'!T$5="Exponential",EXP('Advanced Entry'!T40),'Advanced Entry'!T40)))-'Advanced Entry'!T$6)/('Advanced Entry'!T$7-'Advanced Entry'!T$6)),1))),"No data"))</f>
        <v/>
      </c>
      <c r="U40" s="17">
        <f>IF('Advanced Entry'!U40="","",IFERROR(MAX(0,MIN(10,ROUND(IF('Advanced Entry'!U$8="Decrease Risk",10-10*((IF('Advanced Entry'!U$5="Logarithm",LN(0.001+'Advanced Entry'!U40),IF('Advanced Entry'!U$5="Exponential",EXP('Advanced Entry'!U40),'Advanced Entry'!U40)))-'Advanced Entry'!U$6)/('Advanced Entry'!U$7-'Advanced Entry'!U$6),10*((IF('Advanced Entry'!U$5="Logarithm",LN(0.001+'Advanced Entry'!U40),IF('Advanced Entry'!U$5="Exponential",EXP('Advanced Entry'!U40),'Advanced Entry'!U40)))-'Advanced Entry'!U$6)/('Advanced Entry'!U$7-'Advanced Entry'!U$6)),1))),"No data"))</f>
        <v/>
      </c>
      <c r="V40" s="17">
        <f>IF('Advanced Entry'!V40="","",IFERROR(MAX(0,MIN(10,ROUND(IF('Advanced Entry'!V$8="Decrease Risk",10-10*((IF('Advanced Entry'!V$5="Logarithm",LN(0.001+'Advanced Entry'!V40),IF('Advanced Entry'!V$5="Exponential",EXP('Advanced Entry'!V40),'Advanced Entry'!V40)))-'Advanced Entry'!V$6)/('Advanced Entry'!V$7-'Advanced Entry'!V$6),10*((IF('Advanced Entry'!V$5="Logarithm",LN(0.001+'Advanced Entry'!V40),IF('Advanced Entry'!V$5="Exponential",EXP('Advanced Entry'!V40),'Advanced Entry'!V40)))-'Advanced Entry'!V$6)/('Advanced Entry'!V$7-'Advanced Entry'!V$6)),1))),"No data"))</f>
        <v/>
      </c>
      <c r="W40" s="17">
        <f>IF('Advanced Entry'!W40="","",IFERROR(MAX(0,MIN(10,ROUND(IF('Advanced Entry'!W$8="Decrease Risk",10-10*((IF('Advanced Entry'!W$5="Logarithm",LN(0.001+'Advanced Entry'!W40),IF('Advanced Entry'!W$5="Exponential",EXP('Advanced Entry'!W40),'Advanced Entry'!W40)))-'Advanced Entry'!W$6)/('Advanced Entry'!W$7-'Advanced Entry'!W$6),10*((IF('Advanced Entry'!W$5="Logarithm",LN(0.001+'Advanced Entry'!W40),IF('Advanced Entry'!W$5="Exponential",EXP('Advanced Entry'!W40),'Advanced Entry'!W40)))-'Advanced Entry'!W$6)/('Advanced Entry'!W$7-'Advanced Entry'!W$6)),1))),"No data"))</f>
        <v/>
      </c>
      <c r="X40" s="17">
        <f>IF('Advanced Entry'!X40="","",IFERROR(MAX(0,MIN(10,ROUND(IF('Advanced Entry'!X$8="Decrease Risk",10-10*((IF('Advanced Entry'!X$5="Logarithm",LN(0.001+'Advanced Entry'!X40),IF('Advanced Entry'!X$5="Exponential",EXP('Advanced Entry'!X40),'Advanced Entry'!X40)))-'Advanced Entry'!X$6)/('Advanced Entry'!X$7-'Advanced Entry'!X$6),10*((IF('Advanced Entry'!X$5="Logarithm",LN(0.001+'Advanced Entry'!X40),IF('Advanced Entry'!X$5="Exponential",EXP('Advanced Entry'!X40),'Advanced Entry'!X40)))-'Advanced Entry'!X$6)/('Advanced Entry'!X$7-'Advanced Entry'!X$6)),1))),"No data"))</f>
        <v/>
      </c>
      <c r="Y40" s="17">
        <f>IF('Advanced Entry'!Y40="","",IFERROR(MAX(0,MIN(10,ROUND(IF('Advanced Entry'!Y$8="Decrease Risk",10-10*((IF('Advanced Entry'!Y$5="Logarithm",LN(0.001+'Advanced Entry'!Y40),IF('Advanced Entry'!Y$5="Exponential",EXP('Advanced Entry'!Y40),'Advanced Entry'!Y40)))-'Advanced Entry'!Y$6)/('Advanced Entry'!Y$7-'Advanced Entry'!Y$6),10*((IF('Advanced Entry'!Y$5="Logarithm",LN(0.001+'Advanced Entry'!Y40),IF('Advanced Entry'!Y$5="Exponential",EXP('Advanced Entry'!Y40),'Advanced Entry'!Y40)))-'Advanced Entry'!Y$6)/('Advanced Entry'!Y$7-'Advanced Entry'!Y$6)),1))),"No data"))</f>
        <v/>
      </c>
      <c r="Z40" s="17">
        <f>IF('Advanced Entry'!Z40="","",IFERROR(MAX(0,MIN(10,ROUND(IF('Advanced Entry'!Z$8="Decrease Risk",10-10*((IF('Advanced Entry'!Z$5="Logarithm",LN(0.001+'Advanced Entry'!Z40),IF('Advanced Entry'!Z$5="Exponential",EXP('Advanced Entry'!Z40),'Advanced Entry'!Z40)))-'Advanced Entry'!Z$6)/('Advanced Entry'!Z$7-'Advanced Entry'!Z$6),10*((IF('Advanced Entry'!Z$5="Logarithm",LN(0.001+'Advanced Entry'!Z40),IF('Advanced Entry'!Z$5="Exponential",EXP('Advanced Entry'!Z40),'Advanced Entry'!Z40)))-'Advanced Entry'!Z$6)/('Advanced Entry'!Z$7-'Advanced Entry'!Z$6)),1))),"No data"))</f>
        <v/>
      </c>
      <c r="AA40" s="17">
        <f>IF('Advanced Entry'!AA40="","",IFERROR(MAX(0,MIN(10,ROUND(IF('Advanced Entry'!AA$8="Decrease Risk",10-10*((IF('Advanced Entry'!AA$5="Logarithm",LN(0.001+'Advanced Entry'!AA40),IF('Advanced Entry'!AA$5="Exponential",EXP('Advanced Entry'!AA40),'Advanced Entry'!AA40)))-'Advanced Entry'!AA$6)/('Advanced Entry'!AA$7-'Advanced Entry'!AA$6),10*((IF('Advanced Entry'!AA$5="Logarithm",LN(0.001+'Advanced Entry'!AA40),IF('Advanced Entry'!AA$5="Exponential",EXP('Advanced Entry'!AA40),'Advanced Entry'!AA40)))-'Advanced Entry'!AA$6)/('Advanced Entry'!AA$7-'Advanced Entry'!AA$6)),1))),"No data"))</f>
        <v/>
      </c>
      <c r="AB40" s="17">
        <f>IF('Advanced Entry'!AB40="","",IFERROR(MAX(0,MIN(10,ROUND(IF('Advanced Entry'!AB$8="Decrease Risk",10-10*((IF('Advanced Entry'!AB$5="Logarithm",LN(0.001+'Advanced Entry'!AB40),IF('Advanced Entry'!AB$5="Exponential",EXP('Advanced Entry'!AB40),'Advanced Entry'!AB40)))-'Advanced Entry'!AB$6)/('Advanced Entry'!AB$7-'Advanced Entry'!AB$6),10*((IF('Advanced Entry'!AB$5="Logarithm",LN(0.001+'Advanced Entry'!AB40),IF('Advanced Entry'!AB$5="Exponential",EXP('Advanced Entry'!AB40),'Advanced Entry'!AB40)))-'Advanced Entry'!AB$6)/('Advanced Entry'!AB$7-'Advanced Entry'!AB$6)),1))),"No data"))</f>
        <v/>
      </c>
    </row>
    <row r="41">
      <c r="A41" t="inlineStr">
        <is>
          <t>Iringa</t>
        </is>
      </c>
      <c r="B41" t="inlineStr">
        <is>
          <t>Mufindi District</t>
        </is>
      </c>
      <c r="C41" t="inlineStr">
        <is>
          <t>C083</t>
        </is>
      </c>
      <c r="D41" s="17">
        <f>IF('Advanced Entry'!D41="","",IFERROR(MAX(0,MIN(10,ROUND(IF('Advanced Entry'!D$8="Decrease Risk",10-10*((IF('Advanced Entry'!D$5="Logarithm",LN(0.001+'Advanced Entry'!D41),IF('Advanced Entry'!D$5="Exponential",EXP('Advanced Entry'!D41),'Advanced Entry'!D41)))-'Advanced Entry'!D$6)/('Advanced Entry'!D$7-'Advanced Entry'!D$6),10*((IF('Advanced Entry'!D$5="Logarithm",LN(0.001+'Advanced Entry'!D41),IF('Advanced Entry'!D$5="Exponential",EXP('Advanced Entry'!D41),'Advanced Entry'!D41)))-'Advanced Entry'!D$6)/('Advanced Entry'!D$7-'Advanced Entry'!D$6)),1))),"No data"))</f>
        <v/>
      </c>
      <c r="E41" s="17">
        <f>IF('Advanced Entry'!E41="","",IFERROR(MAX(0,MIN(10,ROUND(IF('Advanced Entry'!E$8="Decrease Risk",10-10*((IF('Advanced Entry'!E$5="Logarithm",LN(0.001+'Advanced Entry'!E41),IF('Advanced Entry'!E$5="Exponential",EXP('Advanced Entry'!E41),'Advanced Entry'!E41)))-'Advanced Entry'!E$6)/('Advanced Entry'!E$7-'Advanced Entry'!E$6),10*((IF('Advanced Entry'!E$5="Logarithm",LN(0.001+'Advanced Entry'!E41),IF('Advanced Entry'!E$5="Exponential",EXP('Advanced Entry'!E41),'Advanced Entry'!E41)))-'Advanced Entry'!E$6)/('Advanced Entry'!E$7-'Advanced Entry'!E$6)),1))),"No data"))</f>
        <v/>
      </c>
      <c r="F41" s="17">
        <f>IF('Advanced Entry'!F41="","",IFERROR(MAX(0,MIN(10,ROUND(IF('Advanced Entry'!F$8="Decrease Risk",10-10*((IF('Advanced Entry'!F$5="Logarithm",LN(0.001+'Advanced Entry'!F41),IF('Advanced Entry'!F$5="Exponential",EXP('Advanced Entry'!F41),'Advanced Entry'!F41)))-'Advanced Entry'!F$6)/('Advanced Entry'!F$7-'Advanced Entry'!F$6),10*((IF('Advanced Entry'!F$5="Logarithm",LN(0.001+'Advanced Entry'!F41),IF('Advanced Entry'!F$5="Exponential",EXP('Advanced Entry'!F41),'Advanced Entry'!F41)))-'Advanced Entry'!F$6)/('Advanced Entry'!F$7-'Advanced Entry'!F$6)),1))),"No data"))</f>
        <v/>
      </c>
      <c r="G41" s="17">
        <f>IF('Advanced Entry'!G41="","",IFERROR(MAX(0,MIN(10,ROUND(IF('Advanced Entry'!G$8="Decrease Risk",10-10*((IF('Advanced Entry'!G$5="Logarithm",LN(0.001+'Advanced Entry'!G41),IF('Advanced Entry'!G$5="Exponential",EXP('Advanced Entry'!G41),'Advanced Entry'!G41)))-'Advanced Entry'!G$6)/('Advanced Entry'!G$7-'Advanced Entry'!G$6),10*((IF('Advanced Entry'!G$5="Logarithm",LN(0.001+'Advanced Entry'!G41),IF('Advanced Entry'!G$5="Exponential",EXP('Advanced Entry'!G41),'Advanced Entry'!G41)))-'Advanced Entry'!G$6)/('Advanced Entry'!G$7-'Advanced Entry'!G$6)),1))),"No data"))</f>
        <v/>
      </c>
      <c r="H41" s="17">
        <f>IF('Advanced Entry'!H41="","",IFERROR(MAX(0,MIN(10,ROUND(IF('Advanced Entry'!H$8="Decrease Risk",10-10*((IF('Advanced Entry'!H$5="Logarithm",LN(0.001+'Advanced Entry'!H41),IF('Advanced Entry'!H$5="Exponential",EXP('Advanced Entry'!H41),'Advanced Entry'!H41)))-'Advanced Entry'!H$6)/('Advanced Entry'!H$7-'Advanced Entry'!H$6),10*((IF('Advanced Entry'!H$5="Logarithm",LN(0.001+'Advanced Entry'!H41),IF('Advanced Entry'!H$5="Exponential",EXP('Advanced Entry'!H41),'Advanced Entry'!H41)))-'Advanced Entry'!H$6)/('Advanced Entry'!H$7-'Advanced Entry'!H$6)),1))),"No data"))</f>
        <v/>
      </c>
      <c r="I41" s="17">
        <f>IF('Advanced Entry'!I41="","",IFERROR(MAX(0,MIN(10,ROUND(IF('Advanced Entry'!I$8="Decrease Risk",10-10*((IF('Advanced Entry'!I$5="Logarithm",LN(0.001+'Advanced Entry'!I41),IF('Advanced Entry'!I$5="Exponential",EXP('Advanced Entry'!I41),'Advanced Entry'!I41)))-'Advanced Entry'!I$6)/('Advanced Entry'!I$7-'Advanced Entry'!I$6),10*((IF('Advanced Entry'!I$5="Logarithm",LN(0.001+'Advanced Entry'!I41),IF('Advanced Entry'!I$5="Exponential",EXP('Advanced Entry'!I41),'Advanced Entry'!I41)))-'Advanced Entry'!I$6)/('Advanced Entry'!I$7-'Advanced Entry'!I$6)),1))),"No data"))</f>
        <v/>
      </c>
      <c r="J41" s="17">
        <f>IF('Advanced Entry'!J41="","",IFERROR(MAX(0,MIN(10,ROUND(IF('Advanced Entry'!J$8="Decrease Risk",10-10*((IF('Advanced Entry'!J$5="Logarithm",LN(0.001+'Advanced Entry'!J41),IF('Advanced Entry'!J$5="Exponential",EXP('Advanced Entry'!J41),'Advanced Entry'!J41)))-'Advanced Entry'!J$6)/('Advanced Entry'!J$7-'Advanced Entry'!J$6),10*((IF('Advanced Entry'!J$5="Logarithm",LN(0.001+'Advanced Entry'!J41),IF('Advanced Entry'!J$5="Exponential",EXP('Advanced Entry'!J41),'Advanced Entry'!J41)))-'Advanced Entry'!J$6)/('Advanced Entry'!J$7-'Advanced Entry'!J$6)),1))),"No data"))</f>
        <v/>
      </c>
      <c r="K41" s="17">
        <f>IF('Advanced Entry'!K41="","",IFERROR(MAX(0,MIN(10,ROUND(IF('Advanced Entry'!K$8="Decrease Risk",10-10*((IF('Advanced Entry'!K$5="Logarithm",LN(0.001+'Advanced Entry'!K41),IF('Advanced Entry'!K$5="Exponential",EXP('Advanced Entry'!K41),'Advanced Entry'!K41)))-'Advanced Entry'!K$6)/('Advanced Entry'!K$7-'Advanced Entry'!K$6),10*((IF('Advanced Entry'!K$5="Logarithm",LN(0.001+'Advanced Entry'!K41),IF('Advanced Entry'!K$5="Exponential",EXP('Advanced Entry'!K41),'Advanced Entry'!K41)))-'Advanced Entry'!K$6)/('Advanced Entry'!K$7-'Advanced Entry'!K$6)),1))),"No data"))</f>
        <v/>
      </c>
      <c r="L41" s="17">
        <f>IF('Advanced Entry'!L41="","",IFERROR(MAX(0,MIN(10,ROUND(IF('Advanced Entry'!L$8="Decrease Risk",10-10*((IF('Advanced Entry'!L$5="Logarithm",LN(0.001+'Advanced Entry'!L41),IF('Advanced Entry'!L$5="Exponential",EXP('Advanced Entry'!L41),'Advanced Entry'!L41)))-'Advanced Entry'!L$6)/('Advanced Entry'!L$7-'Advanced Entry'!L$6),10*((IF('Advanced Entry'!L$5="Logarithm",LN(0.001+'Advanced Entry'!L41),IF('Advanced Entry'!L$5="Exponential",EXP('Advanced Entry'!L41),'Advanced Entry'!L41)))-'Advanced Entry'!L$6)/('Advanced Entry'!L$7-'Advanced Entry'!L$6)),1))),"No data"))</f>
        <v/>
      </c>
      <c r="M41" s="17">
        <f>IF('Advanced Entry'!M41="","",IFERROR(MAX(0,MIN(10,ROUND(IF('Advanced Entry'!M$8="Decrease Risk",10-10*((IF('Advanced Entry'!M$5="Logarithm",LN(0.001+'Advanced Entry'!M41),IF('Advanced Entry'!M$5="Exponential",EXP('Advanced Entry'!M41),'Advanced Entry'!M41)))-'Advanced Entry'!M$6)/('Advanced Entry'!M$7-'Advanced Entry'!M$6),10*((IF('Advanced Entry'!M$5="Logarithm",LN(0.001+'Advanced Entry'!M41),IF('Advanced Entry'!M$5="Exponential",EXP('Advanced Entry'!M41),'Advanced Entry'!M41)))-'Advanced Entry'!M$6)/('Advanced Entry'!M$7-'Advanced Entry'!M$6)),1))),"No data"))</f>
        <v/>
      </c>
      <c r="N41" s="17">
        <f>IF('Advanced Entry'!N41="","",IFERROR(MAX(0,MIN(10,ROUND(IF('Advanced Entry'!N$8="Decrease Risk",10-10*((IF('Advanced Entry'!N$5="Logarithm",LN(0.001+'Advanced Entry'!N41),IF('Advanced Entry'!N$5="Exponential",EXP('Advanced Entry'!N41),'Advanced Entry'!N41)))-'Advanced Entry'!N$6)/('Advanced Entry'!N$7-'Advanced Entry'!N$6),10*((IF('Advanced Entry'!N$5="Logarithm",LN(0.001+'Advanced Entry'!N41),IF('Advanced Entry'!N$5="Exponential",EXP('Advanced Entry'!N41),'Advanced Entry'!N41)))-'Advanced Entry'!N$6)/('Advanced Entry'!N$7-'Advanced Entry'!N$6)),1))),"No data"))</f>
        <v/>
      </c>
      <c r="O41" s="17">
        <f>IF('Advanced Entry'!O41="","",IFERROR(MAX(0,MIN(10,ROUND(IF('Advanced Entry'!O$8="Decrease Risk",10-10*((IF('Advanced Entry'!O$5="Logarithm",LN(0.001+'Advanced Entry'!O41),IF('Advanced Entry'!O$5="Exponential",EXP('Advanced Entry'!O41),'Advanced Entry'!O41)))-'Advanced Entry'!O$6)/('Advanced Entry'!O$7-'Advanced Entry'!O$6),10*((IF('Advanced Entry'!O$5="Logarithm",LN(0.001+'Advanced Entry'!O41),IF('Advanced Entry'!O$5="Exponential",EXP('Advanced Entry'!O41),'Advanced Entry'!O41)))-'Advanced Entry'!O$6)/('Advanced Entry'!O$7-'Advanced Entry'!O$6)),1))),"No data"))</f>
        <v/>
      </c>
      <c r="P41" s="17">
        <f>IF('Advanced Entry'!P41="","",IFERROR(MAX(0,MIN(10,ROUND(IF('Advanced Entry'!P$8="Decrease Risk",10-10*((IF('Advanced Entry'!P$5="Logarithm",LN(0.001+'Advanced Entry'!P41),IF('Advanced Entry'!P$5="Exponential",EXP('Advanced Entry'!P41),'Advanced Entry'!P41)))-'Advanced Entry'!P$6)/('Advanced Entry'!P$7-'Advanced Entry'!P$6),10*((IF('Advanced Entry'!P$5="Logarithm",LN(0.001+'Advanced Entry'!P41),IF('Advanced Entry'!P$5="Exponential",EXP('Advanced Entry'!P41),'Advanced Entry'!P41)))-'Advanced Entry'!P$6)/('Advanced Entry'!P$7-'Advanced Entry'!P$6)),1))),"No data"))</f>
        <v/>
      </c>
      <c r="Q41" s="17">
        <f>IF('Advanced Entry'!Q41="","",IFERROR(MAX(0,MIN(10,ROUND(IF('Advanced Entry'!Q$8="Decrease Risk",10-10*((IF('Advanced Entry'!Q$5="Logarithm",LN(0.001+'Advanced Entry'!Q41),IF('Advanced Entry'!Q$5="Exponential",EXP('Advanced Entry'!Q41),'Advanced Entry'!Q41)))-'Advanced Entry'!Q$6)/('Advanced Entry'!Q$7-'Advanced Entry'!Q$6),10*((IF('Advanced Entry'!Q$5="Logarithm",LN(0.001+'Advanced Entry'!Q41),IF('Advanced Entry'!Q$5="Exponential",EXP('Advanced Entry'!Q41),'Advanced Entry'!Q41)))-'Advanced Entry'!Q$6)/('Advanced Entry'!Q$7-'Advanced Entry'!Q$6)),1))),"No data"))</f>
        <v/>
      </c>
      <c r="R41" s="17">
        <f>IF('Advanced Entry'!R41="","",IFERROR(MAX(0,MIN(10,ROUND(IF('Advanced Entry'!R$8="Decrease Risk",10-10*((IF('Advanced Entry'!R$5="Logarithm",LN(0.001+'Advanced Entry'!R41),IF('Advanced Entry'!R$5="Exponential",EXP('Advanced Entry'!R41),'Advanced Entry'!R41)))-'Advanced Entry'!R$6)/('Advanced Entry'!R$7-'Advanced Entry'!R$6),10*((IF('Advanced Entry'!R$5="Logarithm",LN(0.001+'Advanced Entry'!R41),IF('Advanced Entry'!R$5="Exponential",EXP('Advanced Entry'!R41),'Advanced Entry'!R41)))-'Advanced Entry'!R$6)/('Advanced Entry'!R$7-'Advanced Entry'!R$6)),1))),"No data"))</f>
        <v/>
      </c>
      <c r="S41" s="17">
        <f>IF('Advanced Entry'!S41="","",IFERROR(MAX(0,MIN(10,ROUND(IF('Advanced Entry'!S$8="Decrease Risk",10-10*((IF('Advanced Entry'!S$5="Logarithm",LN(0.001+'Advanced Entry'!S41),IF('Advanced Entry'!S$5="Exponential",EXP('Advanced Entry'!S41),'Advanced Entry'!S41)))-'Advanced Entry'!S$6)/('Advanced Entry'!S$7-'Advanced Entry'!S$6),10*((IF('Advanced Entry'!S$5="Logarithm",LN(0.001+'Advanced Entry'!S41),IF('Advanced Entry'!S$5="Exponential",EXP('Advanced Entry'!S41),'Advanced Entry'!S41)))-'Advanced Entry'!S$6)/('Advanced Entry'!S$7-'Advanced Entry'!S$6)),1))),"No data"))</f>
        <v/>
      </c>
      <c r="T41" s="17">
        <f>IF('Advanced Entry'!T41="","",IFERROR(MAX(0,MIN(10,ROUND(IF('Advanced Entry'!T$8="Decrease Risk",10-10*((IF('Advanced Entry'!T$5="Logarithm",LN(0.001+'Advanced Entry'!T41),IF('Advanced Entry'!T$5="Exponential",EXP('Advanced Entry'!T41),'Advanced Entry'!T41)))-'Advanced Entry'!T$6)/('Advanced Entry'!T$7-'Advanced Entry'!T$6),10*((IF('Advanced Entry'!T$5="Logarithm",LN(0.001+'Advanced Entry'!T41),IF('Advanced Entry'!T$5="Exponential",EXP('Advanced Entry'!T41),'Advanced Entry'!T41)))-'Advanced Entry'!T$6)/('Advanced Entry'!T$7-'Advanced Entry'!T$6)),1))),"No data"))</f>
        <v/>
      </c>
      <c r="U41" s="17">
        <f>IF('Advanced Entry'!U41="","",IFERROR(MAX(0,MIN(10,ROUND(IF('Advanced Entry'!U$8="Decrease Risk",10-10*((IF('Advanced Entry'!U$5="Logarithm",LN(0.001+'Advanced Entry'!U41),IF('Advanced Entry'!U$5="Exponential",EXP('Advanced Entry'!U41),'Advanced Entry'!U41)))-'Advanced Entry'!U$6)/('Advanced Entry'!U$7-'Advanced Entry'!U$6),10*((IF('Advanced Entry'!U$5="Logarithm",LN(0.001+'Advanced Entry'!U41),IF('Advanced Entry'!U$5="Exponential",EXP('Advanced Entry'!U41),'Advanced Entry'!U41)))-'Advanced Entry'!U$6)/('Advanced Entry'!U$7-'Advanced Entry'!U$6)),1))),"No data"))</f>
        <v/>
      </c>
      <c r="V41" s="17">
        <f>IF('Advanced Entry'!V41="","",IFERROR(MAX(0,MIN(10,ROUND(IF('Advanced Entry'!V$8="Decrease Risk",10-10*((IF('Advanced Entry'!V$5="Logarithm",LN(0.001+'Advanced Entry'!V41),IF('Advanced Entry'!V$5="Exponential",EXP('Advanced Entry'!V41),'Advanced Entry'!V41)))-'Advanced Entry'!V$6)/('Advanced Entry'!V$7-'Advanced Entry'!V$6),10*((IF('Advanced Entry'!V$5="Logarithm",LN(0.001+'Advanced Entry'!V41),IF('Advanced Entry'!V$5="Exponential",EXP('Advanced Entry'!V41),'Advanced Entry'!V41)))-'Advanced Entry'!V$6)/('Advanced Entry'!V$7-'Advanced Entry'!V$6)),1))),"No data"))</f>
        <v/>
      </c>
      <c r="W41" s="17">
        <f>IF('Advanced Entry'!W41="","",IFERROR(MAX(0,MIN(10,ROUND(IF('Advanced Entry'!W$8="Decrease Risk",10-10*((IF('Advanced Entry'!W$5="Logarithm",LN(0.001+'Advanced Entry'!W41),IF('Advanced Entry'!W$5="Exponential",EXP('Advanced Entry'!W41),'Advanced Entry'!W41)))-'Advanced Entry'!W$6)/('Advanced Entry'!W$7-'Advanced Entry'!W$6),10*((IF('Advanced Entry'!W$5="Logarithm",LN(0.001+'Advanced Entry'!W41),IF('Advanced Entry'!W$5="Exponential",EXP('Advanced Entry'!W41),'Advanced Entry'!W41)))-'Advanced Entry'!W$6)/('Advanced Entry'!W$7-'Advanced Entry'!W$6)),1))),"No data"))</f>
        <v/>
      </c>
      <c r="X41" s="17">
        <f>IF('Advanced Entry'!X41="","",IFERROR(MAX(0,MIN(10,ROUND(IF('Advanced Entry'!X$8="Decrease Risk",10-10*((IF('Advanced Entry'!X$5="Logarithm",LN(0.001+'Advanced Entry'!X41),IF('Advanced Entry'!X$5="Exponential",EXP('Advanced Entry'!X41),'Advanced Entry'!X41)))-'Advanced Entry'!X$6)/('Advanced Entry'!X$7-'Advanced Entry'!X$6),10*((IF('Advanced Entry'!X$5="Logarithm",LN(0.001+'Advanced Entry'!X41),IF('Advanced Entry'!X$5="Exponential",EXP('Advanced Entry'!X41),'Advanced Entry'!X41)))-'Advanced Entry'!X$6)/('Advanced Entry'!X$7-'Advanced Entry'!X$6)),1))),"No data"))</f>
        <v/>
      </c>
      <c r="Y41" s="17">
        <f>IF('Advanced Entry'!Y41="","",IFERROR(MAX(0,MIN(10,ROUND(IF('Advanced Entry'!Y$8="Decrease Risk",10-10*((IF('Advanced Entry'!Y$5="Logarithm",LN(0.001+'Advanced Entry'!Y41),IF('Advanced Entry'!Y$5="Exponential",EXP('Advanced Entry'!Y41),'Advanced Entry'!Y41)))-'Advanced Entry'!Y$6)/('Advanced Entry'!Y$7-'Advanced Entry'!Y$6),10*((IF('Advanced Entry'!Y$5="Logarithm",LN(0.001+'Advanced Entry'!Y41),IF('Advanced Entry'!Y$5="Exponential",EXP('Advanced Entry'!Y41),'Advanced Entry'!Y41)))-'Advanced Entry'!Y$6)/('Advanced Entry'!Y$7-'Advanced Entry'!Y$6)),1))),"No data"))</f>
        <v/>
      </c>
      <c r="Z41" s="17">
        <f>IF('Advanced Entry'!Z41="","",IFERROR(MAX(0,MIN(10,ROUND(IF('Advanced Entry'!Z$8="Decrease Risk",10-10*((IF('Advanced Entry'!Z$5="Logarithm",LN(0.001+'Advanced Entry'!Z41),IF('Advanced Entry'!Z$5="Exponential",EXP('Advanced Entry'!Z41),'Advanced Entry'!Z41)))-'Advanced Entry'!Z$6)/('Advanced Entry'!Z$7-'Advanced Entry'!Z$6),10*((IF('Advanced Entry'!Z$5="Logarithm",LN(0.001+'Advanced Entry'!Z41),IF('Advanced Entry'!Z$5="Exponential",EXP('Advanced Entry'!Z41),'Advanced Entry'!Z41)))-'Advanced Entry'!Z$6)/('Advanced Entry'!Z$7-'Advanced Entry'!Z$6)),1))),"No data"))</f>
        <v/>
      </c>
      <c r="AA41" s="17">
        <f>IF('Advanced Entry'!AA41="","",IFERROR(MAX(0,MIN(10,ROUND(IF('Advanced Entry'!AA$8="Decrease Risk",10-10*((IF('Advanced Entry'!AA$5="Logarithm",LN(0.001+'Advanced Entry'!AA41),IF('Advanced Entry'!AA$5="Exponential",EXP('Advanced Entry'!AA41),'Advanced Entry'!AA41)))-'Advanced Entry'!AA$6)/('Advanced Entry'!AA$7-'Advanced Entry'!AA$6),10*((IF('Advanced Entry'!AA$5="Logarithm",LN(0.001+'Advanced Entry'!AA41),IF('Advanced Entry'!AA$5="Exponential",EXP('Advanced Entry'!AA41),'Advanced Entry'!AA41)))-'Advanced Entry'!AA$6)/('Advanced Entry'!AA$7-'Advanced Entry'!AA$6)),1))),"No data"))</f>
        <v/>
      </c>
      <c r="AB41" s="17">
        <f>IF('Advanced Entry'!AB41="","",IFERROR(MAX(0,MIN(10,ROUND(IF('Advanced Entry'!AB$8="Decrease Risk",10-10*((IF('Advanced Entry'!AB$5="Logarithm",LN(0.001+'Advanced Entry'!AB41),IF('Advanced Entry'!AB$5="Exponential",EXP('Advanced Entry'!AB41),'Advanced Entry'!AB41)))-'Advanced Entry'!AB$6)/('Advanced Entry'!AB$7-'Advanced Entry'!AB$6),10*((IF('Advanced Entry'!AB$5="Logarithm",LN(0.001+'Advanced Entry'!AB41),IF('Advanced Entry'!AB$5="Exponential",EXP('Advanced Entry'!AB41),'Advanced Entry'!AB41)))-'Advanced Entry'!AB$6)/('Advanced Entry'!AB$7-'Advanced Entry'!AB$6)),1))),"No data"))</f>
        <v/>
      </c>
    </row>
    <row r="42">
      <c r="A42" t="inlineStr">
        <is>
          <t>Kagera</t>
        </is>
      </c>
      <c r="B42" t="inlineStr">
        <is>
          <t>Biharamulo District</t>
        </is>
      </c>
      <c r="C42" t="inlineStr">
        <is>
          <t>C129</t>
        </is>
      </c>
      <c r="D42" s="17">
        <f>IF('Advanced Entry'!D42="","",IFERROR(MAX(0,MIN(10,ROUND(IF('Advanced Entry'!D$8="Decrease Risk",10-10*((IF('Advanced Entry'!D$5="Logarithm",LN(0.001+'Advanced Entry'!D42),IF('Advanced Entry'!D$5="Exponential",EXP('Advanced Entry'!D42),'Advanced Entry'!D42)))-'Advanced Entry'!D$6)/('Advanced Entry'!D$7-'Advanced Entry'!D$6),10*((IF('Advanced Entry'!D$5="Logarithm",LN(0.001+'Advanced Entry'!D42),IF('Advanced Entry'!D$5="Exponential",EXP('Advanced Entry'!D42),'Advanced Entry'!D42)))-'Advanced Entry'!D$6)/('Advanced Entry'!D$7-'Advanced Entry'!D$6)),1))),"No data"))</f>
        <v/>
      </c>
      <c r="E42" s="17">
        <f>IF('Advanced Entry'!E42="","",IFERROR(MAX(0,MIN(10,ROUND(IF('Advanced Entry'!E$8="Decrease Risk",10-10*((IF('Advanced Entry'!E$5="Logarithm",LN(0.001+'Advanced Entry'!E42),IF('Advanced Entry'!E$5="Exponential",EXP('Advanced Entry'!E42),'Advanced Entry'!E42)))-'Advanced Entry'!E$6)/('Advanced Entry'!E$7-'Advanced Entry'!E$6),10*((IF('Advanced Entry'!E$5="Logarithm",LN(0.001+'Advanced Entry'!E42),IF('Advanced Entry'!E$5="Exponential",EXP('Advanced Entry'!E42),'Advanced Entry'!E42)))-'Advanced Entry'!E$6)/('Advanced Entry'!E$7-'Advanced Entry'!E$6)),1))),"No data"))</f>
        <v/>
      </c>
      <c r="F42" s="17">
        <f>IF('Advanced Entry'!F42="","",IFERROR(MAX(0,MIN(10,ROUND(IF('Advanced Entry'!F$8="Decrease Risk",10-10*((IF('Advanced Entry'!F$5="Logarithm",LN(0.001+'Advanced Entry'!F42),IF('Advanced Entry'!F$5="Exponential",EXP('Advanced Entry'!F42),'Advanced Entry'!F42)))-'Advanced Entry'!F$6)/('Advanced Entry'!F$7-'Advanced Entry'!F$6),10*((IF('Advanced Entry'!F$5="Logarithm",LN(0.001+'Advanced Entry'!F42),IF('Advanced Entry'!F$5="Exponential",EXP('Advanced Entry'!F42),'Advanced Entry'!F42)))-'Advanced Entry'!F$6)/('Advanced Entry'!F$7-'Advanced Entry'!F$6)),1))),"No data"))</f>
        <v/>
      </c>
      <c r="G42" s="17">
        <f>IF('Advanced Entry'!G42="","",IFERROR(MAX(0,MIN(10,ROUND(IF('Advanced Entry'!G$8="Decrease Risk",10-10*((IF('Advanced Entry'!G$5="Logarithm",LN(0.001+'Advanced Entry'!G42),IF('Advanced Entry'!G$5="Exponential",EXP('Advanced Entry'!G42),'Advanced Entry'!G42)))-'Advanced Entry'!G$6)/('Advanced Entry'!G$7-'Advanced Entry'!G$6),10*((IF('Advanced Entry'!G$5="Logarithm",LN(0.001+'Advanced Entry'!G42),IF('Advanced Entry'!G$5="Exponential",EXP('Advanced Entry'!G42),'Advanced Entry'!G42)))-'Advanced Entry'!G$6)/('Advanced Entry'!G$7-'Advanced Entry'!G$6)),1))),"No data"))</f>
        <v/>
      </c>
      <c r="H42" s="17">
        <f>IF('Advanced Entry'!H42="","",IFERROR(MAX(0,MIN(10,ROUND(IF('Advanced Entry'!H$8="Decrease Risk",10-10*((IF('Advanced Entry'!H$5="Logarithm",LN(0.001+'Advanced Entry'!H42),IF('Advanced Entry'!H$5="Exponential",EXP('Advanced Entry'!H42),'Advanced Entry'!H42)))-'Advanced Entry'!H$6)/('Advanced Entry'!H$7-'Advanced Entry'!H$6),10*((IF('Advanced Entry'!H$5="Logarithm",LN(0.001+'Advanced Entry'!H42),IF('Advanced Entry'!H$5="Exponential",EXP('Advanced Entry'!H42),'Advanced Entry'!H42)))-'Advanced Entry'!H$6)/('Advanced Entry'!H$7-'Advanced Entry'!H$6)),1))),"No data"))</f>
        <v/>
      </c>
      <c r="I42" s="17">
        <f>IF('Advanced Entry'!I42="","",IFERROR(MAX(0,MIN(10,ROUND(IF('Advanced Entry'!I$8="Decrease Risk",10-10*((IF('Advanced Entry'!I$5="Logarithm",LN(0.001+'Advanced Entry'!I42),IF('Advanced Entry'!I$5="Exponential",EXP('Advanced Entry'!I42),'Advanced Entry'!I42)))-'Advanced Entry'!I$6)/('Advanced Entry'!I$7-'Advanced Entry'!I$6),10*((IF('Advanced Entry'!I$5="Logarithm",LN(0.001+'Advanced Entry'!I42),IF('Advanced Entry'!I$5="Exponential",EXP('Advanced Entry'!I42),'Advanced Entry'!I42)))-'Advanced Entry'!I$6)/('Advanced Entry'!I$7-'Advanced Entry'!I$6)),1))),"No data"))</f>
        <v/>
      </c>
      <c r="J42" s="17">
        <f>IF('Advanced Entry'!J42="","",IFERROR(MAX(0,MIN(10,ROUND(IF('Advanced Entry'!J$8="Decrease Risk",10-10*((IF('Advanced Entry'!J$5="Logarithm",LN(0.001+'Advanced Entry'!J42),IF('Advanced Entry'!J$5="Exponential",EXP('Advanced Entry'!J42),'Advanced Entry'!J42)))-'Advanced Entry'!J$6)/('Advanced Entry'!J$7-'Advanced Entry'!J$6),10*((IF('Advanced Entry'!J$5="Logarithm",LN(0.001+'Advanced Entry'!J42),IF('Advanced Entry'!J$5="Exponential",EXP('Advanced Entry'!J42),'Advanced Entry'!J42)))-'Advanced Entry'!J$6)/('Advanced Entry'!J$7-'Advanced Entry'!J$6)),1))),"No data"))</f>
        <v/>
      </c>
      <c r="K42" s="17">
        <f>IF('Advanced Entry'!K42="","",IFERROR(MAX(0,MIN(10,ROUND(IF('Advanced Entry'!K$8="Decrease Risk",10-10*((IF('Advanced Entry'!K$5="Logarithm",LN(0.001+'Advanced Entry'!K42),IF('Advanced Entry'!K$5="Exponential",EXP('Advanced Entry'!K42),'Advanced Entry'!K42)))-'Advanced Entry'!K$6)/('Advanced Entry'!K$7-'Advanced Entry'!K$6),10*((IF('Advanced Entry'!K$5="Logarithm",LN(0.001+'Advanced Entry'!K42),IF('Advanced Entry'!K$5="Exponential",EXP('Advanced Entry'!K42),'Advanced Entry'!K42)))-'Advanced Entry'!K$6)/('Advanced Entry'!K$7-'Advanced Entry'!K$6)),1))),"No data"))</f>
        <v/>
      </c>
      <c r="L42" s="17">
        <f>IF('Advanced Entry'!L42="","",IFERROR(MAX(0,MIN(10,ROUND(IF('Advanced Entry'!L$8="Decrease Risk",10-10*((IF('Advanced Entry'!L$5="Logarithm",LN(0.001+'Advanced Entry'!L42),IF('Advanced Entry'!L$5="Exponential",EXP('Advanced Entry'!L42),'Advanced Entry'!L42)))-'Advanced Entry'!L$6)/('Advanced Entry'!L$7-'Advanced Entry'!L$6),10*((IF('Advanced Entry'!L$5="Logarithm",LN(0.001+'Advanced Entry'!L42),IF('Advanced Entry'!L$5="Exponential",EXP('Advanced Entry'!L42),'Advanced Entry'!L42)))-'Advanced Entry'!L$6)/('Advanced Entry'!L$7-'Advanced Entry'!L$6)),1))),"No data"))</f>
        <v/>
      </c>
      <c r="M42" s="17">
        <f>IF('Advanced Entry'!M42="","",IFERROR(MAX(0,MIN(10,ROUND(IF('Advanced Entry'!M$8="Decrease Risk",10-10*((IF('Advanced Entry'!M$5="Logarithm",LN(0.001+'Advanced Entry'!M42),IF('Advanced Entry'!M$5="Exponential",EXP('Advanced Entry'!M42),'Advanced Entry'!M42)))-'Advanced Entry'!M$6)/('Advanced Entry'!M$7-'Advanced Entry'!M$6),10*((IF('Advanced Entry'!M$5="Logarithm",LN(0.001+'Advanced Entry'!M42),IF('Advanced Entry'!M$5="Exponential",EXP('Advanced Entry'!M42),'Advanced Entry'!M42)))-'Advanced Entry'!M$6)/('Advanced Entry'!M$7-'Advanced Entry'!M$6)),1))),"No data"))</f>
        <v/>
      </c>
      <c r="N42" s="17">
        <f>IF('Advanced Entry'!N42="","",IFERROR(MAX(0,MIN(10,ROUND(IF('Advanced Entry'!N$8="Decrease Risk",10-10*((IF('Advanced Entry'!N$5="Logarithm",LN(0.001+'Advanced Entry'!N42),IF('Advanced Entry'!N$5="Exponential",EXP('Advanced Entry'!N42),'Advanced Entry'!N42)))-'Advanced Entry'!N$6)/('Advanced Entry'!N$7-'Advanced Entry'!N$6),10*((IF('Advanced Entry'!N$5="Logarithm",LN(0.001+'Advanced Entry'!N42),IF('Advanced Entry'!N$5="Exponential",EXP('Advanced Entry'!N42),'Advanced Entry'!N42)))-'Advanced Entry'!N$6)/('Advanced Entry'!N$7-'Advanced Entry'!N$6)),1))),"No data"))</f>
        <v/>
      </c>
      <c r="O42" s="17">
        <f>IF('Advanced Entry'!O42="","",IFERROR(MAX(0,MIN(10,ROUND(IF('Advanced Entry'!O$8="Decrease Risk",10-10*((IF('Advanced Entry'!O$5="Logarithm",LN(0.001+'Advanced Entry'!O42),IF('Advanced Entry'!O$5="Exponential",EXP('Advanced Entry'!O42),'Advanced Entry'!O42)))-'Advanced Entry'!O$6)/('Advanced Entry'!O$7-'Advanced Entry'!O$6),10*((IF('Advanced Entry'!O$5="Logarithm",LN(0.001+'Advanced Entry'!O42),IF('Advanced Entry'!O$5="Exponential",EXP('Advanced Entry'!O42),'Advanced Entry'!O42)))-'Advanced Entry'!O$6)/('Advanced Entry'!O$7-'Advanced Entry'!O$6)),1))),"No data"))</f>
        <v/>
      </c>
      <c r="P42" s="17">
        <f>IF('Advanced Entry'!P42="","",IFERROR(MAX(0,MIN(10,ROUND(IF('Advanced Entry'!P$8="Decrease Risk",10-10*((IF('Advanced Entry'!P$5="Logarithm",LN(0.001+'Advanced Entry'!P42),IF('Advanced Entry'!P$5="Exponential",EXP('Advanced Entry'!P42),'Advanced Entry'!P42)))-'Advanced Entry'!P$6)/('Advanced Entry'!P$7-'Advanced Entry'!P$6),10*((IF('Advanced Entry'!P$5="Logarithm",LN(0.001+'Advanced Entry'!P42),IF('Advanced Entry'!P$5="Exponential",EXP('Advanced Entry'!P42),'Advanced Entry'!P42)))-'Advanced Entry'!P$6)/('Advanced Entry'!P$7-'Advanced Entry'!P$6)),1))),"No data"))</f>
        <v/>
      </c>
      <c r="Q42" s="17">
        <f>IF('Advanced Entry'!Q42="","",IFERROR(MAX(0,MIN(10,ROUND(IF('Advanced Entry'!Q$8="Decrease Risk",10-10*((IF('Advanced Entry'!Q$5="Logarithm",LN(0.001+'Advanced Entry'!Q42),IF('Advanced Entry'!Q$5="Exponential",EXP('Advanced Entry'!Q42),'Advanced Entry'!Q42)))-'Advanced Entry'!Q$6)/('Advanced Entry'!Q$7-'Advanced Entry'!Q$6),10*((IF('Advanced Entry'!Q$5="Logarithm",LN(0.001+'Advanced Entry'!Q42),IF('Advanced Entry'!Q$5="Exponential",EXP('Advanced Entry'!Q42),'Advanced Entry'!Q42)))-'Advanced Entry'!Q$6)/('Advanced Entry'!Q$7-'Advanced Entry'!Q$6)),1))),"No data"))</f>
        <v/>
      </c>
      <c r="R42" s="17">
        <f>IF('Advanced Entry'!R42="","",IFERROR(MAX(0,MIN(10,ROUND(IF('Advanced Entry'!R$8="Decrease Risk",10-10*((IF('Advanced Entry'!R$5="Logarithm",LN(0.001+'Advanced Entry'!R42),IF('Advanced Entry'!R$5="Exponential",EXP('Advanced Entry'!R42),'Advanced Entry'!R42)))-'Advanced Entry'!R$6)/('Advanced Entry'!R$7-'Advanced Entry'!R$6),10*((IF('Advanced Entry'!R$5="Logarithm",LN(0.001+'Advanced Entry'!R42),IF('Advanced Entry'!R$5="Exponential",EXP('Advanced Entry'!R42),'Advanced Entry'!R42)))-'Advanced Entry'!R$6)/('Advanced Entry'!R$7-'Advanced Entry'!R$6)),1))),"No data"))</f>
        <v/>
      </c>
      <c r="S42" s="17">
        <f>IF('Advanced Entry'!S42="","",IFERROR(MAX(0,MIN(10,ROUND(IF('Advanced Entry'!S$8="Decrease Risk",10-10*((IF('Advanced Entry'!S$5="Logarithm",LN(0.001+'Advanced Entry'!S42),IF('Advanced Entry'!S$5="Exponential",EXP('Advanced Entry'!S42),'Advanced Entry'!S42)))-'Advanced Entry'!S$6)/('Advanced Entry'!S$7-'Advanced Entry'!S$6),10*((IF('Advanced Entry'!S$5="Logarithm",LN(0.001+'Advanced Entry'!S42),IF('Advanced Entry'!S$5="Exponential",EXP('Advanced Entry'!S42),'Advanced Entry'!S42)))-'Advanced Entry'!S$6)/('Advanced Entry'!S$7-'Advanced Entry'!S$6)),1))),"No data"))</f>
        <v/>
      </c>
      <c r="T42" s="17">
        <f>IF('Advanced Entry'!T42="","",IFERROR(MAX(0,MIN(10,ROUND(IF('Advanced Entry'!T$8="Decrease Risk",10-10*((IF('Advanced Entry'!T$5="Logarithm",LN(0.001+'Advanced Entry'!T42),IF('Advanced Entry'!T$5="Exponential",EXP('Advanced Entry'!T42),'Advanced Entry'!T42)))-'Advanced Entry'!T$6)/('Advanced Entry'!T$7-'Advanced Entry'!T$6),10*((IF('Advanced Entry'!T$5="Logarithm",LN(0.001+'Advanced Entry'!T42),IF('Advanced Entry'!T$5="Exponential",EXP('Advanced Entry'!T42),'Advanced Entry'!T42)))-'Advanced Entry'!T$6)/('Advanced Entry'!T$7-'Advanced Entry'!T$6)),1))),"No data"))</f>
        <v/>
      </c>
      <c r="U42" s="17">
        <f>IF('Advanced Entry'!U42="","",IFERROR(MAX(0,MIN(10,ROUND(IF('Advanced Entry'!U$8="Decrease Risk",10-10*((IF('Advanced Entry'!U$5="Logarithm",LN(0.001+'Advanced Entry'!U42),IF('Advanced Entry'!U$5="Exponential",EXP('Advanced Entry'!U42),'Advanced Entry'!U42)))-'Advanced Entry'!U$6)/('Advanced Entry'!U$7-'Advanced Entry'!U$6),10*((IF('Advanced Entry'!U$5="Logarithm",LN(0.001+'Advanced Entry'!U42),IF('Advanced Entry'!U$5="Exponential",EXP('Advanced Entry'!U42),'Advanced Entry'!U42)))-'Advanced Entry'!U$6)/('Advanced Entry'!U$7-'Advanced Entry'!U$6)),1))),"No data"))</f>
        <v/>
      </c>
      <c r="V42" s="17">
        <f>IF('Advanced Entry'!V42="","",IFERROR(MAX(0,MIN(10,ROUND(IF('Advanced Entry'!V$8="Decrease Risk",10-10*((IF('Advanced Entry'!V$5="Logarithm",LN(0.001+'Advanced Entry'!V42),IF('Advanced Entry'!V$5="Exponential",EXP('Advanced Entry'!V42),'Advanced Entry'!V42)))-'Advanced Entry'!V$6)/('Advanced Entry'!V$7-'Advanced Entry'!V$6),10*((IF('Advanced Entry'!V$5="Logarithm",LN(0.001+'Advanced Entry'!V42),IF('Advanced Entry'!V$5="Exponential",EXP('Advanced Entry'!V42),'Advanced Entry'!V42)))-'Advanced Entry'!V$6)/('Advanced Entry'!V$7-'Advanced Entry'!V$6)),1))),"No data"))</f>
        <v/>
      </c>
      <c r="W42" s="17">
        <f>IF('Advanced Entry'!W42="","",IFERROR(MAX(0,MIN(10,ROUND(IF('Advanced Entry'!W$8="Decrease Risk",10-10*((IF('Advanced Entry'!W$5="Logarithm",LN(0.001+'Advanced Entry'!W42),IF('Advanced Entry'!W$5="Exponential",EXP('Advanced Entry'!W42),'Advanced Entry'!W42)))-'Advanced Entry'!W$6)/('Advanced Entry'!W$7-'Advanced Entry'!W$6),10*((IF('Advanced Entry'!W$5="Logarithm",LN(0.001+'Advanced Entry'!W42),IF('Advanced Entry'!W$5="Exponential",EXP('Advanced Entry'!W42),'Advanced Entry'!W42)))-'Advanced Entry'!W$6)/('Advanced Entry'!W$7-'Advanced Entry'!W$6)),1))),"No data"))</f>
        <v/>
      </c>
      <c r="X42" s="17">
        <f>IF('Advanced Entry'!X42="","",IFERROR(MAX(0,MIN(10,ROUND(IF('Advanced Entry'!X$8="Decrease Risk",10-10*((IF('Advanced Entry'!X$5="Logarithm",LN(0.001+'Advanced Entry'!X42),IF('Advanced Entry'!X$5="Exponential",EXP('Advanced Entry'!X42),'Advanced Entry'!X42)))-'Advanced Entry'!X$6)/('Advanced Entry'!X$7-'Advanced Entry'!X$6),10*((IF('Advanced Entry'!X$5="Logarithm",LN(0.001+'Advanced Entry'!X42),IF('Advanced Entry'!X$5="Exponential",EXP('Advanced Entry'!X42),'Advanced Entry'!X42)))-'Advanced Entry'!X$6)/('Advanced Entry'!X$7-'Advanced Entry'!X$6)),1))),"No data"))</f>
        <v/>
      </c>
      <c r="Y42" s="17">
        <f>IF('Advanced Entry'!Y42="","",IFERROR(MAX(0,MIN(10,ROUND(IF('Advanced Entry'!Y$8="Decrease Risk",10-10*((IF('Advanced Entry'!Y$5="Logarithm",LN(0.001+'Advanced Entry'!Y42),IF('Advanced Entry'!Y$5="Exponential",EXP('Advanced Entry'!Y42),'Advanced Entry'!Y42)))-'Advanced Entry'!Y$6)/('Advanced Entry'!Y$7-'Advanced Entry'!Y$6),10*((IF('Advanced Entry'!Y$5="Logarithm",LN(0.001+'Advanced Entry'!Y42),IF('Advanced Entry'!Y$5="Exponential",EXP('Advanced Entry'!Y42),'Advanced Entry'!Y42)))-'Advanced Entry'!Y$6)/('Advanced Entry'!Y$7-'Advanced Entry'!Y$6)),1))),"No data"))</f>
        <v/>
      </c>
      <c r="Z42" s="17">
        <f>IF('Advanced Entry'!Z42="","",IFERROR(MAX(0,MIN(10,ROUND(IF('Advanced Entry'!Z$8="Decrease Risk",10-10*((IF('Advanced Entry'!Z$5="Logarithm",LN(0.001+'Advanced Entry'!Z42),IF('Advanced Entry'!Z$5="Exponential",EXP('Advanced Entry'!Z42),'Advanced Entry'!Z42)))-'Advanced Entry'!Z$6)/('Advanced Entry'!Z$7-'Advanced Entry'!Z$6),10*((IF('Advanced Entry'!Z$5="Logarithm",LN(0.001+'Advanced Entry'!Z42),IF('Advanced Entry'!Z$5="Exponential",EXP('Advanced Entry'!Z42),'Advanced Entry'!Z42)))-'Advanced Entry'!Z$6)/('Advanced Entry'!Z$7-'Advanced Entry'!Z$6)),1))),"No data"))</f>
        <v/>
      </c>
      <c r="AA42" s="17">
        <f>IF('Advanced Entry'!AA42="","",IFERROR(MAX(0,MIN(10,ROUND(IF('Advanced Entry'!AA$8="Decrease Risk",10-10*((IF('Advanced Entry'!AA$5="Logarithm",LN(0.001+'Advanced Entry'!AA42),IF('Advanced Entry'!AA$5="Exponential",EXP('Advanced Entry'!AA42),'Advanced Entry'!AA42)))-'Advanced Entry'!AA$6)/('Advanced Entry'!AA$7-'Advanced Entry'!AA$6),10*((IF('Advanced Entry'!AA$5="Logarithm",LN(0.001+'Advanced Entry'!AA42),IF('Advanced Entry'!AA$5="Exponential",EXP('Advanced Entry'!AA42),'Advanced Entry'!AA42)))-'Advanced Entry'!AA$6)/('Advanced Entry'!AA$7-'Advanced Entry'!AA$6)),1))),"No data"))</f>
        <v/>
      </c>
      <c r="AB42" s="17">
        <f>IF('Advanced Entry'!AB42="","",IFERROR(MAX(0,MIN(10,ROUND(IF('Advanced Entry'!AB$8="Decrease Risk",10-10*((IF('Advanced Entry'!AB$5="Logarithm",LN(0.001+'Advanced Entry'!AB42),IF('Advanced Entry'!AB$5="Exponential",EXP('Advanced Entry'!AB42),'Advanced Entry'!AB42)))-'Advanced Entry'!AB$6)/('Advanced Entry'!AB$7-'Advanced Entry'!AB$6),10*((IF('Advanced Entry'!AB$5="Logarithm",LN(0.001+'Advanced Entry'!AB42),IF('Advanced Entry'!AB$5="Exponential",EXP('Advanced Entry'!AB42),'Advanced Entry'!AB42)))-'Advanced Entry'!AB$6)/('Advanced Entry'!AB$7-'Advanced Entry'!AB$6)),1))),"No data"))</f>
        <v/>
      </c>
    </row>
    <row r="43">
      <c r="A43" t="inlineStr">
        <is>
          <t>Kagera</t>
        </is>
      </c>
      <c r="B43" t="inlineStr">
        <is>
          <t>Bukoba District</t>
        </is>
      </c>
      <c r="C43" t="inlineStr">
        <is>
          <t>C126</t>
        </is>
      </c>
      <c r="D43" s="17">
        <f>IF('Advanced Entry'!D43="","",IFERROR(MAX(0,MIN(10,ROUND(IF('Advanced Entry'!D$8="Decrease Risk",10-10*((IF('Advanced Entry'!D$5="Logarithm",LN(0.001+'Advanced Entry'!D43),IF('Advanced Entry'!D$5="Exponential",EXP('Advanced Entry'!D43),'Advanced Entry'!D43)))-'Advanced Entry'!D$6)/('Advanced Entry'!D$7-'Advanced Entry'!D$6),10*((IF('Advanced Entry'!D$5="Logarithm",LN(0.001+'Advanced Entry'!D43),IF('Advanced Entry'!D$5="Exponential",EXP('Advanced Entry'!D43),'Advanced Entry'!D43)))-'Advanced Entry'!D$6)/('Advanced Entry'!D$7-'Advanced Entry'!D$6)),1))),"No data"))</f>
        <v/>
      </c>
      <c r="E43" s="17">
        <f>IF('Advanced Entry'!E43="","",IFERROR(MAX(0,MIN(10,ROUND(IF('Advanced Entry'!E$8="Decrease Risk",10-10*((IF('Advanced Entry'!E$5="Logarithm",LN(0.001+'Advanced Entry'!E43),IF('Advanced Entry'!E$5="Exponential",EXP('Advanced Entry'!E43),'Advanced Entry'!E43)))-'Advanced Entry'!E$6)/('Advanced Entry'!E$7-'Advanced Entry'!E$6),10*((IF('Advanced Entry'!E$5="Logarithm",LN(0.001+'Advanced Entry'!E43),IF('Advanced Entry'!E$5="Exponential",EXP('Advanced Entry'!E43),'Advanced Entry'!E43)))-'Advanced Entry'!E$6)/('Advanced Entry'!E$7-'Advanced Entry'!E$6)),1))),"No data"))</f>
        <v/>
      </c>
      <c r="F43" s="17">
        <f>IF('Advanced Entry'!F43="","",IFERROR(MAX(0,MIN(10,ROUND(IF('Advanced Entry'!F$8="Decrease Risk",10-10*((IF('Advanced Entry'!F$5="Logarithm",LN(0.001+'Advanced Entry'!F43),IF('Advanced Entry'!F$5="Exponential",EXP('Advanced Entry'!F43),'Advanced Entry'!F43)))-'Advanced Entry'!F$6)/('Advanced Entry'!F$7-'Advanced Entry'!F$6),10*((IF('Advanced Entry'!F$5="Logarithm",LN(0.001+'Advanced Entry'!F43),IF('Advanced Entry'!F$5="Exponential",EXP('Advanced Entry'!F43),'Advanced Entry'!F43)))-'Advanced Entry'!F$6)/('Advanced Entry'!F$7-'Advanced Entry'!F$6)),1))),"No data"))</f>
        <v/>
      </c>
      <c r="G43" s="17">
        <f>IF('Advanced Entry'!G43="","",IFERROR(MAX(0,MIN(10,ROUND(IF('Advanced Entry'!G$8="Decrease Risk",10-10*((IF('Advanced Entry'!G$5="Logarithm",LN(0.001+'Advanced Entry'!G43),IF('Advanced Entry'!G$5="Exponential",EXP('Advanced Entry'!G43),'Advanced Entry'!G43)))-'Advanced Entry'!G$6)/('Advanced Entry'!G$7-'Advanced Entry'!G$6),10*((IF('Advanced Entry'!G$5="Logarithm",LN(0.001+'Advanced Entry'!G43),IF('Advanced Entry'!G$5="Exponential",EXP('Advanced Entry'!G43),'Advanced Entry'!G43)))-'Advanced Entry'!G$6)/('Advanced Entry'!G$7-'Advanced Entry'!G$6)),1))),"No data"))</f>
        <v/>
      </c>
      <c r="H43" s="17">
        <f>IF('Advanced Entry'!H43="","",IFERROR(MAX(0,MIN(10,ROUND(IF('Advanced Entry'!H$8="Decrease Risk",10-10*((IF('Advanced Entry'!H$5="Logarithm",LN(0.001+'Advanced Entry'!H43),IF('Advanced Entry'!H$5="Exponential",EXP('Advanced Entry'!H43),'Advanced Entry'!H43)))-'Advanced Entry'!H$6)/('Advanced Entry'!H$7-'Advanced Entry'!H$6),10*((IF('Advanced Entry'!H$5="Logarithm",LN(0.001+'Advanced Entry'!H43),IF('Advanced Entry'!H$5="Exponential",EXP('Advanced Entry'!H43),'Advanced Entry'!H43)))-'Advanced Entry'!H$6)/('Advanced Entry'!H$7-'Advanced Entry'!H$6)),1))),"No data"))</f>
        <v/>
      </c>
      <c r="I43" s="17">
        <f>IF('Advanced Entry'!I43="","",IFERROR(MAX(0,MIN(10,ROUND(IF('Advanced Entry'!I$8="Decrease Risk",10-10*((IF('Advanced Entry'!I$5="Logarithm",LN(0.001+'Advanced Entry'!I43),IF('Advanced Entry'!I$5="Exponential",EXP('Advanced Entry'!I43),'Advanced Entry'!I43)))-'Advanced Entry'!I$6)/('Advanced Entry'!I$7-'Advanced Entry'!I$6),10*((IF('Advanced Entry'!I$5="Logarithm",LN(0.001+'Advanced Entry'!I43),IF('Advanced Entry'!I$5="Exponential",EXP('Advanced Entry'!I43),'Advanced Entry'!I43)))-'Advanced Entry'!I$6)/('Advanced Entry'!I$7-'Advanced Entry'!I$6)),1))),"No data"))</f>
        <v/>
      </c>
      <c r="J43" s="17">
        <f>IF('Advanced Entry'!J43="","",IFERROR(MAX(0,MIN(10,ROUND(IF('Advanced Entry'!J$8="Decrease Risk",10-10*((IF('Advanced Entry'!J$5="Logarithm",LN(0.001+'Advanced Entry'!J43),IF('Advanced Entry'!J$5="Exponential",EXP('Advanced Entry'!J43),'Advanced Entry'!J43)))-'Advanced Entry'!J$6)/('Advanced Entry'!J$7-'Advanced Entry'!J$6),10*((IF('Advanced Entry'!J$5="Logarithm",LN(0.001+'Advanced Entry'!J43),IF('Advanced Entry'!J$5="Exponential",EXP('Advanced Entry'!J43),'Advanced Entry'!J43)))-'Advanced Entry'!J$6)/('Advanced Entry'!J$7-'Advanced Entry'!J$6)),1))),"No data"))</f>
        <v/>
      </c>
      <c r="K43" s="17">
        <f>IF('Advanced Entry'!K43="","",IFERROR(MAX(0,MIN(10,ROUND(IF('Advanced Entry'!K$8="Decrease Risk",10-10*((IF('Advanced Entry'!K$5="Logarithm",LN(0.001+'Advanced Entry'!K43),IF('Advanced Entry'!K$5="Exponential",EXP('Advanced Entry'!K43),'Advanced Entry'!K43)))-'Advanced Entry'!K$6)/('Advanced Entry'!K$7-'Advanced Entry'!K$6),10*((IF('Advanced Entry'!K$5="Logarithm",LN(0.001+'Advanced Entry'!K43),IF('Advanced Entry'!K$5="Exponential",EXP('Advanced Entry'!K43),'Advanced Entry'!K43)))-'Advanced Entry'!K$6)/('Advanced Entry'!K$7-'Advanced Entry'!K$6)),1))),"No data"))</f>
        <v/>
      </c>
      <c r="L43" s="17">
        <f>IF('Advanced Entry'!L43="","",IFERROR(MAX(0,MIN(10,ROUND(IF('Advanced Entry'!L$8="Decrease Risk",10-10*((IF('Advanced Entry'!L$5="Logarithm",LN(0.001+'Advanced Entry'!L43),IF('Advanced Entry'!L$5="Exponential",EXP('Advanced Entry'!L43),'Advanced Entry'!L43)))-'Advanced Entry'!L$6)/('Advanced Entry'!L$7-'Advanced Entry'!L$6),10*((IF('Advanced Entry'!L$5="Logarithm",LN(0.001+'Advanced Entry'!L43),IF('Advanced Entry'!L$5="Exponential",EXP('Advanced Entry'!L43),'Advanced Entry'!L43)))-'Advanced Entry'!L$6)/('Advanced Entry'!L$7-'Advanced Entry'!L$6)),1))),"No data"))</f>
        <v/>
      </c>
      <c r="M43" s="17">
        <f>IF('Advanced Entry'!M43="","",IFERROR(MAX(0,MIN(10,ROUND(IF('Advanced Entry'!M$8="Decrease Risk",10-10*((IF('Advanced Entry'!M$5="Logarithm",LN(0.001+'Advanced Entry'!M43),IF('Advanced Entry'!M$5="Exponential",EXP('Advanced Entry'!M43),'Advanced Entry'!M43)))-'Advanced Entry'!M$6)/('Advanced Entry'!M$7-'Advanced Entry'!M$6),10*((IF('Advanced Entry'!M$5="Logarithm",LN(0.001+'Advanced Entry'!M43),IF('Advanced Entry'!M$5="Exponential",EXP('Advanced Entry'!M43),'Advanced Entry'!M43)))-'Advanced Entry'!M$6)/('Advanced Entry'!M$7-'Advanced Entry'!M$6)),1))),"No data"))</f>
        <v/>
      </c>
      <c r="N43" s="17">
        <f>IF('Advanced Entry'!N43="","",IFERROR(MAX(0,MIN(10,ROUND(IF('Advanced Entry'!N$8="Decrease Risk",10-10*((IF('Advanced Entry'!N$5="Logarithm",LN(0.001+'Advanced Entry'!N43),IF('Advanced Entry'!N$5="Exponential",EXP('Advanced Entry'!N43),'Advanced Entry'!N43)))-'Advanced Entry'!N$6)/('Advanced Entry'!N$7-'Advanced Entry'!N$6),10*((IF('Advanced Entry'!N$5="Logarithm",LN(0.001+'Advanced Entry'!N43),IF('Advanced Entry'!N$5="Exponential",EXP('Advanced Entry'!N43),'Advanced Entry'!N43)))-'Advanced Entry'!N$6)/('Advanced Entry'!N$7-'Advanced Entry'!N$6)),1))),"No data"))</f>
        <v/>
      </c>
      <c r="O43" s="17">
        <f>IF('Advanced Entry'!O43="","",IFERROR(MAX(0,MIN(10,ROUND(IF('Advanced Entry'!O$8="Decrease Risk",10-10*((IF('Advanced Entry'!O$5="Logarithm",LN(0.001+'Advanced Entry'!O43),IF('Advanced Entry'!O$5="Exponential",EXP('Advanced Entry'!O43),'Advanced Entry'!O43)))-'Advanced Entry'!O$6)/('Advanced Entry'!O$7-'Advanced Entry'!O$6),10*((IF('Advanced Entry'!O$5="Logarithm",LN(0.001+'Advanced Entry'!O43),IF('Advanced Entry'!O$5="Exponential",EXP('Advanced Entry'!O43),'Advanced Entry'!O43)))-'Advanced Entry'!O$6)/('Advanced Entry'!O$7-'Advanced Entry'!O$6)),1))),"No data"))</f>
        <v/>
      </c>
      <c r="P43" s="17">
        <f>IF('Advanced Entry'!P43="","",IFERROR(MAX(0,MIN(10,ROUND(IF('Advanced Entry'!P$8="Decrease Risk",10-10*((IF('Advanced Entry'!P$5="Logarithm",LN(0.001+'Advanced Entry'!P43),IF('Advanced Entry'!P$5="Exponential",EXP('Advanced Entry'!P43),'Advanced Entry'!P43)))-'Advanced Entry'!P$6)/('Advanced Entry'!P$7-'Advanced Entry'!P$6),10*((IF('Advanced Entry'!P$5="Logarithm",LN(0.001+'Advanced Entry'!P43),IF('Advanced Entry'!P$5="Exponential",EXP('Advanced Entry'!P43),'Advanced Entry'!P43)))-'Advanced Entry'!P$6)/('Advanced Entry'!P$7-'Advanced Entry'!P$6)),1))),"No data"))</f>
        <v/>
      </c>
      <c r="Q43" s="17">
        <f>IF('Advanced Entry'!Q43="","",IFERROR(MAX(0,MIN(10,ROUND(IF('Advanced Entry'!Q$8="Decrease Risk",10-10*((IF('Advanced Entry'!Q$5="Logarithm",LN(0.001+'Advanced Entry'!Q43),IF('Advanced Entry'!Q$5="Exponential",EXP('Advanced Entry'!Q43),'Advanced Entry'!Q43)))-'Advanced Entry'!Q$6)/('Advanced Entry'!Q$7-'Advanced Entry'!Q$6),10*((IF('Advanced Entry'!Q$5="Logarithm",LN(0.001+'Advanced Entry'!Q43),IF('Advanced Entry'!Q$5="Exponential",EXP('Advanced Entry'!Q43),'Advanced Entry'!Q43)))-'Advanced Entry'!Q$6)/('Advanced Entry'!Q$7-'Advanced Entry'!Q$6)),1))),"No data"))</f>
        <v/>
      </c>
      <c r="R43" s="17">
        <f>IF('Advanced Entry'!R43="","",IFERROR(MAX(0,MIN(10,ROUND(IF('Advanced Entry'!R$8="Decrease Risk",10-10*((IF('Advanced Entry'!R$5="Logarithm",LN(0.001+'Advanced Entry'!R43),IF('Advanced Entry'!R$5="Exponential",EXP('Advanced Entry'!R43),'Advanced Entry'!R43)))-'Advanced Entry'!R$6)/('Advanced Entry'!R$7-'Advanced Entry'!R$6),10*((IF('Advanced Entry'!R$5="Logarithm",LN(0.001+'Advanced Entry'!R43),IF('Advanced Entry'!R$5="Exponential",EXP('Advanced Entry'!R43),'Advanced Entry'!R43)))-'Advanced Entry'!R$6)/('Advanced Entry'!R$7-'Advanced Entry'!R$6)),1))),"No data"))</f>
        <v/>
      </c>
      <c r="S43" s="17">
        <f>IF('Advanced Entry'!S43="","",IFERROR(MAX(0,MIN(10,ROUND(IF('Advanced Entry'!S$8="Decrease Risk",10-10*((IF('Advanced Entry'!S$5="Logarithm",LN(0.001+'Advanced Entry'!S43),IF('Advanced Entry'!S$5="Exponential",EXP('Advanced Entry'!S43),'Advanced Entry'!S43)))-'Advanced Entry'!S$6)/('Advanced Entry'!S$7-'Advanced Entry'!S$6),10*((IF('Advanced Entry'!S$5="Logarithm",LN(0.001+'Advanced Entry'!S43),IF('Advanced Entry'!S$5="Exponential",EXP('Advanced Entry'!S43),'Advanced Entry'!S43)))-'Advanced Entry'!S$6)/('Advanced Entry'!S$7-'Advanced Entry'!S$6)),1))),"No data"))</f>
        <v/>
      </c>
      <c r="T43" s="17">
        <f>IF('Advanced Entry'!T43="","",IFERROR(MAX(0,MIN(10,ROUND(IF('Advanced Entry'!T$8="Decrease Risk",10-10*((IF('Advanced Entry'!T$5="Logarithm",LN(0.001+'Advanced Entry'!T43),IF('Advanced Entry'!T$5="Exponential",EXP('Advanced Entry'!T43),'Advanced Entry'!T43)))-'Advanced Entry'!T$6)/('Advanced Entry'!T$7-'Advanced Entry'!T$6),10*((IF('Advanced Entry'!T$5="Logarithm",LN(0.001+'Advanced Entry'!T43),IF('Advanced Entry'!T$5="Exponential",EXP('Advanced Entry'!T43),'Advanced Entry'!T43)))-'Advanced Entry'!T$6)/('Advanced Entry'!T$7-'Advanced Entry'!T$6)),1))),"No data"))</f>
        <v/>
      </c>
      <c r="U43" s="17">
        <f>IF('Advanced Entry'!U43="","",IFERROR(MAX(0,MIN(10,ROUND(IF('Advanced Entry'!U$8="Decrease Risk",10-10*((IF('Advanced Entry'!U$5="Logarithm",LN(0.001+'Advanced Entry'!U43),IF('Advanced Entry'!U$5="Exponential",EXP('Advanced Entry'!U43),'Advanced Entry'!U43)))-'Advanced Entry'!U$6)/('Advanced Entry'!U$7-'Advanced Entry'!U$6),10*((IF('Advanced Entry'!U$5="Logarithm",LN(0.001+'Advanced Entry'!U43),IF('Advanced Entry'!U$5="Exponential",EXP('Advanced Entry'!U43),'Advanced Entry'!U43)))-'Advanced Entry'!U$6)/('Advanced Entry'!U$7-'Advanced Entry'!U$6)),1))),"No data"))</f>
        <v/>
      </c>
      <c r="V43" s="17">
        <f>IF('Advanced Entry'!V43="","",IFERROR(MAX(0,MIN(10,ROUND(IF('Advanced Entry'!V$8="Decrease Risk",10-10*((IF('Advanced Entry'!V$5="Logarithm",LN(0.001+'Advanced Entry'!V43),IF('Advanced Entry'!V$5="Exponential",EXP('Advanced Entry'!V43),'Advanced Entry'!V43)))-'Advanced Entry'!V$6)/('Advanced Entry'!V$7-'Advanced Entry'!V$6),10*((IF('Advanced Entry'!V$5="Logarithm",LN(0.001+'Advanced Entry'!V43),IF('Advanced Entry'!V$5="Exponential",EXP('Advanced Entry'!V43),'Advanced Entry'!V43)))-'Advanced Entry'!V$6)/('Advanced Entry'!V$7-'Advanced Entry'!V$6)),1))),"No data"))</f>
        <v/>
      </c>
      <c r="W43" s="17">
        <f>IF('Advanced Entry'!W43="","",IFERROR(MAX(0,MIN(10,ROUND(IF('Advanced Entry'!W$8="Decrease Risk",10-10*((IF('Advanced Entry'!W$5="Logarithm",LN(0.001+'Advanced Entry'!W43),IF('Advanced Entry'!W$5="Exponential",EXP('Advanced Entry'!W43),'Advanced Entry'!W43)))-'Advanced Entry'!W$6)/('Advanced Entry'!W$7-'Advanced Entry'!W$6),10*((IF('Advanced Entry'!W$5="Logarithm",LN(0.001+'Advanced Entry'!W43),IF('Advanced Entry'!W$5="Exponential",EXP('Advanced Entry'!W43),'Advanced Entry'!W43)))-'Advanced Entry'!W$6)/('Advanced Entry'!W$7-'Advanced Entry'!W$6)),1))),"No data"))</f>
        <v/>
      </c>
      <c r="X43" s="17">
        <f>IF('Advanced Entry'!X43="","",IFERROR(MAX(0,MIN(10,ROUND(IF('Advanced Entry'!X$8="Decrease Risk",10-10*((IF('Advanced Entry'!X$5="Logarithm",LN(0.001+'Advanced Entry'!X43),IF('Advanced Entry'!X$5="Exponential",EXP('Advanced Entry'!X43),'Advanced Entry'!X43)))-'Advanced Entry'!X$6)/('Advanced Entry'!X$7-'Advanced Entry'!X$6),10*((IF('Advanced Entry'!X$5="Logarithm",LN(0.001+'Advanced Entry'!X43),IF('Advanced Entry'!X$5="Exponential",EXP('Advanced Entry'!X43),'Advanced Entry'!X43)))-'Advanced Entry'!X$6)/('Advanced Entry'!X$7-'Advanced Entry'!X$6)),1))),"No data"))</f>
        <v/>
      </c>
      <c r="Y43" s="17">
        <f>IF('Advanced Entry'!Y43="","",IFERROR(MAX(0,MIN(10,ROUND(IF('Advanced Entry'!Y$8="Decrease Risk",10-10*((IF('Advanced Entry'!Y$5="Logarithm",LN(0.001+'Advanced Entry'!Y43),IF('Advanced Entry'!Y$5="Exponential",EXP('Advanced Entry'!Y43),'Advanced Entry'!Y43)))-'Advanced Entry'!Y$6)/('Advanced Entry'!Y$7-'Advanced Entry'!Y$6),10*((IF('Advanced Entry'!Y$5="Logarithm",LN(0.001+'Advanced Entry'!Y43),IF('Advanced Entry'!Y$5="Exponential",EXP('Advanced Entry'!Y43),'Advanced Entry'!Y43)))-'Advanced Entry'!Y$6)/('Advanced Entry'!Y$7-'Advanced Entry'!Y$6)),1))),"No data"))</f>
        <v/>
      </c>
      <c r="Z43" s="17">
        <f>IF('Advanced Entry'!Z43="","",IFERROR(MAX(0,MIN(10,ROUND(IF('Advanced Entry'!Z$8="Decrease Risk",10-10*((IF('Advanced Entry'!Z$5="Logarithm",LN(0.001+'Advanced Entry'!Z43),IF('Advanced Entry'!Z$5="Exponential",EXP('Advanced Entry'!Z43),'Advanced Entry'!Z43)))-'Advanced Entry'!Z$6)/('Advanced Entry'!Z$7-'Advanced Entry'!Z$6),10*((IF('Advanced Entry'!Z$5="Logarithm",LN(0.001+'Advanced Entry'!Z43),IF('Advanced Entry'!Z$5="Exponential",EXP('Advanced Entry'!Z43),'Advanced Entry'!Z43)))-'Advanced Entry'!Z$6)/('Advanced Entry'!Z$7-'Advanced Entry'!Z$6)),1))),"No data"))</f>
        <v/>
      </c>
      <c r="AA43" s="17">
        <f>IF('Advanced Entry'!AA43="","",IFERROR(MAX(0,MIN(10,ROUND(IF('Advanced Entry'!AA$8="Decrease Risk",10-10*((IF('Advanced Entry'!AA$5="Logarithm",LN(0.001+'Advanced Entry'!AA43),IF('Advanced Entry'!AA$5="Exponential",EXP('Advanced Entry'!AA43),'Advanced Entry'!AA43)))-'Advanced Entry'!AA$6)/('Advanced Entry'!AA$7-'Advanced Entry'!AA$6),10*((IF('Advanced Entry'!AA$5="Logarithm",LN(0.001+'Advanced Entry'!AA43),IF('Advanced Entry'!AA$5="Exponential",EXP('Advanced Entry'!AA43),'Advanced Entry'!AA43)))-'Advanced Entry'!AA$6)/('Advanced Entry'!AA$7-'Advanced Entry'!AA$6)),1))),"No data"))</f>
        <v/>
      </c>
      <c r="AB43" s="17">
        <f>IF('Advanced Entry'!AB43="","",IFERROR(MAX(0,MIN(10,ROUND(IF('Advanced Entry'!AB$8="Decrease Risk",10-10*((IF('Advanced Entry'!AB$5="Logarithm",LN(0.001+'Advanced Entry'!AB43),IF('Advanced Entry'!AB$5="Exponential",EXP('Advanced Entry'!AB43),'Advanced Entry'!AB43)))-'Advanced Entry'!AB$6)/('Advanced Entry'!AB$7-'Advanced Entry'!AB$6),10*((IF('Advanced Entry'!AB$5="Logarithm",LN(0.001+'Advanced Entry'!AB43),IF('Advanced Entry'!AB$5="Exponential",EXP('Advanced Entry'!AB43),'Advanced Entry'!AB43)))-'Advanced Entry'!AB$6)/('Advanced Entry'!AB$7-'Advanced Entry'!AB$6)),1))),"No data"))</f>
        <v/>
      </c>
    </row>
    <row r="44">
      <c r="A44" t="inlineStr">
        <is>
          <t>Kagera</t>
        </is>
      </c>
      <c r="B44" t="inlineStr">
        <is>
          <t>Bukoba Municipal</t>
        </is>
      </c>
      <c r="C44" t="inlineStr">
        <is>
          <t>C127</t>
        </is>
      </c>
      <c r="D44" s="17">
        <f>IF('Advanced Entry'!D44="","",IFERROR(MAX(0,MIN(10,ROUND(IF('Advanced Entry'!D$8="Decrease Risk",10-10*((IF('Advanced Entry'!D$5="Logarithm",LN(0.001+'Advanced Entry'!D44),IF('Advanced Entry'!D$5="Exponential",EXP('Advanced Entry'!D44),'Advanced Entry'!D44)))-'Advanced Entry'!D$6)/('Advanced Entry'!D$7-'Advanced Entry'!D$6),10*((IF('Advanced Entry'!D$5="Logarithm",LN(0.001+'Advanced Entry'!D44),IF('Advanced Entry'!D$5="Exponential",EXP('Advanced Entry'!D44),'Advanced Entry'!D44)))-'Advanced Entry'!D$6)/('Advanced Entry'!D$7-'Advanced Entry'!D$6)),1))),"No data"))</f>
        <v/>
      </c>
      <c r="E44" s="17">
        <f>IF('Advanced Entry'!E44="","",IFERROR(MAX(0,MIN(10,ROUND(IF('Advanced Entry'!E$8="Decrease Risk",10-10*((IF('Advanced Entry'!E$5="Logarithm",LN(0.001+'Advanced Entry'!E44),IF('Advanced Entry'!E$5="Exponential",EXP('Advanced Entry'!E44),'Advanced Entry'!E44)))-'Advanced Entry'!E$6)/('Advanced Entry'!E$7-'Advanced Entry'!E$6),10*((IF('Advanced Entry'!E$5="Logarithm",LN(0.001+'Advanced Entry'!E44),IF('Advanced Entry'!E$5="Exponential",EXP('Advanced Entry'!E44),'Advanced Entry'!E44)))-'Advanced Entry'!E$6)/('Advanced Entry'!E$7-'Advanced Entry'!E$6)),1))),"No data"))</f>
        <v/>
      </c>
      <c r="F44" s="17">
        <f>IF('Advanced Entry'!F44="","",IFERROR(MAX(0,MIN(10,ROUND(IF('Advanced Entry'!F$8="Decrease Risk",10-10*((IF('Advanced Entry'!F$5="Logarithm",LN(0.001+'Advanced Entry'!F44),IF('Advanced Entry'!F$5="Exponential",EXP('Advanced Entry'!F44),'Advanced Entry'!F44)))-'Advanced Entry'!F$6)/('Advanced Entry'!F$7-'Advanced Entry'!F$6),10*((IF('Advanced Entry'!F$5="Logarithm",LN(0.001+'Advanced Entry'!F44),IF('Advanced Entry'!F$5="Exponential",EXP('Advanced Entry'!F44),'Advanced Entry'!F44)))-'Advanced Entry'!F$6)/('Advanced Entry'!F$7-'Advanced Entry'!F$6)),1))),"No data"))</f>
        <v/>
      </c>
      <c r="G44" s="17">
        <f>IF('Advanced Entry'!G44="","",IFERROR(MAX(0,MIN(10,ROUND(IF('Advanced Entry'!G$8="Decrease Risk",10-10*((IF('Advanced Entry'!G$5="Logarithm",LN(0.001+'Advanced Entry'!G44),IF('Advanced Entry'!G$5="Exponential",EXP('Advanced Entry'!G44),'Advanced Entry'!G44)))-'Advanced Entry'!G$6)/('Advanced Entry'!G$7-'Advanced Entry'!G$6),10*((IF('Advanced Entry'!G$5="Logarithm",LN(0.001+'Advanced Entry'!G44),IF('Advanced Entry'!G$5="Exponential",EXP('Advanced Entry'!G44),'Advanced Entry'!G44)))-'Advanced Entry'!G$6)/('Advanced Entry'!G$7-'Advanced Entry'!G$6)),1))),"No data"))</f>
        <v/>
      </c>
      <c r="H44" s="17">
        <f>IF('Advanced Entry'!H44="","",IFERROR(MAX(0,MIN(10,ROUND(IF('Advanced Entry'!H$8="Decrease Risk",10-10*((IF('Advanced Entry'!H$5="Logarithm",LN(0.001+'Advanced Entry'!H44),IF('Advanced Entry'!H$5="Exponential",EXP('Advanced Entry'!H44),'Advanced Entry'!H44)))-'Advanced Entry'!H$6)/('Advanced Entry'!H$7-'Advanced Entry'!H$6),10*((IF('Advanced Entry'!H$5="Logarithm",LN(0.001+'Advanced Entry'!H44),IF('Advanced Entry'!H$5="Exponential",EXP('Advanced Entry'!H44),'Advanced Entry'!H44)))-'Advanced Entry'!H$6)/('Advanced Entry'!H$7-'Advanced Entry'!H$6)),1))),"No data"))</f>
        <v/>
      </c>
      <c r="I44" s="17">
        <f>IF('Advanced Entry'!I44="","",IFERROR(MAX(0,MIN(10,ROUND(IF('Advanced Entry'!I$8="Decrease Risk",10-10*((IF('Advanced Entry'!I$5="Logarithm",LN(0.001+'Advanced Entry'!I44),IF('Advanced Entry'!I$5="Exponential",EXP('Advanced Entry'!I44),'Advanced Entry'!I44)))-'Advanced Entry'!I$6)/('Advanced Entry'!I$7-'Advanced Entry'!I$6),10*((IF('Advanced Entry'!I$5="Logarithm",LN(0.001+'Advanced Entry'!I44),IF('Advanced Entry'!I$5="Exponential",EXP('Advanced Entry'!I44),'Advanced Entry'!I44)))-'Advanced Entry'!I$6)/('Advanced Entry'!I$7-'Advanced Entry'!I$6)),1))),"No data"))</f>
        <v/>
      </c>
      <c r="J44" s="17">
        <f>IF('Advanced Entry'!J44="","",IFERROR(MAX(0,MIN(10,ROUND(IF('Advanced Entry'!J$8="Decrease Risk",10-10*((IF('Advanced Entry'!J$5="Logarithm",LN(0.001+'Advanced Entry'!J44),IF('Advanced Entry'!J$5="Exponential",EXP('Advanced Entry'!J44),'Advanced Entry'!J44)))-'Advanced Entry'!J$6)/('Advanced Entry'!J$7-'Advanced Entry'!J$6),10*((IF('Advanced Entry'!J$5="Logarithm",LN(0.001+'Advanced Entry'!J44),IF('Advanced Entry'!J$5="Exponential",EXP('Advanced Entry'!J44),'Advanced Entry'!J44)))-'Advanced Entry'!J$6)/('Advanced Entry'!J$7-'Advanced Entry'!J$6)),1))),"No data"))</f>
        <v/>
      </c>
      <c r="K44" s="17">
        <f>IF('Advanced Entry'!K44="","",IFERROR(MAX(0,MIN(10,ROUND(IF('Advanced Entry'!K$8="Decrease Risk",10-10*((IF('Advanced Entry'!K$5="Logarithm",LN(0.001+'Advanced Entry'!K44),IF('Advanced Entry'!K$5="Exponential",EXP('Advanced Entry'!K44),'Advanced Entry'!K44)))-'Advanced Entry'!K$6)/('Advanced Entry'!K$7-'Advanced Entry'!K$6),10*((IF('Advanced Entry'!K$5="Logarithm",LN(0.001+'Advanced Entry'!K44),IF('Advanced Entry'!K$5="Exponential",EXP('Advanced Entry'!K44),'Advanced Entry'!K44)))-'Advanced Entry'!K$6)/('Advanced Entry'!K$7-'Advanced Entry'!K$6)),1))),"No data"))</f>
        <v/>
      </c>
      <c r="L44" s="17">
        <f>IF('Advanced Entry'!L44="","",IFERROR(MAX(0,MIN(10,ROUND(IF('Advanced Entry'!L$8="Decrease Risk",10-10*((IF('Advanced Entry'!L$5="Logarithm",LN(0.001+'Advanced Entry'!L44),IF('Advanced Entry'!L$5="Exponential",EXP('Advanced Entry'!L44),'Advanced Entry'!L44)))-'Advanced Entry'!L$6)/('Advanced Entry'!L$7-'Advanced Entry'!L$6),10*((IF('Advanced Entry'!L$5="Logarithm",LN(0.001+'Advanced Entry'!L44),IF('Advanced Entry'!L$5="Exponential",EXP('Advanced Entry'!L44),'Advanced Entry'!L44)))-'Advanced Entry'!L$6)/('Advanced Entry'!L$7-'Advanced Entry'!L$6)),1))),"No data"))</f>
        <v/>
      </c>
      <c r="M44" s="17">
        <f>IF('Advanced Entry'!M44="","",IFERROR(MAX(0,MIN(10,ROUND(IF('Advanced Entry'!M$8="Decrease Risk",10-10*((IF('Advanced Entry'!M$5="Logarithm",LN(0.001+'Advanced Entry'!M44),IF('Advanced Entry'!M$5="Exponential",EXP('Advanced Entry'!M44),'Advanced Entry'!M44)))-'Advanced Entry'!M$6)/('Advanced Entry'!M$7-'Advanced Entry'!M$6),10*((IF('Advanced Entry'!M$5="Logarithm",LN(0.001+'Advanced Entry'!M44),IF('Advanced Entry'!M$5="Exponential",EXP('Advanced Entry'!M44),'Advanced Entry'!M44)))-'Advanced Entry'!M$6)/('Advanced Entry'!M$7-'Advanced Entry'!M$6)),1))),"No data"))</f>
        <v/>
      </c>
      <c r="N44" s="17">
        <f>IF('Advanced Entry'!N44="","",IFERROR(MAX(0,MIN(10,ROUND(IF('Advanced Entry'!N$8="Decrease Risk",10-10*((IF('Advanced Entry'!N$5="Logarithm",LN(0.001+'Advanced Entry'!N44),IF('Advanced Entry'!N$5="Exponential",EXP('Advanced Entry'!N44),'Advanced Entry'!N44)))-'Advanced Entry'!N$6)/('Advanced Entry'!N$7-'Advanced Entry'!N$6),10*((IF('Advanced Entry'!N$5="Logarithm",LN(0.001+'Advanced Entry'!N44),IF('Advanced Entry'!N$5="Exponential",EXP('Advanced Entry'!N44),'Advanced Entry'!N44)))-'Advanced Entry'!N$6)/('Advanced Entry'!N$7-'Advanced Entry'!N$6)),1))),"No data"))</f>
        <v/>
      </c>
      <c r="O44" s="17">
        <f>IF('Advanced Entry'!O44="","",IFERROR(MAX(0,MIN(10,ROUND(IF('Advanced Entry'!O$8="Decrease Risk",10-10*((IF('Advanced Entry'!O$5="Logarithm",LN(0.001+'Advanced Entry'!O44),IF('Advanced Entry'!O$5="Exponential",EXP('Advanced Entry'!O44),'Advanced Entry'!O44)))-'Advanced Entry'!O$6)/('Advanced Entry'!O$7-'Advanced Entry'!O$6),10*((IF('Advanced Entry'!O$5="Logarithm",LN(0.001+'Advanced Entry'!O44),IF('Advanced Entry'!O$5="Exponential",EXP('Advanced Entry'!O44),'Advanced Entry'!O44)))-'Advanced Entry'!O$6)/('Advanced Entry'!O$7-'Advanced Entry'!O$6)),1))),"No data"))</f>
        <v/>
      </c>
      <c r="P44" s="17">
        <f>IF('Advanced Entry'!P44="","",IFERROR(MAX(0,MIN(10,ROUND(IF('Advanced Entry'!P$8="Decrease Risk",10-10*((IF('Advanced Entry'!P$5="Logarithm",LN(0.001+'Advanced Entry'!P44),IF('Advanced Entry'!P$5="Exponential",EXP('Advanced Entry'!P44),'Advanced Entry'!P44)))-'Advanced Entry'!P$6)/('Advanced Entry'!P$7-'Advanced Entry'!P$6),10*((IF('Advanced Entry'!P$5="Logarithm",LN(0.001+'Advanced Entry'!P44),IF('Advanced Entry'!P$5="Exponential",EXP('Advanced Entry'!P44),'Advanced Entry'!P44)))-'Advanced Entry'!P$6)/('Advanced Entry'!P$7-'Advanced Entry'!P$6)),1))),"No data"))</f>
        <v/>
      </c>
      <c r="Q44" s="17">
        <f>IF('Advanced Entry'!Q44="","",IFERROR(MAX(0,MIN(10,ROUND(IF('Advanced Entry'!Q$8="Decrease Risk",10-10*((IF('Advanced Entry'!Q$5="Logarithm",LN(0.001+'Advanced Entry'!Q44),IF('Advanced Entry'!Q$5="Exponential",EXP('Advanced Entry'!Q44),'Advanced Entry'!Q44)))-'Advanced Entry'!Q$6)/('Advanced Entry'!Q$7-'Advanced Entry'!Q$6),10*((IF('Advanced Entry'!Q$5="Logarithm",LN(0.001+'Advanced Entry'!Q44),IF('Advanced Entry'!Q$5="Exponential",EXP('Advanced Entry'!Q44),'Advanced Entry'!Q44)))-'Advanced Entry'!Q$6)/('Advanced Entry'!Q$7-'Advanced Entry'!Q$6)),1))),"No data"))</f>
        <v/>
      </c>
      <c r="R44" s="17">
        <f>IF('Advanced Entry'!R44="","",IFERROR(MAX(0,MIN(10,ROUND(IF('Advanced Entry'!R$8="Decrease Risk",10-10*((IF('Advanced Entry'!R$5="Logarithm",LN(0.001+'Advanced Entry'!R44),IF('Advanced Entry'!R$5="Exponential",EXP('Advanced Entry'!R44),'Advanced Entry'!R44)))-'Advanced Entry'!R$6)/('Advanced Entry'!R$7-'Advanced Entry'!R$6),10*((IF('Advanced Entry'!R$5="Logarithm",LN(0.001+'Advanced Entry'!R44),IF('Advanced Entry'!R$5="Exponential",EXP('Advanced Entry'!R44),'Advanced Entry'!R44)))-'Advanced Entry'!R$6)/('Advanced Entry'!R$7-'Advanced Entry'!R$6)),1))),"No data"))</f>
        <v/>
      </c>
      <c r="S44" s="17">
        <f>IF('Advanced Entry'!S44="","",IFERROR(MAX(0,MIN(10,ROUND(IF('Advanced Entry'!S$8="Decrease Risk",10-10*((IF('Advanced Entry'!S$5="Logarithm",LN(0.001+'Advanced Entry'!S44),IF('Advanced Entry'!S$5="Exponential",EXP('Advanced Entry'!S44),'Advanced Entry'!S44)))-'Advanced Entry'!S$6)/('Advanced Entry'!S$7-'Advanced Entry'!S$6),10*((IF('Advanced Entry'!S$5="Logarithm",LN(0.001+'Advanced Entry'!S44),IF('Advanced Entry'!S$5="Exponential",EXP('Advanced Entry'!S44),'Advanced Entry'!S44)))-'Advanced Entry'!S$6)/('Advanced Entry'!S$7-'Advanced Entry'!S$6)),1))),"No data"))</f>
        <v/>
      </c>
      <c r="T44" s="17">
        <f>IF('Advanced Entry'!T44="","",IFERROR(MAX(0,MIN(10,ROUND(IF('Advanced Entry'!T$8="Decrease Risk",10-10*((IF('Advanced Entry'!T$5="Logarithm",LN(0.001+'Advanced Entry'!T44),IF('Advanced Entry'!T$5="Exponential",EXP('Advanced Entry'!T44),'Advanced Entry'!T44)))-'Advanced Entry'!T$6)/('Advanced Entry'!T$7-'Advanced Entry'!T$6),10*((IF('Advanced Entry'!T$5="Logarithm",LN(0.001+'Advanced Entry'!T44),IF('Advanced Entry'!T$5="Exponential",EXP('Advanced Entry'!T44),'Advanced Entry'!T44)))-'Advanced Entry'!T$6)/('Advanced Entry'!T$7-'Advanced Entry'!T$6)),1))),"No data"))</f>
        <v/>
      </c>
      <c r="U44" s="17">
        <f>IF('Advanced Entry'!U44="","",IFERROR(MAX(0,MIN(10,ROUND(IF('Advanced Entry'!U$8="Decrease Risk",10-10*((IF('Advanced Entry'!U$5="Logarithm",LN(0.001+'Advanced Entry'!U44),IF('Advanced Entry'!U$5="Exponential",EXP('Advanced Entry'!U44),'Advanced Entry'!U44)))-'Advanced Entry'!U$6)/('Advanced Entry'!U$7-'Advanced Entry'!U$6),10*((IF('Advanced Entry'!U$5="Logarithm",LN(0.001+'Advanced Entry'!U44),IF('Advanced Entry'!U$5="Exponential",EXP('Advanced Entry'!U44),'Advanced Entry'!U44)))-'Advanced Entry'!U$6)/('Advanced Entry'!U$7-'Advanced Entry'!U$6)),1))),"No data"))</f>
        <v/>
      </c>
      <c r="V44" s="17">
        <f>IF('Advanced Entry'!V44="","",IFERROR(MAX(0,MIN(10,ROUND(IF('Advanced Entry'!V$8="Decrease Risk",10-10*((IF('Advanced Entry'!V$5="Logarithm",LN(0.001+'Advanced Entry'!V44),IF('Advanced Entry'!V$5="Exponential",EXP('Advanced Entry'!V44),'Advanced Entry'!V44)))-'Advanced Entry'!V$6)/('Advanced Entry'!V$7-'Advanced Entry'!V$6),10*((IF('Advanced Entry'!V$5="Logarithm",LN(0.001+'Advanced Entry'!V44),IF('Advanced Entry'!V$5="Exponential",EXP('Advanced Entry'!V44),'Advanced Entry'!V44)))-'Advanced Entry'!V$6)/('Advanced Entry'!V$7-'Advanced Entry'!V$6)),1))),"No data"))</f>
        <v/>
      </c>
      <c r="W44" s="17">
        <f>IF('Advanced Entry'!W44="","",IFERROR(MAX(0,MIN(10,ROUND(IF('Advanced Entry'!W$8="Decrease Risk",10-10*((IF('Advanced Entry'!W$5="Logarithm",LN(0.001+'Advanced Entry'!W44),IF('Advanced Entry'!W$5="Exponential",EXP('Advanced Entry'!W44),'Advanced Entry'!W44)))-'Advanced Entry'!W$6)/('Advanced Entry'!W$7-'Advanced Entry'!W$6),10*((IF('Advanced Entry'!W$5="Logarithm",LN(0.001+'Advanced Entry'!W44),IF('Advanced Entry'!W$5="Exponential",EXP('Advanced Entry'!W44),'Advanced Entry'!W44)))-'Advanced Entry'!W$6)/('Advanced Entry'!W$7-'Advanced Entry'!W$6)),1))),"No data"))</f>
        <v/>
      </c>
      <c r="X44" s="17">
        <f>IF('Advanced Entry'!X44="","",IFERROR(MAX(0,MIN(10,ROUND(IF('Advanced Entry'!X$8="Decrease Risk",10-10*((IF('Advanced Entry'!X$5="Logarithm",LN(0.001+'Advanced Entry'!X44),IF('Advanced Entry'!X$5="Exponential",EXP('Advanced Entry'!X44),'Advanced Entry'!X44)))-'Advanced Entry'!X$6)/('Advanced Entry'!X$7-'Advanced Entry'!X$6),10*((IF('Advanced Entry'!X$5="Logarithm",LN(0.001+'Advanced Entry'!X44),IF('Advanced Entry'!X$5="Exponential",EXP('Advanced Entry'!X44),'Advanced Entry'!X44)))-'Advanced Entry'!X$6)/('Advanced Entry'!X$7-'Advanced Entry'!X$6)),1))),"No data"))</f>
        <v/>
      </c>
      <c r="Y44" s="17">
        <f>IF('Advanced Entry'!Y44="","",IFERROR(MAX(0,MIN(10,ROUND(IF('Advanced Entry'!Y$8="Decrease Risk",10-10*((IF('Advanced Entry'!Y$5="Logarithm",LN(0.001+'Advanced Entry'!Y44),IF('Advanced Entry'!Y$5="Exponential",EXP('Advanced Entry'!Y44),'Advanced Entry'!Y44)))-'Advanced Entry'!Y$6)/('Advanced Entry'!Y$7-'Advanced Entry'!Y$6),10*((IF('Advanced Entry'!Y$5="Logarithm",LN(0.001+'Advanced Entry'!Y44),IF('Advanced Entry'!Y$5="Exponential",EXP('Advanced Entry'!Y44),'Advanced Entry'!Y44)))-'Advanced Entry'!Y$6)/('Advanced Entry'!Y$7-'Advanced Entry'!Y$6)),1))),"No data"))</f>
        <v/>
      </c>
      <c r="Z44" s="17">
        <f>IF('Advanced Entry'!Z44="","",IFERROR(MAX(0,MIN(10,ROUND(IF('Advanced Entry'!Z$8="Decrease Risk",10-10*((IF('Advanced Entry'!Z$5="Logarithm",LN(0.001+'Advanced Entry'!Z44),IF('Advanced Entry'!Z$5="Exponential",EXP('Advanced Entry'!Z44),'Advanced Entry'!Z44)))-'Advanced Entry'!Z$6)/('Advanced Entry'!Z$7-'Advanced Entry'!Z$6),10*((IF('Advanced Entry'!Z$5="Logarithm",LN(0.001+'Advanced Entry'!Z44),IF('Advanced Entry'!Z$5="Exponential",EXP('Advanced Entry'!Z44),'Advanced Entry'!Z44)))-'Advanced Entry'!Z$6)/('Advanced Entry'!Z$7-'Advanced Entry'!Z$6)),1))),"No data"))</f>
        <v/>
      </c>
      <c r="AA44" s="17">
        <f>IF('Advanced Entry'!AA44="","",IFERROR(MAX(0,MIN(10,ROUND(IF('Advanced Entry'!AA$8="Decrease Risk",10-10*((IF('Advanced Entry'!AA$5="Logarithm",LN(0.001+'Advanced Entry'!AA44),IF('Advanced Entry'!AA$5="Exponential",EXP('Advanced Entry'!AA44),'Advanced Entry'!AA44)))-'Advanced Entry'!AA$6)/('Advanced Entry'!AA$7-'Advanced Entry'!AA$6),10*((IF('Advanced Entry'!AA$5="Logarithm",LN(0.001+'Advanced Entry'!AA44),IF('Advanced Entry'!AA$5="Exponential",EXP('Advanced Entry'!AA44),'Advanced Entry'!AA44)))-'Advanced Entry'!AA$6)/('Advanced Entry'!AA$7-'Advanced Entry'!AA$6)),1))),"No data"))</f>
        <v/>
      </c>
      <c r="AB44" s="17">
        <f>IF('Advanced Entry'!AB44="","",IFERROR(MAX(0,MIN(10,ROUND(IF('Advanced Entry'!AB$8="Decrease Risk",10-10*((IF('Advanced Entry'!AB$5="Logarithm",LN(0.001+'Advanced Entry'!AB44),IF('Advanced Entry'!AB$5="Exponential",EXP('Advanced Entry'!AB44),'Advanced Entry'!AB44)))-'Advanced Entry'!AB$6)/('Advanced Entry'!AB$7-'Advanced Entry'!AB$6),10*((IF('Advanced Entry'!AB$5="Logarithm",LN(0.001+'Advanced Entry'!AB44),IF('Advanced Entry'!AB$5="Exponential",EXP('Advanced Entry'!AB44),'Advanced Entry'!AB44)))-'Advanced Entry'!AB$6)/('Advanced Entry'!AB$7-'Advanced Entry'!AB$6)),1))),"No data"))</f>
        <v/>
      </c>
    </row>
    <row r="45">
      <c r="A45" t="inlineStr">
        <is>
          <t>Kagera</t>
        </is>
      </c>
      <c r="B45" t="inlineStr">
        <is>
          <t>Karagwe District</t>
        </is>
      </c>
      <c r="C45" t="inlineStr">
        <is>
          <t>C125</t>
        </is>
      </c>
      <c r="D45" s="17">
        <f>IF('Advanced Entry'!D45="","",IFERROR(MAX(0,MIN(10,ROUND(IF('Advanced Entry'!D$8="Decrease Risk",10-10*((IF('Advanced Entry'!D$5="Logarithm",LN(0.001+'Advanced Entry'!D45),IF('Advanced Entry'!D$5="Exponential",EXP('Advanced Entry'!D45),'Advanced Entry'!D45)))-'Advanced Entry'!D$6)/('Advanced Entry'!D$7-'Advanced Entry'!D$6),10*((IF('Advanced Entry'!D$5="Logarithm",LN(0.001+'Advanced Entry'!D45),IF('Advanced Entry'!D$5="Exponential",EXP('Advanced Entry'!D45),'Advanced Entry'!D45)))-'Advanced Entry'!D$6)/('Advanced Entry'!D$7-'Advanced Entry'!D$6)),1))),"No data"))</f>
        <v/>
      </c>
      <c r="E45" s="17">
        <f>IF('Advanced Entry'!E45="","",IFERROR(MAX(0,MIN(10,ROUND(IF('Advanced Entry'!E$8="Decrease Risk",10-10*((IF('Advanced Entry'!E$5="Logarithm",LN(0.001+'Advanced Entry'!E45),IF('Advanced Entry'!E$5="Exponential",EXP('Advanced Entry'!E45),'Advanced Entry'!E45)))-'Advanced Entry'!E$6)/('Advanced Entry'!E$7-'Advanced Entry'!E$6),10*((IF('Advanced Entry'!E$5="Logarithm",LN(0.001+'Advanced Entry'!E45),IF('Advanced Entry'!E$5="Exponential",EXP('Advanced Entry'!E45),'Advanced Entry'!E45)))-'Advanced Entry'!E$6)/('Advanced Entry'!E$7-'Advanced Entry'!E$6)),1))),"No data"))</f>
        <v/>
      </c>
      <c r="F45" s="17">
        <f>IF('Advanced Entry'!F45="","",IFERROR(MAX(0,MIN(10,ROUND(IF('Advanced Entry'!F$8="Decrease Risk",10-10*((IF('Advanced Entry'!F$5="Logarithm",LN(0.001+'Advanced Entry'!F45),IF('Advanced Entry'!F$5="Exponential",EXP('Advanced Entry'!F45),'Advanced Entry'!F45)))-'Advanced Entry'!F$6)/('Advanced Entry'!F$7-'Advanced Entry'!F$6),10*((IF('Advanced Entry'!F$5="Logarithm",LN(0.001+'Advanced Entry'!F45),IF('Advanced Entry'!F$5="Exponential",EXP('Advanced Entry'!F45),'Advanced Entry'!F45)))-'Advanced Entry'!F$6)/('Advanced Entry'!F$7-'Advanced Entry'!F$6)),1))),"No data"))</f>
        <v/>
      </c>
      <c r="G45" s="17">
        <f>IF('Advanced Entry'!G45="","",IFERROR(MAX(0,MIN(10,ROUND(IF('Advanced Entry'!G$8="Decrease Risk",10-10*((IF('Advanced Entry'!G$5="Logarithm",LN(0.001+'Advanced Entry'!G45),IF('Advanced Entry'!G$5="Exponential",EXP('Advanced Entry'!G45),'Advanced Entry'!G45)))-'Advanced Entry'!G$6)/('Advanced Entry'!G$7-'Advanced Entry'!G$6),10*((IF('Advanced Entry'!G$5="Logarithm",LN(0.001+'Advanced Entry'!G45),IF('Advanced Entry'!G$5="Exponential",EXP('Advanced Entry'!G45),'Advanced Entry'!G45)))-'Advanced Entry'!G$6)/('Advanced Entry'!G$7-'Advanced Entry'!G$6)),1))),"No data"))</f>
        <v/>
      </c>
      <c r="H45" s="17">
        <f>IF('Advanced Entry'!H45="","",IFERROR(MAX(0,MIN(10,ROUND(IF('Advanced Entry'!H$8="Decrease Risk",10-10*((IF('Advanced Entry'!H$5="Logarithm",LN(0.001+'Advanced Entry'!H45),IF('Advanced Entry'!H$5="Exponential",EXP('Advanced Entry'!H45),'Advanced Entry'!H45)))-'Advanced Entry'!H$6)/('Advanced Entry'!H$7-'Advanced Entry'!H$6),10*((IF('Advanced Entry'!H$5="Logarithm",LN(0.001+'Advanced Entry'!H45),IF('Advanced Entry'!H$5="Exponential",EXP('Advanced Entry'!H45),'Advanced Entry'!H45)))-'Advanced Entry'!H$6)/('Advanced Entry'!H$7-'Advanced Entry'!H$6)),1))),"No data"))</f>
        <v/>
      </c>
      <c r="I45" s="17">
        <f>IF('Advanced Entry'!I45="","",IFERROR(MAX(0,MIN(10,ROUND(IF('Advanced Entry'!I$8="Decrease Risk",10-10*((IF('Advanced Entry'!I$5="Logarithm",LN(0.001+'Advanced Entry'!I45),IF('Advanced Entry'!I$5="Exponential",EXP('Advanced Entry'!I45),'Advanced Entry'!I45)))-'Advanced Entry'!I$6)/('Advanced Entry'!I$7-'Advanced Entry'!I$6),10*((IF('Advanced Entry'!I$5="Logarithm",LN(0.001+'Advanced Entry'!I45),IF('Advanced Entry'!I$5="Exponential",EXP('Advanced Entry'!I45),'Advanced Entry'!I45)))-'Advanced Entry'!I$6)/('Advanced Entry'!I$7-'Advanced Entry'!I$6)),1))),"No data"))</f>
        <v/>
      </c>
      <c r="J45" s="17">
        <f>IF('Advanced Entry'!J45="","",IFERROR(MAX(0,MIN(10,ROUND(IF('Advanced Entry'!J$8="Decrease Risk",10-10*((IF('Advanced Entry'!J$5="Logarithm",LN(0.001+'Advanced Entry'!J45),IF('Advanced Entry'!J$5="Exponential",EXP('Advanced Entry'!J45),'Advanced Entry'!J45)))-'Advanced Entry'!J$6)/('Advanced Entry'!J$7-'Advanced Entry'!J$6),10*((IF('Advanced Entry'!J$5="Logarithm",LN(0.001+'Advanced Entry'!J45),IF('Advanced Entry'!J$5="Exponential",EXP('Advanced Entry'!J45),'Advanced Entry'!J45)))-'Advanced Entry'!J$6)/('Advanced Entry'!J$7-'Advanced Entry'!J$6)),1))),"No data"))</f>
        <v/>
      </c>
      <c r="K45" s="17">
        <f>IF('Advanced Entry'!K45="","",IFERROR(MAX(0,MIN(10,ROUND(IF('Advanced Entry'!K$8="Decrease Risk",10-10*((IF('Advanced Entry'!K$5="Logarithm",LN(0.001+'Advanced Entry'!K45),IF('Advanced Entry'!K$5="Exponential",EXP('Advanced Entry'!K45),'Advanced Entry'!K45)))-'Advanced Entry'!K$6)/('Advanced Entry'!K$7-'Advanced Entry'!K$6),10*((IF('Advanced Entry'!K$5="Logarithm",LN(0.001+'Advanced Entry'!K45),IF('Advanced Entry'!K$5="Exponential",EXP('Advanced Entry'!K45),'Advanced Entry'!K45)))-'Advanced Entry'!K$6)/('Advanced Entry'!K$7-'Advanced Entry'!K$6)),1))),"No data"))</f>
        <v/>
      </c>
      <c r="L45" s="17">
        <f>IF('Advanced Entry'!L45="","",IFERROR(MAX(0,MIN(10,ROUND(IF('Advanced Entry'!L$8="Decrease Risk",10-10*((IF('Advanced Entry'!L$5="Logarithm",LN(0.001+'Advanced Entry'!L45),IF('Advanced Entry'!L$5="Exponential",EXP('Advanced Entry'!L45),'Advanced Entry'!L45)))-'Advanced Entry'!L$6)/('Advanced Entry'!L$7-'Advanced Entry'!L$6),10*((IF('Advanced Entry'!L$5="Logarithm",LN(0.001+'Advanced Entry'!L45),IF('Advanced Entry'!L$5="Exponential",EXP('Advanced Entry'!L45),'Advanced Entry'!L45)))-'Advanced Entry'!L$6)/('Advanced Entry'!L$7-'Advanced Entry'!L$6)),1))),"No data"))</f>
        <v/>
      </c>
      <c r="M45" s="17">
        <f>IF('Advanced Entry'!M45="","",IFERROR(MAX(0,MIN(10,ROUND(IF('Advanced Entry'!M$8="Decrease Risk",10-10*((IF('Advanced Entry'!M$5="Logarithm",LN(0.001+'Advanced Entry'!M45),IF('Advanced Entry'!M$5="Exponential",EXP('Advanced Entry'!M45),'Advanced Entry'!M45)))-'Advanced Entry'!M$6)/('Advanced Entry'!M$7-'Advanced Entry'!M$6),10*((IF('Advanced Entry'!M$5="Logarithm",LN(0.001+'Advanced Entry'!M45),IF('Advanced Entry'!M$5="Exponential",EXP('Advanced Entry'!M45),'Advanced Entry'!M45)))-'Advanced Entry'!M$6)/('Advanced Entry'!M$7-'Advanced Entry'!M$6)),1))),"No data"))</f>
        <v/>
      </c>
      <c r="N45" s="17">
        <f>IF('Advanced Entry'!N45="","",IFERROR(MAX(0,MIN(10,ROUND(IF('Advanced Entry'!N$8="Decrease Risk",10-10*((IF('Advanced Entry'!N$5="Logarithm",LN(0.001+'Advanced Entry'!N45),IF('Advanced Entry'!N$5="Exponential",EXP('Advanced Entry'!N45),'Advanced Entry'!N45)))-'Advanced Entry'!N$6)/('Advanced Entry'!N$7-'Advanced Entry'!N$6),10*((IF('Advanced Entry'!N$5="Logarithm",LN(0.001+'Advanced Entry'!N45),IF('Advanced Entry'!N$5="Exponential",EXP('Advanced Entry'!N45),'Advanced Entry'!N45)))-'Advanced Entry'!N$6)/('Advanced Entry'!N$7-'Advanced Entry'!N$6)),1))),"No data"))</f>
        <v/>
      </c>
      <c r="O45" s="17">
        <f>IF('Advanced Entry'!O45="","",IFERROR(MAX(0,MIN(10,ROUND(IF('Advanced Entry'!O$8="Decrease Risk",10-10*((IF('Advanced Entry'!O$5="Logarithm",LN(0.001+'Advanced Entry'!O45),IF('Advanced Entry'!O$5="Exponential",EXP('Advanced Entry'!O45),'Advanced Entry'!O45)))-'Advanced Entry'!O$6)/('Advanced Entry'!O$7-'Advanced Entry'!O$6),10*((IF('Advanced Entry'!O$5="Logarithm",LN(0.001+'Advanced Entry'!O45),IF('Advanced Entry'!O$5="Exponential",EXP('Advanced Entry'!O45),'Advanced Entry'!O45)))-'Advanced Entry'!O$6)/('Advanced Entry'!O$7-'Advanced Entry'!O$6)),1))),"No data"))</f>
        <v/>
      </c>
      <c r="P45" s="17">
        <f>IF('Advanced Entry'!P45="","",IFERROR(MAX(0,MIN(10,ROUND(IF('Advanced Entry'!P$8="Decrease Risk",10-10*((IF('Advanced Entry'!P$5="Logarithm",LN(0.001+'Advanced Entry'!P45),IF('Advanced Entry'!P$5="Exponential",EXP('Advanced Entry'!P45),'Advanced Entry'!P45)))-'Advanced Entry'!P$6)/('Advanced Entry'!P$7-'Advanced Entry'!P$6),10*((IF('Advanced Entry'!P$5="Logarithm",LN(0.001+'Advanced Entry'!P45),IF('Advanced Entry'!P$5="Exponential",EXP('Advanced Entry'!P45),'Advanced Entry'!P45)))-'Advanced Entry'!P$6)/('Advanced Entry'!P$7-'Advanced Entry'!P$6)),1))),"No data"))</f>
        <v/>
      </c>
      <c r="Q45" s="17">
        <f>IF('Advanced Entry'!Q45="","",IFERROR(MAX(0,MIN(10,ROUND(IF('Advanced Entry'!Q$8="Decrease Risk",10-10*((IF('Advanced Entry'!Q$5="Logarithm",LN(0.001+'Advanced Entry'!Q45),IF('Advanced Entry'!Q$5="Exponential",EXP('Advanced Entry'!Q45),'Advanced Entry'!Q45)))-'Advanced Entry'!Q$6)/('Advanced Entry'!Q$7-'Advanced Entry'!Q$6),10*((IF('Advanced Entry'!Q$5="Logarithm",LN(0.001+'Advanced Entry'!Q45),IF('Advanced Entry'!Q$5="Exponential",EXP('Advanced Entry'!Q45),'Advanced Entry'!Q45)))-'Advanced Entry'!Q$6)/('Advanced Entry'!Q$7-'Advanced Entry'!Q$6)),1))),"No data"))</f>
        <v/>
      </c>
      <c r="R45" s="17">
        <f>IF('Advanced Entry'!R45="","",IFERROR(MAX(0,MIN(10,ROUND(IF('Advanced Entry'!R$8="Decrease Risk",10-10*((IF('Advanced Entry'!R$5="Logarithm",LN(0.001+'Advanced Entry'!R45),IF('Advanced Entry'!R$5="Exponential",EXP('Advanced Entry'!R45),'Advanced Entry'!R45)))-'Advanced Entry'!R$6)/('Advanced Entry'!R$7-'Advanced Entry'!R$6),10*((IF('Advanced Entry'!R$5="Logarithm",LN(0.001+'Advanced Entry'!R45),IF('Advanced Entry'!R$5="Exponential",EXP('Advanced Entry'!R45),'Advanced Entry'!R45)))-'Advanced Entry'!R$6)/('Advanced Entry'!R$7-'Advanced Entry'!R$6)),1))),"No data"))</f>
        <v/>
      </c>
      <c r="S45" s="17">
        <f>IF('Advanced Entry'!S45="","",IFERROR(MAX(0,MIN(10,ROUND(IF('Advanced Entry'!S$8="Decrease Risk",10-10*((IF('Advanced Entry'!S$5="Logarithm",LN(0.001+'Advanced Entry'!S45),IF('Advanced Entry'!S$5="Exponential",EXP('Advanced Entry'!S45),'Advanced Entry'!S45)))-'Advanced Entry'!S$6)/('Advanced Entry'!S$7-'Advanced Entry'!S$6),10*((IF('Advanced Entry'!S$5="Logarithm",LN(0.001+'Advanced Entry'!S45),IF('Advanced Entry'!S$5="Exponential",EXP('Advanced Entry'!S45),'Advanced Entry'!S45)))-'Advanced Entry'!S$6)/('Advanced Entry'!S$7-'Advanced Entry'!S$6)),1))),"No data"))</f>
        <v/>
      </c>
      <c r="T45" s="17">
        <f>IF('Advanced Entry'!T45="","",IFERROR(MAX(0,MIN(10,ROUND(IF('Advanced Entry'!T$8="Decrease Risk",10-10*((IF('Advanced Entry'!T$5="Logarithm",LN(0.001+'Advanced Entry'!T45),IF('Advanced Entry'!T$5="Exponential",EXP('Advanced Entry'!T45),'Advanced Entry'!T45)))-'Advanced Entry'!T$6)/('Advanced Entry'!T$7-'Advanced Entry'!T$6),10*((IF('Advanced Entry'!T$5="Logarithm",LN(0.001+'Advanced Entry'!T45),IF('Advanced Entry'!T$5="Exponential",EXP('Advanced Entry'!T45),'Advanced Entry'!T45)))-'Advanced Entry'!T$6)/('Advanced Entry'!T$7-'Advanced Entry'!T$6)),1))),"No data"))</f>
        <v/>
      </c>
      <c r="U45" s="17">
        <f>IF('Advanced Entry'!U45="","",IFERROR(MAX(0,MIN(10,ROUND(IF('Advanced Entry'!U$8="Decrease Risk",10-10*((IF('Advanced Entry'!U$5="Logarithm",LN(0.001+'Advanced Entry'!U45),IF('Advanced Entry'!U$5="Exponential",EXP('Advanced Entry'!U45),'Advanced Entry'!U45)))-'Advanced Entry'!U$6)/('Advanced Entry'!U$7-'Advanced Entry'!U$6),10*((IF('Advanced Entry'!U$5="Logarithm",LN(0.001+'Advanced Entry'!U45),IF('Advanced Entry'!U$5="Exponential",EXP('Advanced Entry'!U45),'Advanced Entry'!U45)))-'Advanced Entry'!U$6)/('Advanced Entry'!U$7-'Advanced Entry'!U$6)),1))),"No data"))</f>
        <v/>
      </c>
      <c r="V45" s="17">
        <f>IF('Advanced Entry'!V45="","",IFERROR(MAX(0,MIN(10,ROUND(IF('Advanced Entry'!V$8="Decrease Risk",10-10*((IF('Advanced Entry'!V$5="Logarithm",LN(0.001+'Advanced Entry'!V45),IF('Advanced Entry'!V$5="Exponential",EXP('Advanced Entry'!V45),'Advanced Entry'!V45)))-'Advanced Entry'!V$6)/('Advanced Entry'!V$7-'Advanced Entry'!V$6),10*((IF('Advanced Entry'!V$5="Logarithm",LN(0.001+'Advanced Entry'!V45),IF('Advanced Entry'!V$5="Exponential",EXP('Advanced Entry'!V45),'Advanced Entry'!V45)))-'Advanced Entry'!V$6)/('Advanced Entry'!V$7-'Advanced Entry'!V$6)),1))),"No data"))</f>
        <v/>
      </c>
      <c r="W45" s="17">
        <f>IF('Advanced Entry'!W45="","",IFERROR(MAX(0,MIN(10,ROUND(IF('Advanced Entry'!W$8="Decrease Risk",10-10*((IF('Advanced Entry'!W$5="Logarithm",LN(0.001+'Advanced Entry'!W45),IF('Advanced Entry'!W$5="Exponential",EXP('Advanced Entry'!W45),'Advanced Entry'!W45)))-'Advanced Entry'!W$6)/('Advanced Entry'!W$7-'Advanced Entry'!W$6),10*((IF('Advanced Entry'!W$5="Logarithm",LN(0.001+'Advanced Entry'!W45),IF('Advanced Entry'!W$5="Exponential",EXP('Advanced Entry'!W45),'Advanced Entry'!W45)))-'Advanced Entry'!W$6)/('Advanced Entry'!W$7-'Advanced Entry'!W$6)),1))),"No data"))</f>
        <v/>
      </c>
      <c r="X45" s="17">
        <f>IF('Advanced Entry'!X45="","",IFERROR(MAX(0,MIN(10,ROUND(IF('Advanced Entry'!X$8="Decrease Risk",10-10*((IF('Advanced Entry'!X$5="Logarithm",LN(0.001+'Advanced Entry'!X45),IF('Advanced Entry'!X$5="Exponential",EXP('Advanced Entry'!X45),'Advanced Entry'!X45)))-'Advanced Entry'!X$6)/('Advanced Entry'!X$7-'Advanced Entry'!X$6),10*((IF('Advanced Entry'!X$5="Logarithm",LN(0.001+'Advanced Entry'!X45),IF('Advanced Entry'!X$5="Exponential",EXP('Advanced Entry'!X45),'Advanced Entry'!X45)))-'Advanced Entry'!X$6)/('Advanced Entry'!X$7-'Advanced Entry'!X$6)),1))),"No data"))</f>
        <v/>
      </c>
      <c r="Y45" s="17">
        <f>IF('Advanced Entry'!Y45="","",IFERROR(MAX(0,MIN(10,ROUND(IF('Advanced Entry'!Y$8="Decrease Risk",10-10*((IF('Advanced Entry'!Y$5="Logarithm",LN(0.001+'Advanced Entry'!Y45),IF('Advanced Entry'!Y$5="Exponential",EXP('Advanced Entry'!Y45),'Advanced Entry'!Y45)))-'Advanced Entry'!Y$6)/('Advanced Entry'!Y$7-'Advanced Entry'!Y$6),10*((IF('Advanced Entry'!Y$5="Logarithm",LN(0.001+'Advanced Entry'!Y45),IF('Advanced Entry'!Y$5="Exponential",EXP('Advanced Entry'!Y45),'Advanced Entry'!Y45)))-'Advanced Entry'!Y$6)/('Advanced Entry'!Y$7-'Advanced Entry'!Y$6)),1))),"No data"))</f>
        <v/>
      </c>
      <c r="Z45" s="17">
        <f>IF('Advanced Entry'!Z45="","",IFERROR(MAX(0,MIN(10,ROUND(IF('Advanced Entry'!Z$8="Decrease Risk",10-10*((IF('Advanced Entry'!Z$5="Logarithm",LN(0.001+'Advanced Entry'!Z45),IF('Advanced Entry'!Z$5="Exponential",EXP('Advanced Entry'!Z45),'Advanced Entry'!Z45)))-'Advanced Entry'!Z$6)/('Advanced Entry'!Z$7-'Advanced Entry'!Z$6),10*((IF('Advanced Entry'!Z$5="Logarithm",LN(0.001+'Advanced Entry'!Z45),IF('Advanced Entry'!Z$5="Exponential",EXP('Advanced Entry'!Z45),'Advanced Entry'!Z45)))-'Advanced Entry'!Z$6)/('Advanced Entry'!Z$7-'Advanced Entry'!Z$6)),1))),"No data"))</f>
        <v/>
      </c>
      <c r="AA45" s="17">
        <f>IF('Advanced Entry'!AA45="","",IFERROR(MAX(0,MIN(10,ROUND(IF('Advanced Entry'!AA$8="Decrease Risk",10-10*((IF('Advanced Entry'!AA$5="Logarithm",LN(0.001+'Advanced Entry'!AA45),IF('Advanced Entry'!AA$5="Exponential",EXP('Advanced Entry'!AA45),'Advanced Entry'!AA45)))-'Advanced Entry'!AA$6)/('Advanced Entry'!AA$7-'Advanced Entry'!AA$6),10*((IF('Advanced Entry'!AA$5="Logarithm",LN(0.001+'Advanced Entry'!AA45),IF('Advanced Entry'!AA$5="Exponential",EXP('Advanced Entry'!AA45),'Advanced Entry'!AA45)))-'Advanced Entry'!AA$6)/('Advanced Entry'!AA$7-'Advanced Entry'!AA$6)),1))),"No data"))</f>
        <v/>
      </c>
      <c r="AB45" s="17">
        <f>IF('Advanced Entry'!AB45="","",IFERROR(MAX(0,MIN(10,ROUND(IF('Advanced Entry'!AB$8="Decrease Risk",10-10*((IF('Advanced Entry'!AB$5="Logarithm",LN(0.001+'Advanced Entry'!AB45),IF('Advanced Entry'!AB$5="Exponential",EXP('Advanced Entry'!AB45),'Advanced Entry'!AB45)))-'Advanced Entry'!AB$6)/('Advanced Entry'!AB$7-'Advanced Entry'!AB$6),10*((IF('Advanced Entry'!AB$5="Logarithm",LN(0.001+'Advanced Entry'!AB45),IF('Advanced Entry'!AB$5="Exponential",EXP('Advanced Entry'!AB45),'Advanced Entry'!AB45)))-'Advanced Entry'!AB$6)/('Advanced Entry'!AB$7-'Advanced Entry'!AB$6)),1))),"No data"))</f>
        <v/>
      </c>
    </row>
    <row r="46">
      <c r="A46" t="inlineStr">
        <is>
          <t>Kagera</t>
        </is>
      </c>
      <c r="B46" t="inlineStr">
        <is>
          <t>Kyerwa District</t>
        </is>
      </c>
      <c r="C46" t="inlineStr">
        <is>
          <t>C131</t>
        </is>
      </c>
      <c r="D46" s="17">
        <f>IF('Advanced Entry'!D46="","",IFERROR(MAX(0,MIN(10,ROUND(IF('Advanced Entry'!D$8="Decrease Risk",10-10*((IF('Advanced Entry'!D$5="Logarithm",LN(0.001+'Advanced Entry'!D46),IF('Advanced Entry'!D$5="Exponential",EXP('Advanced Entry'!D46),'Advanced Entry'!D46)))-'Advanced Entry'!D$6)/('Advanced Entry'!D$7-'Advanced Entry'!D$6),10*((IF('Advanced Entry'!D$5="Logarithm",LN(0.001+'Advanced Entry'!D46),IF('Advanced Entry'!D$5="Exponential",EXP('Advanced Entry'!D46),'Advanced Entry'!D46)))-'Advanced Entry'!D$6)/('Advanced Entry'!D$7-'Advanced Entry'!D$6)),1))),"No data"))</f>
        <v/>
      </c>
      <c r="E46" s="17">
        <f>IF('Advanced Entry'!E46="","",IFERROR(MAX(0,MIN(10,ROUND(IF('Advanced Entry'!E$8="Decrease Risk",10-10*((IF('Advanced Entry'!E$5="Logarithm",LN(0.001+'Advanced Entry'!E46),IF('Advanced Entry'!E$5="Exponential",EXP('Advanced Entry'!E46),'Advanced Entry'!E46)))-'Advanced Entry'!E$6)/('Advanced Entry'!E$7-'Advanced Entry'!E$6),10*((IF('Advanced Entry'!E$5="Logarithm",LN(0.001+'Advanced Entry'!E46),IF('Advanced Entry'!E$5="Exponential",EXP('Advanced Entry'!E46),'Advanced Entry'!E46)))-'Advanced Entry'!E$6)/('Advanced Entry'!E$7-'Advanced Entry'!E$6)),1))),"No data"))</f>
        <v/>
      </c>
      <c r="F46" s="17">
        <f>IF('Advanced Entry'!F46="","",IFERROR(MAX(0,MIN(10,ROUND(IF('Advanced Entry'!F$8="Decrease Risk",10-10*((IF('Advanced Entry'!F$5="Logarithm",LN(0.001+'Advanced Entry'!F46),IF('Advanced Entry'!F$5="Exponential",EXP('Advanced Entry'!F46),'Advanced Entry'!F46)))-'Advanced Entry'!F$6)/('Advanced Entry'!F$7-'Advanced Entry'!F$6),10*((IF('Advanced Entry'!F$5="Logarithm",LN(0.001+'Advanced Entry'!F46),IF('Advanced Entry'!F$5="Exponential",EXP('Advanced Entry'!F46),'Advanced Entry'!F46)))-'Advanced Entry'!F$6)/('Advanced Entry'!F$7-'Advanced Entry'!F$6)),1))),"No data"))</f>
        <v/>
      </c>
      <c r="G46" s="17">
        <f>IF('Advanced Entry'!G46="","",IFERROR(MAX(0,MIN(10,ROUND(IF('Advanced Entry'!G$8="Decrease Risk",10-10*((IF('Advanced Entry'!G$5="Logarithm",LN(0.001+'Advanced Entry'!G46),IF('Advanced Entry'!G$5="Exponential",EXP('Advanced Entry'!G46),'Advanced Entry'!G46)))-'Advanced Entry'!G$6)/('Advanced Entry'!G$7-'Advanced Entry'!G$6),10*((IF('Advanced Entry'!G$5="Logarithm",LN(0.001+'Advanced Entry'!G46),IF('Advanced Entry'!G$5="Exponential",EXP('Advanced Entry'!G46),'Advanced Entry'!G46)))-'Advanced Entry'!G$6)/('Advanced Entry'!G$7-'Advanced Entry'!G$6)),1))),"No data"))</f>
        <v/>
      </c>
      <c r="H46" s="17">
        <f>IF('Advanced Entry'!H46="","",IFERROR(MAX(0,MIN(10,ROUND(IF('Advanced Entry'!H$8="Decrease Risk",10-10*((IF('Advanced Entry'!H$5="Logarithm",LN(0.001+'Advanced Entry'!H46),IF('Advanced Entry'!H$5="Exponential",EXP('Advanced Entry'!H46),'Advanced Entry'!H46)))-'Advanced Entry'!H$6)/('Advanced Entry'!H$7-'Advanced Entry'!H$6),10*((IF('Advanced Entry'!H$5="Logarithm",LN(0.001+'Advanced Entry'!H46),IF('Advanced Entry'!H$5="Exponential",EXP('Advanced Entry'!H46),'Advanced Entry'!H46)))-'Advanced Entry'!H$6)/('Advanced Entry'!H$7-'Advanced Entry'!H$6)),1))),"No data"))</f>
        <v/>
      </c>
      <c r="I46" s="17">
        <f>IF('Advanced Entry'!I46="","",IFERROR(MAX(0,MIN(10,ROUND(IF('Advanced Entry'!I$8="Decrease Risk",10-10*((IF('Advanced Entry'!I$5="Logarithm",LN(0.001+'Advanced Entry'!I46),IF('Advanced Entry'!I$5="Exponential",EXP('Advanced Entry'!I46),'Advanced Entry'!I46)))-'Advanced Entry'!I$6)/('Advanced Entry'!I$7-'Advanced Entry'!I$6),10*((IF('Advanced Entry'!I$5="Logarithm",LN(0.001+'Advanced Entry'!I46),IF('Advanced Entry'!I$5="Exponential",EXP('Advanced Entry'!I46),'Advanced Entry'!I46)))-'Advanced Entry'!I$6)/('Advanced Entry'!I$7-'Advanced Entry'!I$6)),1))),"No data"))</f>
        <v/>
      </c>
      <c r="J46" s="17">
        <f>IF('Advanced Entry'!J46="","",IFERROR(MAX(0,MIN(10,ROUND(IF('Advanced Entry'!J$8="Decrease Risk",10-10*((IF('Advanced Entry'!J$5="Logarithm",LN(0.001+'Advanced Entry'!J46),IF('Advanced Entry'!J$5="Exponential",EXP('Advanced Entry'!J46),'Advanced Entry'!J46)))-'Advanced Entry'!J$6)/('Advanced Entry'!J$7-'Advanced Entry'!J$6),10*((IF('Advanced Entry'!J$5="Logarithm",LN(0.001+'Advanced Entry'!J46),IF('Advanced Entry'!J$5="Exponential",EXP('Advanced Entry'!J46),'Advanced Entry'!J46)))-'Advanced Entry'!J$6)/('Advanced Entry'!J$7-'Advanced Entry'!J$6)),1))),"No data"))</f>
        <v/>
      </c>
      <c r="K46" s="17">
        <f>IF('Advanced Entry'!K46="","",IFERROR(MAX(0,MIN(10,ROUND(IF('Advanced Entry'!K$8="Decrease Risk",10-10*((IF('Advanced Entry'!K$5="Logarithm",LN(0.001+'Advanced Entry'!K46),IF('Advanced Entry'!K$5="Exponential",EXP('Advanced Entry'!K46),'Advanced Entry'!K46)))-'Advanced Entry'!K$6)/('Advanced Entry'!K$7-'Advanced Entry'!K$6),10*((IF('Advanced Entry'!K$5="Logarithm",LN(0.001+'Advanced Entry'!K46),IF('Advanced Entry'!K$5="Exponential",EXP('Advanced Entry'!K46),'Advanced Entry'!K46)))-'Advanced Entry'!K$6)/('Advanced Entry'!K$7-'Advanced Entry'!K$6)),1))),"No data"))</f>
        <v/>
      </c>
      <c r="L46" s="17">
        <f>IF('Advanced Entry'!L46="","",IFERROR(MAX(0,MIN(10,ROUND(IF('Advanced Entry'!L$8="Decrease Risk",10-10*((IF('Advanced Entry'!L$5="Logarithm",LN(0.001+'Advanced Entry'!L46),IF('Advanced Entry'!L$5="Exponential",EXP('Advanced Entry'!L46),'Advanced Entry'!L46)))-'Advanced Entry'!L$6)/('Advanced Entry'!L$7-'Advanced Entry'!L$6),10*((IF('Advanced Entry'!L$5="Logarithm",LN(0.001+'Advanced Entry'!L46),IF('Advanced Entry'!L$5="Exponential",EXP('Advanced Entry'!L46),'Advanced Entry'!L46)))-'Advanced Entry'!L$6)/('Advanced Entry'!L$7-'Advanced Entry'!L$6)),1))),"No data"))</f>
        <v/>
      </c>
      <c r="M46" s="17">
        <f>IF('Advanced Entry'!M46="","",IFERROR(MAX(0,MIN(10,ROUND(IF('Advanced Entry'!M$8="Decrease Risk",10-10*((IF('Advanced Entry'!M$5="Logarithm",LN(0.001+'Advanced Entry'!M46),IF('Advanced Entry'!M$5="Exponential",EXP('Advanced Entry'!M46),'Advanced Entry'!M46)))-'Advanced Entry'!M$6)/('Advanced Entry'!M$7-'Advanced Entry'!M$6),10*((IF('Advanced Entry'!M$5="Logarithm",LN(0.001+'Advanced Entry'!M46),IF('Advanced Entry'!M$5="Exponential",EXP('Advanced Entry'!M46),'Advanced Entry'!M46)))-'Advanced Entry'!M$6)/('Advanced Entry'!M$7-'Advanced Entry'!M$6)),1))),"No data"))</f>
        <v/>
      </c>
      <c r="N46" s="17">
        <f>IF('Advanced Entry'!N46="","",IFERROR(MAX(0,MIN(10,ROUND(IF('Advanced Entry'!N$8="Decrease Risk",10-10*((IF('Advanced Entry'!N$5="Logarithm",LN(0.001+'Advanced Entry'!N46),IF('Advanced Entry'!N$5="Exponential",EXP('Advanced Entry'!N46),'Advanced Entry'!N46)))-'Advanced Entry'!N$6)/('Advanced Entry'!N$7-'Advanced Entry'!N$6),10*((IF('Advanced Entry'!N$5="Logarithm",LN(0.001+'Advanced Entry'!N46),IF('Advanced Entry'!N$5="Exponential",EXP('Advanced Entry'!N46),'Advanced Entry'!N46)))-'Advanced Entry'!N$6)/('Advanced Entry'!N$7-'Advanced Entry'!N$6)),1))),"No data"))</f>
        <v/>
      </c>
      <c r="O46" s="17">
        <f>IF('Advanced Entry'!O46="","",IFERROR(MAX(0,MIN(10,ROUND(IF('Advanced Entry'!O$8="Decrease Risk",10-10*((IF('Advanced Entry'!O$5="Logarithm",LN(0.001+'Advanced Entry'!O46),IF('Advanced Entry'!O$5="Exponential",EXP('Advanced Entry'!O46),'Advanced Entry'!O46)))-'Advanced Entry'!O$6)/('Advanced Entry'!O$7-'Advanced Entry'!O$6),10*((IF('Advanced Entry'!O$5="Logarithm",LN(0.001+'Advanced Entry'!O46),IF('Advanced Entry'!O$5="Exponential",EXP('Advanced Entry'!O46),'Advanced Entry'!O46)))-'Advanced Entry'!O$6)/('Advanced Entry'!O$7-'Advanced Entry'!O$6)),1))),"No data"))</f>
        <v/>
      </c>
      <c r="P46" s="17">
        <f>IF('Advanced Entry'!P46="","",IFERROR(MAX(0,MIN(10,ROUND(IF('Advanced Entry'!P$8="Decrease Risk",10-10*((IF('Advanced Entry'!P$5="Logarithm",LN(0.001+'Advanced Entry'!P46),IF('Advanced Entry'!P$5="Exponential",EXP('Advanced Entry'!P46),'Advanced Entry'!P46)))-'Advanced Entry'!P$6)/('Advanced Entry'!P$7-'Advanced Entry'!P$6),10*((IF('Advanced Entry'!P$5="Logarithm",LN(0.001+'Advanced Entry'!P46),IF('Advanced Entry'!P$5="Exponential",EXP('Advanced Entry'!P46),'Advanced Entry'!P46)))-'Advanced Entry'!P$6)/('Advanced Entry'!P$7-'Advanced Entry'!P$6)),1))),"No data"))</f>
        <v/>
      </c>
      <c r="Q46" s="17">
        <f>IF('Advanced Entry'!Q46="","",IFERROR(MAX(0,MIN(10,ROUND(IF('Advanced Entry'!Q$8="Decrease Risk",10-10*((IF('Advanced Entry'!Q$5="Logarithm",LN(0.001+'Advanced Entry'!Q46),IF('Advanced Entry'!Q$5="Exponential",EXP('Advanced Entry'!Q46),'Advanced Entry'!Q46)))-'Advanced Entry'!Q$6)/('Advanced Entry'!Q$7-'Advanced Entry'!Q$6),10*((IF('Advanced Entry'!Q$5="Logarithm",LN(0.001+'Advanced Entry'!Q46),IF('Advanced Entry'!Q$5="Exponential",EXP('Advanced Entry'!Q46),'Advanced Entry'!Q46)))-'Advanced Entry'!Q$6)/('Advanced Entry'!Q$7-'Advanced Entry'!Q$6)),1))),"No data"))</f>
        <v/>
      </c>
      <c r="R46" s="17">
        <f>IF('Advanced Entry'!R46="","",IFERROR(MAX(0,MIN(10,ROUND(IF('Advanced Entry'!R$8="Decrease Risk",10-10*((IF('Advanced Entry'!R$5="Logarithm",LN(0.001+'Advanced Entry'!R46),IF('Advanced Entry'!R$5="Exponential",EXP('Advanced Entry'!R46),'Advanced Entry'!R46)))-'Advanced Entry'!R$6)/('Advanced Entry'!R$7-'Advanced Entry'!R$6),10*((IF('Advanced Entry'!R$5="Logarithm",LN(0.001+'Advanced Entry'!R46),IF('Advanced Entry'!R$5="Exponential",EXP('Advanced Entry'!R46),'Advanced Entry'!R46)))-'Advanced Entry'!R$6)/('Advanced Entry'!R$7-'Advanced Entry'!R$6)),1))),"No data"))</f>
        <v/>
      </c>
      <c r="S46" s="17">
        <f>IF('Advanced Entry'!S46="","",IFERROR(MAX(0,MIN(10,ROUND(IF('Advanced Entry'!S$8="Decrease Risk",10-10*((IF('Advanced Entry'!S$5="Logarithm",LN(0.001+'Advanced Entry'!S46),IF('Advanced Entry'!S$5="Exponential",EXP('Advanced Entry'!S46),'Advanced Entry'!S46)))-'Advanced Entry'!S$6)/('Advanced Entry'!S$7-'Advanced Entry'!S$6),10*((IF('Advanced Entry'!S$5="Logarithm",LN(0.001+'Advanced Entry'!S46),IF('Advanced Entry'!S$5="Exponential",EXP('Advanced Entry'!S46),'Advanced Entry'!S46)))-'Advanced Entry'!S$6)/('Advanced Entry'!S$7-'Advanced Entry'!S$6)),1))),"No data"))</f>
        <v/>
      </c>
      <c r="T46" s="17">
        <f>IF('Advanced Entry'!T46="","",IFERROR(MAX(0,MIN(10,ROUND(IF('Advanced Entry'!T$8="Decrease Risk",10-10*((IF('Advanced Entry'!T$5="Logarithm",LN(0.001+'Advanced Entry'!T46),IF('Advanced Entry'!T$5="Exponential",EXP('Advanced Entry'!T46),'Advanced Entry'!T46)))-'Advanced Entry'!T$6)/('Advanced Entry'!T$7-'Advanced Entry'!T$6),10*((IF('Advanced Entry'!T$5="Logarithm",LN(0.001+'Advanced Entry'!T46),IF('Advanced Entry'!T$5="Exponential",EXP('Advanced Entry'!T46),'Advanced Entry'!T46)))-'Advanced Entry'!T$6)/('Advanced Entry'!T$7-'Advanced Entry'!T$6)),1))),"No data"))</f>
        <v/>
      </c>
      <c r="U46" s="17">
        <f>IF('Advanced Entry'!U46="","",IFERROR(MAX(0,MIN(10,ROUND(IF('Advanced Entry'!U$8="Decrease Risk",10-10*((IF('Advanced Entry'!U$5="Logarithm",LN(0.001+'Advanced Entry'!U46),IF('Advanced Entry'!U$5="Exponential",EXP('Advanced Entry'!U46),'Advanced Entry'!U46)))-'Advanced Entry'!U$6)/('Advanced Entry'!U$7-'Advanced Entry'!U$6),10*((IF('Advanced Entry'!U$5="Logarithm",LN(0.001+'Advanced Entry'!U46),IF('Advanced Entry'!U$5="Exponential",EXP('Advanced Entry'!U46),'Advanced Entry'!U46)))-'Advanced Entry'!U$6)/('Advanced Entry'!U$7-'Advanced Entry'!U$6)),1))),"No data"))</f>
        <v/>
      </c>
      <c r="V46" s="17">
        <f>IF('Advanced Entry'!V46="","",IFERROR(MAX(0,MIN(10,ROUND(IF('Advanced Entry'!V$8="Decrease Risk",10-10*((IF('Advanced Entry'!V$5="Logarithm",LN(0.001+'Advanced Entry'!V46),IF('Advanced Entry'!V$5="Exponential",EXP('Advanced Entry'!V46),'Advanced Entry'!V46)))-'Advanced Entry'!V$6)/('Advanced Entry'!V$7-'Advanced Entry'!V$6),10*((IF('Advanced Entry'!V$5="Logarithm",LN(0.001+'Advanced Entry'!V46),IF('Advanced Entry'!V$5="Exponential",EXP('Advanced Entry'!V46),'Advanced Entry'!V46)))-'Advanced Entry'!V$6)/('Advanced Entry'!V$7-'Advanced Entry'!V$6)),1))),"No data"))</f>
        <v/>
      </c>
      <c r="W46" s="17">
        <f>IF('Advanced Entry'!W46="","",IFERROR(MAX(0,MIN(10,ROUND(IF('Advanced Entry'!W$8="Decrease Risk",10-10*((IF('Advanced Entry'!W$5="Logarithm",LN(0.001+'Advanced Entry'!W46),IF('Advanced Entry'!W$5="Exponential",EXP('Advanced Entry'!W46),'Advanced Entry'!W46)))-'Advanced Entry'!W$6)/('Advanced Entry'!W$7-'Advanced Entry'!W$6),10*((IF('Advanced Entry'!W$5="Logarithm",LN(0.001+'Advanced Entry'!W46),IF('Advanced Entry'!W$5="Exponential",EXP('Advanced Entry'!W46),'Advanced Entry'!W46)))-'Advanced Entry'!W$6)/('Advanced Entry'!W$7-'Advanced Entry'!W$6)),1))),"No data"))</f>
        <v/>
      </c>
      <c r="X46" s="17">
        <f>IF('Advanced Entry'!X46="","",IFERROR(MAX(0,MIN(10,ROUND(IF('Advanced Entry'!X$8="Decrease Risk",10-10*((IF('Advanced Entry'!X$5="Logarithm",LN(0.001+'Advanced Entry'!X46),IF('Advanced Entry'!X$5="Exponential",EXP('Advanced Entry'!X46),'Advanced Entry'!X46)))-'Advanced Entry'!X$6)/('Advanced Entry'!X$7-'Advanced Entry'!X$6),10*((IF('Advanced Entry'!X$5="Logarithm",LN(0.001+'Advanced Entry'!X46),IF('Advanced Entry'!X$5="Exponential",EXP('Advanced Entry'!X46),'Advanced Entry'!X46)))-'Advanced Entry'!X$6)/('Advanced Entry'!X$7-'Advanced Entry'!X$6)),1))),"No data"))</f>
        <v/>
      </c>
      <c r="Y46" s="17">
        <f>IF('Advanced Entry'!Y46="","",IFERROR(MAX(0,MIN(10,ROUND(IF('Advanced Entry'!Y$8="Decrease Risk",10-10*((IF('Advanced Entry'!Y$5="Logarithm",LN(0.001+'Advanced Entry'!Y46),IF('Advanced Entry'!Y$5="Exponential",EXP('Advanced Entry'!Y46),'Advanced Entry'!Y46)))-'Advanced Entry'!Y$6)/('Advanced Entry'!Y$7-'Advanced Entry'!Y$6),10*((IF('Advanced Entry'!Y$5="Logarithm",LN(0.001+'Advanced Entry'!Y46),IF('Advanced Entry'!Y$5="Exponential",EXP('Advanced Entry'!Y46),'Advanced Entry'!Y46)))-'Advanced Entry'!Y$6)/('Advanced Entry'!Y$7-'Advanced Entry'!Y$6)),1))),"No data"))</f>
        <v/>
      </c>
      <c r="Z46" s="17">
        <f>IF('Advanced Entry'!Z46="","",IFERROR(MAX(0,MIN(10,ROUND(IF('Advanced Entry'!Z$8="Decrease Risk",10-10*((IF('Advanced Entry'!Z$5="Logarithm",LN(0.001+'Advanced Entry'!Z46),IF('Advanced Entry'!Z$5="Exponential",EXP('Advanced Entry'!Z46),'Advanced Entry'!Z46)))-'Advanced Entry'!Z$6)/('Advanced Entry'!Z$7-'Advanced Entry'!Z$6),10*((IF('Advanced Entry'!Z$5="Logarithm",LN(0.001+'Advanced Entry'!Z46),IF('Advanced Entry'!Z$5="Exponential",EXP('Advanced Entry'!Z46),'Advanced Entry'!Z46)))-'Advanced Entry'!Z$6)/('Advanced Entry'!Z$7-'Advanced Entry'!Z$6)),1))),"No data"))</f>
        <v/>
      </c>
      <c r="AA46" s="17">
        <f>IF('Advanced Entry'!AA46="","",IFERROR(MAX(0,MIN(10,ROUND(IF('Advanced Entry'!AA$8="Decrease Risk",10-10*((IF('Advanced Entry'!AA$5="Logarithm",LN(0.001+'Advanced Entry'!AA46),IF('Advanced Entry'!AA$5="Exponential",EXP('Advanced Entry'!AA46),'Advanced Entry'!AA46)))-'Advanced Entry'!AA$6)/('Advanced Entry'!AA$7-'Advanced Entry'!AA$6),10*((IF('Advanced Entry'!AA$5="Logarithm",LN(0.001+'Advanced Entry'!AA46),IF('Advanced Entry'!AA$5="Exponential",EXP('Advanced Entry'!AA46),'Advanced Entry'!AA46)))-'Advanced Entry'!AA$6)/('Advanced Entry'!AA$7-'Advanced Entry'!AA$6)),1))),"No data"))</f>
        <v/>
      </c>
      <c r="AB46" s="17">
        <f>IF('Advanced Entry'!AB46="","",IFERROR(MAX(0,MIN(10,ROUND(IF('Advanced Entry'!AB$8="Decrease Risk",10-10*((IF('Advanced Entry'!AB$5="Logarithm",LN(0.001+'Advanced Entry'!AB46),IF('Advanced Entry'!AB$5="Exponential",EXP('Advanced Entry'!AB46),'Advanced Entry'!AB46)))-'Advanced Entry'!AB$6)/('Advanced Entry'!AB$7-'Advanced Entry'!AB$6),10*((IF('Advanced Entry'!AB$5="Logarithm",LN(0.001+'Advanced Entry'!AB46),IF('Advanced Entry'!AB$5="Exponential",EXP('Advanced Entry'!AB46),'Advanced Entry'!AB46)))-'Advanced Entry'!AB$6)/('Advanced Entry'!AB$7-'Advanced Entry'!AB$6)),1))),"No data"))</f>
        <v/>
      </c>
    </row>
    <row r="47">
      <c r="A47" t="inlineStr">
        <is>
          <t>Kagera</t>
        </is>
      </c>
      <c r="B47" t="inlineStr">
        <is>
          <t>Missenyi District</t>
        </is>
      </c>
      <c r="C47" t="inlineStr">
        <is>
          <t>C132</t>
        </is>
      </c>
      <c r="D47" s="17">
        <f>IF('Advanced Entry'!D47="","",IFERROR(MAX(0,MIN(10,ROUND(IF('Advanced Entry'!D$8="Decrease Risk",10-10*((IF('Advanced Entry'!D$5="Logarithm",LN(0.001+'Advanced Entry'!D47),IF('Advanced Entry'!D$5="Exponential",EXP('Advanced Entry'!D47),'Advanced Entry'!D47)))-'Advanced Entry'!D$6)/('Advanced Entry'!D$7-'Advanced Entry'!D$6),10*((IF('Advanced Entry'!D$5="Logarithm",LN(0.001+'Advanced Entry'!D47),IF('Advanced Entry'!D$5="Exponential",EXP('Advanced Entry'!D47),'Advanced Entry'!D47)))-'Advanced Entry'!D$6)/('Advanced Entry'!D$7-'Advanced Entry'!D$6)),1))),"No data"))</f>
        <v/>
      </c>
      <c r="E47" s="17">
        <f>IF('Advanced Entry'!E47="","",IFERROR(MAX(0,MIN(10,ROUND(IF('Advanced Entry'!E$8="Decrease Risk",10-10*((IF('Advanced Entry'!E$5="Logarithm",LN(0.001+'Advanced Entry'!E47),IF('Advanced Entry'!E$5="Exponential",EXP('Advanced Entry'!E47),'Advanced Entry'!E47)))-'Advanced Entry'!E$6)/('Advanced Entry'!E$7-'Advanced Entry'!E$6),10*((IF('Advanced Entry'!E$5="Logarithm",LN(0.001+'Advanced Entry'!E47),IF('Advanced Entry'!E$5="Exponential",EXP('Advanced Entry'!E47),'Advanced Entry'!E47)))-'Advanced Entry'!E$6)/('Advanced Entry'!E$7-'Advanced Entry'!E$6)),1))),"No data"))</f>
        <v/>
      </c>
      <c r="F47" s="17">
        <f>IF('Advanced Entry'!F47="","",IFERROR(MAX(0,MIN(10,ROUND(IF('Advanced Entry'!F$8="Decrease Risk",10-10*((IF('Advanced Entry'!F$5="Logarithm",LN(0.001+'Advanced Entry'!F47),IF('Advanced Entry'!F$5="Exponential",EXP('Advanced Entry'!F47),'Advanced Entry'!F47)))-'Advanced Entry'!F$6)/('Advanced Entry'!F$7-'Advanced Entry'!F$6),10*((IF('Advanced Entry'!F$5="Logarithm",LN(0.001+'Advanced Entry'!F47),IF('Advanced Entry'!F$5="Exponential",EXP('Advanced Entry'!F47),'Advanced Entry'!F47)))-'Advanced Entry'!F$6)/('Advanced Entry'!F$7-'Advanced Entry'!F$6)),1))),"No data"))</f>
        <v/>
      </c>
      <c r="G47" s="17">
        <f>IF('Advanced Entry'!G47="","",IFERROR(MAX(0,MIN(10,ROUND(IF('Advanced Entry'!G$8="Decrease Risk",10-10*((IF('Advanced Entry'!G$5="Logarithm",LN(0.001+'Advanced Entry'!G47),IF('Advanced Entry'!G$5="Exponential",EXP('Advanced Entry'!G47),'Advanced Entry'!G47)))-'Advanced Entry'!G$6)/('Advanced Entry'!G$7-'Advanced Entry'!G$6),10*((IF('Advanced Entry'!G$5="Logarithm",LN(0.001+'Advanced Entry'!G47),IF('Advanced Entry'!G$5="Exponential",EXP('Advanced Entry'!G47),'Advanced Entry'!G47)))-'Advanced Entry'!G$6)/('Advanced Entry'!G$7-'Advanced Entry'!G$6)),1))),"No data"))</f>
        <v/>
      </c>
      <c r="H47" s="17">
        <f>IF('Advanced Entry'!H47="","",IFERROR(MAX(0,MIN(10,ROUND(IF('Advanced Entry'!H$8="Decrease Risk",10-10*((IF('Advanced Entry'!H$5="Logarithm",LN(0.001+'Advanced Entry'!H47),IF('Advanced Entry'!H$5="Exponential",EXP('Advanced Entry'!H47),'Advanced Entry'!H47)))-'Advanced Entry'!H$6)/('Advanced Entry'!H$7-'Advanced Entry'!H$6),10*((IF('Advanced Entry'!H$5="Logarithm",LN(0.001+'Advanced Entry'!H47),IF('Advanced Entry'!H$5="Exponential",EXP('Advanced Entry'!H47),'Advanced Entry'!H47)))-'Advanced Entry'!H$6)/('Advanced Entry'!H$7-'Advanced Entry'!H$6)),1))),"No data"))</f>
        <v/>
      </c>
      <c r="I47" s="17">
        <f>IF('Advanced Entry'!I47="","",IFERROR(MAX(0,MIN(10,ROUND(IF('Advanced Entry'!I$8="Decrease Risk",10-10*((IF('Advanced Entry'!I$5="Logarithm",LN(0.001+'Advanced Entry'!I47),IF('Advanced Entry'!I$5="Exponential",EXP('Advanced Entry'!I47),'Advanced Entry'!I47)))-'Advanced Entry'!I$6)/('Advanced Entry'!I$7-'Advanced Entry'!I$6),10*((IF('Advanced Entry'!I$5="Logarithm",LN(0.001+'Advanced Entry'!I47),IF('Advanced Entry'!I$5="Exponential",EXP('Advanced Entry'!I47),'Advanced Entry'!I47)))-'Advanced Entry'!I$6)/('Advanced Entry'!I$7-'Advanced Entry'!I$6)),1))),"No data"))</f>
        <v/>
      </c>
      <c r="J47" s="17">
        <f>IF('Advanced Entry'!J47="","",IFERROR(MAX(0,MIN(10,ROUND(IF('Advanced Entry'!J$8="Decrease Risk",10-10*((IF('Advanced Entry'!J$5="Logarithm",LN(0.001+'Advanced Entry'!J47),IF('Advanced Entry'!J$5="Exponential",EXP('Advanced Entry'!J47),'Advanced Entry'!J47)))-'Advanced Entry'!J$6)/('Advanced Entry'!J$7-'Advanced Entry'!J$6),10*((IF('Advanced Entry'!J$5="Logarithm",LN(0.001+'Advanced Entry'!J47),IF('Advanced Entry'!J$5="Exponential",EXP('Advanced Entry'!J47),'Advanced Entry'!J47)))-'Advanced Entry'!J$6)/('Advanced Entry'!J$7-'Advanced Entry'!J$6)),1))),"No data"))</f>
        <v/>
      </c>
      <c r="K47" s="17">
        <f>IF('Advanced Entry'!K47="","",IFERROR(MAX(0,MIN(10,ROUND(IF('Advanced Entry'!K$8="Decrease Risk",10-10*((IF('Advanced Entry'!K$5="Logarithm",LN(0.001+'Advanced Entry'!K47),IF('Advanced Entry'!K$5="Exponential",EXP('Advanced Entry'!K47),'Advanced Entry'!K47)))-'Advanced Entry'!K$6)/('Advanced Entry'!K$7-'Advanced Entry'!K$6),10*((IF('Advanced Entry'!K$5="Logarithm",LN(0.001+'Advanced Entry'!K47),IF('Advanced Entry'!K$5="Exponential",EXP('Advanced Entry'!K47),'Advanced Entry'!K47)))-'Advanced Entry'!K$6)/('Advanced Entry'!K$7-'Advanced Entry'!K$6)),1))),"No data"))</f>
        <v/>
      </c>
      <c r="L47" s="17">
        <f>IF('Advanced Entry'!L47="","",IFERROR(MAX(0,MIN(10,ROUND(IF('Advanced Entry'!L$8="Decrease Risk",10-10*((IF('Advanced Entry'!L$5="Logarithm",LN(0.001+'Advanced Entry'!L47),IF('Advanced Entry'!L$5="Exponential",EXP('Advanced Entry'!L47),'Advanced Entry'!L47)))-'Advanced Entry'!L$6)/('Advanced Entry'!L$7-'Advanced Entry'!L$6),10*((IF('Advanced Entry'!L$5="Logarithm",LN(0.001+'Advanced Entry'!L47),IF('Advanced Entry'!L$5="Exponential",EXP('Advanced Entry'!L47),'Advanced Entry'!L47)))-'Advanced Entry'!L$6)/('Advanced Entry'!L$7-'Advanced Entry'!L$6)),1))),"No data"))</f>
        <v/>
      </c>
      <c r="M47" s="17">
        <f>IF('Advanced Entry'!M47="","",IFERROR(MAX(0,MIN(10,ROUND(IF('Advanced Entry'!M$8="Decrease Risk",10-10*((IF('Advanced Entry'!M$5="Logarithm",LN(0.001+'Advanced Entry'!M47),IF('Advanced Entry'!M$5="Exponential",EXP('Advanced Entry'!M47),'Advanced Entry'!M47)))-'Advanced Entry'!M$6)/('Advanced Entry'!M$7-'Advanced Entry'!M$6),10*((IF('Advanced Entry'!M$5="Logarithm",LN(0.001+'Advanced Entry'!M47),IF('Advanced Entry'!M$5="Exponential",EXP('Advanced Entry'!M47),'Advanced Entry'!M47)))-'Advanced Entry'!M$6)/('Advanced Entry'!M$7-'Advanced Entry'!M$6)),1))),"No data"))</f>
        <v/>
      </c>
      <c r="N47" s="17">
        <f>IF('Advanced Entry'!N47="","",IFERROR(MAX(0,MIN(10,ROUND(IF('Advanced Entry'!N$8="Decrease Risk",10-10*((IF('Advanced Entry'!N$5="Logarithm",LN(0.001+'Advanced Entry'!N47),IF('Advanced Entry'!N$5="Exponential",EXP('Advanced Entry'!N47),'Advanced Entry'!N47)))-'Advanced Entry'!N$6)/('Advanced Entry'!N$7-'Advanced Entry'!N$6),10*((IF('Advanced Entry'!N$5="Logarithm",LN(0.001+'Advanced Entry'!N47),IF('Advanced Entry'!N$5="Exponential",EXP('Advanced Entry'!N47),'Advanced Entry'!N47)))-'Advanced Entry'!N$6)/('Advanced Entry'!N$7-'Advanced Entry'!N$6)),1))),"No data"))</f>
        <v/>
      </c>
      <c r="O47" s="17">
        <f>IF('Advanced Entry'!O47="","",IFERROR(MAX(0,MIN(10,ROUND(IF('Advanced Entry'!O$8="Decrease Risk",10-10*((IF('Advanced Entry'!O$5="Logarithm",LN(0.001+'Advanced Entry'!O47),IF('Advanced Entry'!O$5="Exponential",EXP('Advanced Entry'!O47),'Advanced Entry'!O47)))-'Advanced Entry'!O$6)/('Advanced Entry'!O$7-'Advanced Entry'!O$6),10*((IF('Advanced Entry'!O$5="Logarithm",LN(0.001+'Advanced Entry'!O47),IF('Advanced Entry'!O$5="Exponential",EXP('Advanced Entry'!O47),'Advanced Entry'!O47)))-'Advanced Entry'!O$6)/('Advanced Entry'!O$7-'Advanced Entry'!O$6)),1))),"No data"))</f>
        <v/>
      </c>
      <c r="P47" s="17">
        <f>IF('Advanced Entry'!P47="","",IFERROR(MAX(0,MIN(10,ROUND(IF('Advanced Entry'!P$8="Decrease Risk",10-10*((IF('Advanced Entry'!P$5="Logarithm",LN(0.001+'Advanced Entry'!P47),IF('Advanced Entry'!P$5="Exponential",EXP('Advanced Entry'!P47),'Advanced Entry'!P47)))-'Advanced Entry'!P$6)/('Advanced Entry'!P$7-'Advanced Entry'!P$6),10*((IF('Advanced Entry'!P$5="Logarithm",LN(0.001+'Advanced Entry'!P47),IF('Advanced Entry'!P$5="Exponential",EXP('Advanced Entry'!P47),'Advanced Entry'!P47)))-'Advanced Entry'!P$6)/('Advanced Entry'!P$7-'Advanced Entry'!P$6)),1))),"No data"))</f>
        <v/>
      </c>
      <c r="Q47" s="17">
        <f>IF('Advanced Entry'!Q47="","",IFERROR(MAX(0,MIN(10,ROUND(IF('Advanced Entry'!Q$8="Decrease Risk",10-10*((IF('Advanced Entry'!Q$5="Logarithm",LN(0.001+'Advanced Entry'!Q47),IF('Advanced Entry'!Q$5="Exponential",EXP('Advanced Entry'!Q47),'Advanced Entry'!Q47)))-'Advanced Entry'!Q$6)/('Advanced Entry'!Q$7-'Advanced Entry'!Q$6),10*((IF('Advanced Entry'!Q$5="Logarithm",LN(0.001+'Advanced Entry'!Q47),IF('Advanced Entry'!Q$5="Exponential",EXP('Advanced Entry'!Q47),'Advanced Entry'!Q47)))-'Advanced Entry'!Q$6)/('Advanced Entry'!Q$7-'Advanced Entry'!Q$6)),1))),"No data"))</f>
        <v/>
      </c>
      <c r="R47" s="17">
        <f>IF('Advanced Entry'!R47="","",IFERROR(MAX(0,MIN(10,ROUND(IF('Advanced Entry'!R$8="Decrease Risk",10-10*((IF('Advanced Entry'!R$5="Logarithm",LN(0.001+'Advanced Entry'!R47),IF('Advanced Entry'!R$5="Exponential",EXP('Advanced Entry'!R47),'Advanced Entry'!R47)))-'Advanced Entry'!R$6)/('Advanced Entry'!R$7-'Advanced Entry'!R$6),10*((IF('Advanced Entry'!R$5="Logarithm",LN(0.001+'Advanced Entry'!R47),IF('Advanced Entry'!R$5="Exponential",EXP('Advanced Entry'!R47),'Advanced Entry'!R47)))-'Advanced Entry'!R$6)/('Advanced Entry'!R$7-'Advanced Entry'!R$6)),1))),"No data"))</f>
        <v/>
      </c>
      <c r="S47" s="17">
        <f>IF('Advanced Entry'!S47="","",IFERROR(MAX(0,MIN(10,ROUND(IF('Advanced Entry'!S$8="Decrease Risk",10-10*((IF('Advanced Entry'!S$5="Logarithm",LN(0.001+'Advanced Entry'!S47),IF('Advanced Entry'!S$5="Exponential",EXP('Advanced Entry'!S47),'Advanced Entry'!S47)))-'Advanced Entry'!S$6)/('Advanced Entry'!S$7-'Advanced Entry'!S$6),10*((IF('Advanced Entry'!S$5="Logarithm",LN(0.001+'Advanced Entry'!S47),IF('Advanced Entry'!S$5="Exponential",EXP('Advanced Entry'!S47),'Advanced Entry'!S47)))-'Advanced Entry'!S$6)/('Advanced Entry'!S$7-'Advanced Entry'!S$6)),1))),"No data"))</f>
        <v/>
      </c>
      <c r="T47" s="17">
        <f>IF('Advanced Entry'!T47="","",IFERROR(MAX(0,MIN(10,ROUND(IF('Advanced Entry'!T$8="Decrease Risk",10-10*((IF('Advanced Entry'!T$5="Logarithm",LN(0.001+'Advanced Entry'!T47),IF('Advanced Entry'!T$5="Exponential",EXP('Advanced Entry'!T47),'Advanced Entry'!T47)))-'Advanced Entry'!T$6)/('Advanced Entry'!T$7-'Advanced Entry'!T$6),10*((IF('Advanced Entry'!T$5="Logarithm",LN(0.001+'Advanced Entry'!T47),IF('Advanced Entry'!T$5="Exponential",EXP('Advanced Entry'!T47),'Advanced Entry'!T47)))-'Advanced Entry'!T$6)/('Advanced Entry'!T$7-'Advanced Entry'!T$6)),1))),"No data"))</f>
        <v/>
      </c>
      <c r="U47" s="17">
        <f>IF('Advanced Entry'!U47="","",IFERROR(MAX(0,MIN(10,ROUND(IF('Advanced Entry'!U$8="Decrease Risk",10-10*((IF('Advanced Entry'!U$5="Logarithm",LN(0.001+'Advanced Entry'!U47),IF('Advanced Entry'!U$5="Exponential",EXP('Advanced Entry'!U47),'Advanced Entry'!U47)))-'Advanced Entry'!U$6)/('Advanced Entry'!U$7-'Advanced Entry'!U$6),10*((IF('Advanced Entry'!U$5="Logarithm",LN(0.001+'Advanced Entry'!U47),IF('Advanced Entry'!U$5="Exponential",EXP('Advanced Entry'!U47),'Advanced Entry'!U47)))-'Advanced Entry'!U$6)/('Advanced Entry'!U$7-'Advanced Entry'!U$6)),1))),"No data"))</f>
        <v/>
      </c>
      <c r="V47" s="17">
        <f>IF('Advanced Entry'!V47="","",IFERROR(MAX(0,MIN(10,ROUND(IF('Advanced Entry'!V$8="Decrease Risk",10-10*((IF('Advanced Entry'!V$5="Logarithm",LN(0.001+'Advanced Entry'!V47),IF('Advanced Entry'!V$5="Exponential",EXP('Advanced Entry'!V47),'Advanced Entry'!V47)))-'Advanced Entry'!V$6)/('Advanced Entry'!V$7-'Advanced Entry'!V$6),10*((IF('Advanced Entry'!V$5="Logarithm",LN(0.001+'Advanced Entry'!V47),IF('Advanced Entry'!V$5="Exponential",EXP('Advanced Entry'!V47),'Advanced Entry'!V47)))-'Advanced Entry'!V$6)/('Advanced Entry'!V$7-'Advanced Entry'!V$6)),1))),"No data"))</f>
        <v/>
      </c>
      <c r="W47" s="17">
        <f>IF('Advanced Entry'!W47="","",IFERROR(MAX(0,MIN(10,ROUND(IF('Advanced Entry'!W$8="Decrease Risk",10-10*((IF('Advanced Entry'!W$5="Logarithm",LN(0.001+'Advanced Entry'!W47),IF('Advanced Entry'!W$5="Exponential",EXP('Advanced Entry'!W47),'Advanced Entry'!W47)))-'Advanced Entry'!W$6)/('Advanced Entry'!W$7-'Advanced Entry'!W$6),10*((IF('Advanced Entry'!W$5="Logarithm",LN(0.001+'Advanced Entry'!W47),IF('Advanced Entry'!W$5="Exponential",EXP('Advanced Entry'!W47),'Advanced Entry'!W47)))-'Advanced Entry'!W$6)/('Advanced Entry'!W$7-'Advanced Entry'!W$6)),1))),"No data"))</f>
        <v/>
      </c>
      <c r="X47" s="17">
        <f>IF('Advanced Entry'!X47="","",IFERROR(MAX(0,MIN(10,ROUND(IF('Advanced Entry'!X$8="Decrease Risk",10-10*((IF('Advanced Entry'!X$5="Logarithm",LN(0.001+'Advanced Entry'!X47),IF('Advanced Entry'!X$5="Exponential",EXP('Advanced Entry'!X47),'Advanced Entry'!X47)))-'Advanced Entry'!X$6)/('Advanced Entry'!X$7-'Advanced Entry'!X$6),10*((IF('Advanced Entry'!X$5="Logarithm",LN(0.001+'Advanced Entry'!X47),IF('Advanced Entry'!X$5="Exponential",EXP('Advanced Entry'!X47),'Advanced Entry'!X47)))-'Advanced Entry'!X$6)/('Advanced Entry'!X$7-'Advanced Entry'!X$6)),1))),"No data"))</f>
        <v/>
      </c>
      <c r="Y47" s="17">
        <f>IF('Advanced Entry'!Y47="","",IFERROR(MAX(0,MIN(10,ROUND(IF('Advanced Entry'!Y$8="Decrease Risk",10-10*((IF('Advanced Entry'!Y$5="Logarithm",LN(0.001+'Advanced Entry'!Y47),IF('Advanced Entry'!Y$5="Exponential",EXP('Advanced Entry'!Y47),'Advanced Entry'!Y47)))-'Advanced Entry'!Y$6)/('Advanced Entry'!Y$7-'Advanced Entry'!Y$6),10*((IF('Advanced Entry'!Y$5="Logarithm",LN(0.001+'Advanced Entry'!Y47),IF('Advanced Entry'!Y$5="Exponential",EXP('Advanced Entry'!Y47),'Advanced Entry'!Y47)))-'Advanced Entry'!Y$6)/('Advanced Entry'!Y$7-'Advanced Entry'!Y$6)),1))),"No data"))</f>
        <v/>
      </c>
      <c r="Z47" s="17">
        <f>IF('Advanced Entry'!Z47="","",IFERROR(MAX(0,MIN(10,ROUND(IF('Advanced Entry'!Z$8="Decrease Risk",10-10*((IF('Advanced Entry'!Z$5="Logarithm",LN(0.001+'Advanced Entry'!Z47),IF('Advanced Entry'!Z$5="Exponential",EXP('Advanced Entry'!Z47),'Advanced Entry'!Z47)))-'Advanced Entry'!Z$6)/('Advanced Entry'!Z$7-'Advanced Entry'!Z$6),10*((IF('Advanced Entry'!Z$5="Logarithm",LN(0.001+'Advanced Entry'!Z47),IF('Advanced Entry'!Z$5="Exponential",EXP('Advanced Entry'!Z47),'Advanced Entry'!Z47)))-'Advanced Entry'!Z$6)/('Advanced Entry'!Z$7-'Advanced Entry'!Z$6)),1))),"No data"))</f>
        <v/>
      </c>
      <c r="AA47" s="17">
        <f>IF('Advanced Entry'!AA47="","",IFERROR(MAX(0,MIN(10,ROUND(IF('Advanced Entry'!AA$8="Decrease Risk",10-10*((IF('Advanced Entry'!AA$5="Logarithm",LN(0.001+'Advanced Entry'!AA47),IF('Advanced Entry'!AA$5="Exponential",EXP('Advanced Entry'!AA47),'Advanced Entry'!AA47)))-'Advanced Entry'!AA$6)/('Advanced Entry'!AA$7-'Advanced Entry'!AA$6),10*((IF('Advanced Entry'!AA$5="Logarithm",LN(0.001+'Advanced Entry'!AA47),IF('Advanced Entry'!AA$5="Exponential",EXP('Advanced Entry'!AA47),'Advanced Entry'!AA47)))-'Advanced Entry'!AA$6)/('Advanced Entry'!AA$7-'Advanced Entry'!AA$6)),1))),"No data"))</f>
        <v/>
      </c>
      <c r="AB47" s="17">
        <f>IF('Advanced Entry'!AB47="","",IFERROR(MAX(0,MIN(10,ROUND(IF('Advanced Entry'!AB$8="Decrease Risk",10-10*((IF('Advanced Entry'!AB$5="Logarithm",LN(0.001+'Advanced Entry'!AB47),IF('Advanced Entry'!AB$5="Exponential",EXP('Advanced Entry'!AB47),'Advanced Entry'!AB47)))-'Advanced Entry'!AB$6)/('Advanced Entry'!AB$7-'Advanced Entry'!AB$6),10*((IF('Advanced Entry'!AB$5="Logarithm",LN(0.001+'Advanced Entry'!AB47),IF('Advanced Entry'!AB$5="Exponential",EXP('Advanced Entry'!AB47),'Advanced Entry'!AB47)))-'Advanced Entry'!AB$6)/('Advanced Entry'!AB$7-'Advanced Entry'!AB$6)),1))),"No data"))</f>
        <v/>
      </c>
    </row>
    <row r="48">
      <c r="A48" t="inlineStr">
        <is>
          <t>Kagera</t>
        </is>
      </c>
      <c r="B48" t="inlineStr">
        <is>
          <t>Muleba District</t>
        </is>
      </c>
      <c r="C48" t="inlineStr">
        <is>
          <t>C128</t>
        </is>
      </c>
      <c r="D48" s="17">
        <f>IF('Advanced Entry'!D48="","",IFERROR(MAX(0,MIN(10,ROUND(IF('Advanced Entry'!D$8="Decrease Risk",10-10*((IF('Advanced Entry'!D$5="Logarithm",LN(0.001+'Advanced Entry'!D48),IF('Advanced Entry'!D$5="Exponential",EXP('Advanced Entry'!D48),'Advanced Entry'!D48)))-'Advanced Entry'!D$6)/('Advanced Entry'!D$7-'Advanced Entry'!D$6),10*((IF('Advanced Entry'!D$5="Logarithm",LN(0.001+'Advanced Entry'!D48),IF('Advanced Entry'!D$5="Exponential",EXP('Advanced Entry'!D48),'Advanced Entry'!D48)))-'Advanced Entry'!D$6)/('Advanced Entry'!D$7-'Advanced Entry'!D$6)),1))),"No data"))</f>
        <v/>
      </c>
      <c r="E48" s="17">
        <f>IF('Advanced Entry'!E48="","",IFERROR(MAX(0,MIN(10,ROUND(IF('Advanced Entry'!E$8="Decrease Risk",10-10*((IF('Advanced Entry'!E$5="Logarithm",LN(0.001+'Advanced Entry'!E48),IF('Advanced Entry'!E$5="Exponential",EXP('Advanced Entry'!E48),'Advanced Entry'!E48)))-'Advanced Entry'!E$6)/('Advanced Entry'!E$7-'Advanced Entry'!E$6),10*((IF('Advanced Entry'!E$5="Logarithm",LN(0.001+'Advanced Entry'!E48),IF('Advanced Entry'!E$5="Exponential",EXP('Advanced Entry'!E48),'Advanced Entry'!E48)))-'Advanced Entry'!E$6)/('Advanced Entry'!E$7-'Advanced Entry'!E$6)),1))),"No data"))</f>
        <v/>
      </c>
      <c r="F48" s="17">
        <f>IF('Advanced Entry'!F48="","",IFERROR(MAX(0,MIN(10,ROUND(IF('Advanced Entry'!F$8="Decrease Risk",10-10*((IF('Advanced Entry'!F$5="Logarithm",LN(0.001+'Advanced Entry'!F48),IF('Advanced Entry'!F$5="Exponential",EXP('Advanced Entry'!F48),'Advanced Entry'!F48)))-'Advanced Entry'!F$6)/('Advanced Entry'!F$7-'Advanced Entry'!F$6),10*((IF('Advanced Entry'!F$5="Logarithm",LN(0.001+'Advanced Entry'!F48),IF('Advanced Entry'!F$5="Exponential",EXP('Advanced Entry'!F48),'Advanced Entry'!F48)))-'Advanced Entry'!F$6)/('Advanced Entry'!F$7-'Advanced Entry'!F$6)),1))),"No data"))</f>
        <v/>
      </c>
      <c r="G48" s="17">
        <f>IF('Advanced Entry'!G48="","",IFERROR(MAX(0,MIN(10,ROUND(IF('Advanced Entry'!G$8="Decrease Risk",10-10*((IF('Advanced Entry'!G$5="Logarithm",LN(0.001+'Advanced Entry'!G48),IF('Advanced Entry'!G$5="Exponential",EXP('Advanced Entry'!G48),'Advanced Entry'!G48)))-'Advanced Entry'!G$6)/('Advanced Entry'!G$7-'Advanced Entry'!G$6),10*((IF('Advanced Entry'!G$5="Logarithm",LN(0.001+'Advanced Entry'!G48),IF('Advanced Entry'!G$5="Exponential",EXP('Advanced Entry'!G48),'Advanced Entry'!G48)))-'Advanced Entry'!G$6)/('Advanced Entry'!G$7-'Advanced Entry'!G$6)),1))),"No data"))</f>
        <v/>
      </c>
      <c r="H48" s="17">
        <f>IF('Advanced Entry'!H48="","",IFERROR(MAX(0,MIN(10,ROUND(IF('Advanced Entry'!H$8="Decrease Risk",10-10*((IF('Advanced Entry'!H$5="Logarithm",LN(0.001+'Advanced Entry'!H48),IF('Advanced Entry'!H$5="Exponential",EXP('Advanced Entry'!H48),'Advanced Entry'!H48)))-'Advanced Entry'!H$6)/('Advanced Entry'!H$7-'Advanced Entry'!H$6),10*((IF('Advanced Entry'!H$5="Logarithm",LN(0.001+'Advanced Entry'!H48),IF('Advanced Entry'!H$5="Exponential",EXP('Advanced Entry'!H48),'Advanced Entry'!H48)))-'Advanced Entry'!H$6)/('Advanced Entry'!H$7-'Advanced Entry'!H$6)),1))),"No data"))</f>
        <v/>
      </c>
      <c r="I48" s="17">
        <f>IF('Advanced Entry'!I48="","",IFERROR(MAX(0,MIN(10,ROUND(IF('Advanced Entry'!I$8="Decrease Risk",10-10*((IF('Advanced Entry'!I$5="Logarithm",LN(0.001+'Advanced Entry'!I48),IF('Advanced Entry'!I$5="Exponential",EXP('Advanced Entry'!I48),'Advanced Entry'!I48)))-'Advanced Entry'!I$6)/('Advanced Entry'!I$7-'Advanced Entry'!I$6),10*((IF('Advanced Entry'!I$5="Logarithm",LN(0.001+'Advanced Entry'!I48),IF('Advanced Entry'!I$5="Exponential",EXP('Advanced Entry'!I48),'Advanced Entry'!I48)))-'Advanced Entry'!I$6)/('Advanced Entry'!I$7-'Advanced Entry'!I$6)),1))),"No data"))</f>
        <v/>
      </c>
      <c r="J48" s="17">
        <f>IF('Advanced Entry'!J48="","",IFERROR(MAX(0,MIN(10,ROUND(IF('Advanced Entry'!J$8="Decrease Risk",10-10*((IF('Advanced Entry'!J$5="Logarithm",LN(0.001+'Advanced Entry'!J48),IF('Advanced Entry'!J$5="Exponential",EXP('Advanced Entry'!J48),'Advanced Entry'!J48)))-'Advanced Entry'!J$6)/('Advanced Entry'!J$7-'Advanced Entry'!J$6),10*((IF('Advanced Entry'!J$5="Logarithm",LN(0.001+'Advanced Entry'!J48),IF('Advanced Entry'!J$5="Exponential",EXP('Advanced Entry'!J48),'Advanced Entry'!J48)))-'Advanced Entry'!J$6)/('Advanced Entry'!J$7-'Advanced Entry'!J$6)),1))),"No data"))</f>
        <v/>
      </c>
      <c r="K48" s="17">
        <f>IF('Advanced Entry'!K48="","",IFERROR(MAX(0,MIN(10,ROUND(IF('Advanced Entry'!K$8="Decrease Risk",10-10*((IF('Advanced Entry'!K$5="Logarithm",LN(0.001+'Advanced Entry'!K48),IF('Advanced Entry'!K$5="Exponential",EXP('Advanced Entry'!K48),'Advanced Entry'!K48)))-'Advanced Entry'!K$6)/('Advanced Entry'!K$7-'Advanced Entry'!K$6),10*((IF('Advanced Entry'!K$5="Logarithm",LN(0.001+'Advanced Entry'!K48),IF('Advanced Entry'!K$5="Exponential",EXP('Advanced Entry'!K48),'Advanced Entry'!K48)))-'Advanced Entry'!K$6)/('Advanced Entry'!K$7-'Advanced Entry'!K$6)),1))),"No data"))</f>
        <v/>
      </c>
      <c r="L48" s="17">
        <f>IF('Advanced Entry'!L48="","",IFERROR(MAX(0,MIN(10,ROUND(IF('Advanced Entry'!L$8="Decrease Risk",10-10*((IF('Advanced Entry'!L$5="Logarithm",LN(0.001+'Advanced Entry'!L48),IF('Advanced Entry'!L$5="Exponential",EXP('Advanced Entry'!L48),'Advanced Entry'!L48)))-'Advanced Entry'!L$6)/('Advanced Entry'!L$7-'Advanced Entry'!L$6),10*((IF('Advanced Entry'!L$5="Logarithm",LN(0.001+'Advanced Entry'!L48),IF('Advanced Entry'!L$5="Exponential",EXP('Advanced Entry'!L48),'Advanced Entry'!L48)))-'Advanced Entry'!L$6)/('Advanced Entry'!L$7-'Advanced Entry'!L$6)),1))),"No data"))</f>
        <v/>
      </c>
      <c r="M48" s="17">
        <f>IF('Advanced Entry'!M48="","",IFERROR(MAX(0,MIN(10,ROUND(IF('Advanced Entry'!M$8="Decrease Risk",10-10*((IF('Advanced Entry'!M$5="Logarithm",LN(0.001+'Advanced Entry'!M48),IF('Advanced Entry'!M$5="Exponential",EXP('Advanced Entry'!M48),'Advanced Entry'!M48)))-'Advanced Entry'!M$6)/('Advanced Entry'!M$7-'Advanced Entry'!M$6),10*((IF('Advanced Entry'!M$5="Logarithm",LN(0.001+'Advanced Entry'!M48),IF('Advanced Entry'!M$5="Exponential",EXP('Advanced Entry'!M48),'Advanced Entry'!M48)))-'Advanced Entry'!M$6)/('Advanced Entry'!M$7-'Advanced Entry'!M$6)),1))),"No data"))</f>
        <v/>
      </c>
      <c r="N48" s="17">
        <f>IF('Advanced Entry'!N48="","",IFERROR(MAX(0,MIN(10,ROUND(IF('Advanced Entry'!N$8="Decrease Risk",10-10*((IF('Advanced Entry'!N$5="Logarithm",LN(0.001+'Advanced Entry'!N48),IF('Advanced Entry'!N$5="Exponential",EXP('Advanced Entry'!N48),'Advanced Entry'!N48)))-'Advanced Entry'!N$6)/('Advanced Entry'!N$7-'Advanced Entry'!N$6),10*((IF('Advanced Entry'!N$5="Logarithm",LN(0.001+'Advanced Entry'!N48),IF('Advanced Entry'!N$5="Exponential",EXP('Advanced Entry'!N48),'Advanced Entry'!N48)))-'Advanced Entry'!N$6)/('Advanced Entry'!N$7-'Advanced Entry'!N$6)),1))),"No data"))</f>
        <v/>
      </c>
      <c r="O48" s="17">
        <f>IF('Advanced Entry'!O48="","",IFERROR(MAX(0,MIN(10,ROUND(IF('Advanced Entry'!O$8="Decrease Risk",10-10*((IF('Advanced Entry'!O$5="Logarithm",LN(0.001+'Advanced Entry'!O48),IF('Advanced Entry'!O$5="Exponential",EXP('Advanced Entry'!O48),'Advanced Entry'!O48)))-'Advanced Entry'!O$6)/('Advanced Entry'!O$7-'Advanced Entry'!O$6),10*((IF('Advanced Entry'!O$5="Logarithm",LN(0.001+'Advanced Entry'!O48),IF('Advanced Entry'!O$5="Exponential",EXP('Advanced Entry'!O48),'Advanced Entry'!O48)))-'Advanced Entry'!O$6)/('Advanced Entry'!O$7-'Advanced Entry'!O$6)),1))),"No data"))</f>
        <v/>
      </c>
      <c r="P48" s="17">
        <f>IF('Advanced Entry'!P48="","",IFERROR(MAX(0,MIN(10,ROUND(IF('Advanced Entry'!P$8="Decrease Risk",10-10*((IF('Advanced Entry'!P$5="Logarithm",LN(0.001+'Advanced Entry'!P48),IF('Advanced Entry'!P$5="Exponential",EXP('Advanced Entry'!P48),'Advanced Entry'!P48)))-'Advanced Entry'!P$6)/('Advanced Entry'!P$7-'Advanced Entry'!P$6),10*((IF('Advanced Entry'!P$5="Logarithm",LN(0.001+'Advanced Entry'!P48),IF('Advanced Entry'!P$5="Exponential",EXP('Advanced Entry'!P48),'Advanced Entry'!P48)))-'Advanced Entry'!P$6)/('Advanced Entry'!P$7-'Advanced Entry'!P$6)),1))),"No data"))</f>
        <v/>
      </c>
      <c r="Q48" s="17">
        <f>IF('Advanced Entry'!Q48="","",IFERROR(MAX(0,MIN(10,ROUND(IF('Advanced Entry'!Q$8="Decrease Risk",10-10*((IF('Advanced Entry'!Q$5="Logarithm",LN(0.001+'Advanced Entry'!Q48),IF('Advanced Entry'!Q$5="Exponential",EXP('Advanced Entry'!Q48),'Advanced Entry'!Q48)))-'Advanced Entry'!Q$6)/('Advanced Entry'!Q$7-'Advanced Entry'!Q$6),10*((IF('Advanced Entry'!Q$5="Logarithm",LN(0.001+'Advanced Entry'!Q48),IF('Advanced Entry'!Q$5="Exponential",EXP('Advanced Entry'!Q48),'Advanced Entry'!Q48)))-'Advanced Entry'!Q$6)/('Advanced Entry'!Q$7-'Advanced Entry'!Q$6)),1))),"No data"))</f>
        <v/>
      </c>
      <c r="R48" s="17">
        <f>IF('Advanced Entry'!R48="","",IFERROR(MAX(0,MIN(10,ROUND(IF('Advanced Entry'!R$8="Decrease Risk",10-10*((IF('Advanced Entry'!R$5="Logarithm",LN(0.001+'Advanced Entry'!R48),IF('Advanced Entry'!R$5="Exponential",EXP('Advanced Entry'!R48),'Advanced Entry'!R48)))-'Advanced Entry'!R$6)/('Advanced Entry'!R$7-'Advanced Entry'!R$6),10*((IF('Advanced Entry'!R$5="Logarithm",LN(0.001+'Advanced Entry'!R48),IF('Advanced Entry'!R$5="Exponential",EXP('Advanced Entry'!R48),'Advanced Entry'!R48)))-'Advanced Entry'!R$6)/('Advanced Entry'!R$7-'Advanced Entry'!R$6)),1))),"No data"))</f>
        <v/>
      </c>
      <c r="S48" s="17">
        <f>IF('Advanced Entry'!S48="","",IFERROR(MAX(0,MIN(10,ROUND(IF('Advanced Entry'!S$8="Decrease Risk",10-10*((IF('Advanced Entry'!S$5="Logarithm",LN(0.001+'Advanced Entry'!S48),IF('Advanced Entry'!S$5="Exponential",EXP('Advanced Entry'!S48),'Advanced Entry'!S48)))-'Advanced Entry'!S$6)/('Advanced Entry'!S$7-'Advanced Entry'!S$6),10*((IF('Advanced Entry'!S$5="Logarithm",LN(0.001+'Advanced Entry'!S48),IF('Advanced Entry'!S$5="Exponential",EXP('Advanced Entry'!S48),'Advanced Entry'!S48)))-'Advanced Entry'!S$6)/('Advanced Entry'!S$7-'Advanced Entry'!S$6)),1))),"No data"))</f>
        <v/>
      </c>
      <c r="T48" s="17">
        <f>IF('Advanced Entry'!T48="","",IFERROR(MAX(0,MIN(10,ROUND(IF('Advanced Entry'!T$8="Decrease Risk",10-10*((IF('Advanced Entry'!T$5="Logarithm",LN(0.001+'Advanced Entry'!T48),IF('Advanced Entry'!T$5="Exponential",EXP('Advanced Entry'!T48),'Advanced Entry'!T48)))-'Advanced Entry'!T$6)/('Advanced Entry'!T$7-'Advanced Entry'!T$6),10*((IF('Advanced Entry'!T$5="Logarithm",LN(0.001+'Advanced Entry'!T48),IF('Advanced Entry'!T$5="Exponential",EXP('Advanced Entry'!T48),'Advanced Entry'!T48)))-'Advanced Entry'!T$6)/('Advanced Entry'!T$7-'Advanced Entry'!T$6)),1))),"No data"))</f>
        <v/>
      </c>
      <c r="U48" s="17">
        <f>IF('Advanced Entry'!U48="","",IFERROR(MAX(0,MIN(10,ROUND(IF('Advanced Entry'!U$8="Decrease Risk",10-10*((IF('Advanced Entry'!U$5="Logarithm",LN(0.001+'Advanced Entry'!U48),IF('Advanced Entry'!U$5="Exponential",EXP('Advanced Entry'!U48),'Advanced Entry'!U48)))-'Advanced Entry'!U$6)/('Advanced Entry'!U$7-'Advanced Entry'!U$6),10*((IF('Advanced Entry'!U$5="Logarithm",LN(0.001+'Advanced Entry'!U48),IF('Advanced Entry'!U$5="Exponential",EXP('Advanced Entry'!U48),'Advanced Entry'!U48)))-'Advanced Entry'!U$6)/('Advanced Entry'!U$7-'Advanced Entry'!U$6)),1))),"No data"))</f>
        <v/>
      </c>
      <c r="V48" s="17">
        <f>IF('Advanced Entry'!V48="","",IFERROR(MAX(0,MIN(10,ROUND(IF('Advanced Entry'!V$8="Decrease Risk",10-10*((IF('Advanced Entry'!V$5="Logarithm",LN(0.001+'Advanced Entry'!V48),IF('Advanced Entry'!V$5="Exponential",EXP('Advanced Entry'!V48),'Advanced Entry'!V48)))-'Advanced Entry'!V$6)/('Advanced Entry'!V$7-'Advanced Entry'!V$6),10*((IF('Advanced Entry'!V$5="Logarithm",LN(0.001+'Advanced Entry'!V48),IF('Advanced Entry'!V$5="Exponential",EXP('Advanced Entry'!V48),'Advanced Entry'!V48)))-'Advanced Entry'!V$6)/('Advanced Entry'!V$7-'Advanced Entry'!V$6)),1))),"No data"))</f>
        <v/>
      </c>
      <c r="W48" s="17">
        <f>IF('Advanced Entry'!W48="","",IFERROR(MAX(0,MIN(10,ROUND(IF('Advanced Entry'!W$8="Decrease Risk",10-10*((IF('Advanced Entry'!W$5="Logarithm",LN(0.001+'Advanced Entry'!W48),IF('Advanced Entry'!W$5="Exponential",EXP('Advanced Entry'!W48),'Advanced Entry'!W48)))-'Advanced Entry'!W$6)/('Advanced Entry'!W$7-'Advanced Entry'!W$6),10*((IF('Advanced Entry'!W$5="Logarithm",LN(0.001+'Advanced Entry'!W48),IF('Advanced Entry'!W$5="Exponential",EXP('Advanced Entry'!W48),'Advanced Entry'!W48)))-'Advanced Entry'!W$6)/('Advanced Entry'!W$7-'Advanced Entry'!W$6)),1))),"No data"))</f>
        <v/>
      </c>
      <c r="X48" s="17">
        <f>IF('Advanced Entry'!X48="","",IFERROR(MAX(0,MIN(10,ROUND(IF('Advanced Entry'!X$8="Decrease Risk",10-10*((IF('Advanced Entry'!X$5="Logarithm",LN(0.001+'Advanced Entry'!X48),IF('Advanced Entry'!X$5="Exponential",EXP('Advanced Entry'!X48),'Advanced Entry'!X48)))-'Advanced Entry'!X$6)/('Advanced Entry'!X$7-'Advanced Entry'!X$6),10*((IF('Advanced Entry'!X$5="Logarithm",LN(0.001+'Advanced Entry'!X48),IF('Advanced Entry'!X$5="Exponential",EXP('Advanced Entry'!X48),'Advanced Entry'!X48)))-'Advanced Entry'!X$6)/('Advanced Entry'!X$7-'Advanced Entry'!X$6)),1))),"No data"))</f>
        <v/>
      </c>
      <c r="Y48" s="17">
        <f>IF('Advanced Entry'!Y48="","",IFERROR(MAX(0,MIN(10,ROUND(IF('Advanced Entry'!Y$8="Decrease Risk",10-10*((IF('Advanced Entry'!Y$5="Logarithm",LN(0.001+'Advanced Entry'!Y48),IF('Advanced Entry'!Y$5="Exponential",EXP('Advanced Entry'!Y48),'Advanced Entry'!Y48)))-'Advanced Entry'!Y$6)/('Advanced Entry'!Y$7-'Advanced Entry'!Y$6),10*((IF('Advanced Entry'!Y$5="Logarithm",LN(0.001+'Advanced Entry'!Y48),IF('Advanced Entry'!Y$5="Exponential",EXP('Advanced Entry'!Y48),'Advanced Entry'!Y48)))-'Advanced Entry'!Y$6)/('Advanced Entry'!Y$7-'Advanced Entry'!Y$6)),1))),"No data"))</f>
        <v/>
      </c>
      <c r="Z48" s="17">
        <f>IF('Advanced Entry'!Z48="","",IFERROR(MAX(0,MIN(10,ROUND(IF('Advanced Entry'!Z$8="Decrease Risk",10-10*((IF('Advanced Entry'!Z$5="Logarithm",LN(0.001+'Advanced Entry'!Z48),IF('Advanced Entry'!Z$5="Exponential",EXP('Advanced Entry'!Z48),'Advanced Entry'!Z48)))-'Advanced Entry'!Z$6)/('Advanced Entry'!Z$7-'Advanced Entry'!Z$6),10*((IF('Advanced Entry'!Z$5="Logarithm",LN(0.001+'Advanced Entry'!Z48),IF('Advanced Entry'!Z$5="Exponential",EXP('Advanced Entry'!Z48),'Advanced Entry'!Z48)))-'Advanced Entry'!Z$6)/('Advanced Entry'!Z$7-'Advanced Entry'!Z$6)),1))),"No data"))</f>
        <v/>
      </c>
      <c r="AA48" s="17">
        <f>IF('Advanced Entry'!AA48="","",IFERROR(MAX(0,MIN(10,ROUND(IF('Advanced Entry'!AA$8="Decrease Risk",10-10*((IF('Advanced Entry'!AA$5="Logarithm",LN(0.001+'Advanced Entry'!AA48),IF('Advanced Entry'!AA$5="Exponential",EXP('Advanced Entry'!AA48),'Advanced Entry'!AA48)))-'Advanced Entry'!AA$6)/('Advanced Entry'!AA$7-'Advanced Entry'!AA$6),10*((IF('Advanced Entry'!AA$5="Logarithm",LN(0.001+'Advanced Entry'!AA48),IF('Advanced Entry'!AA$5="Exponential",EXP('Advanced Entry'!AA48),'Advanced Entry'!AA48)))-'Advanced Entry'!AA$6)/('Advanced Entry'!AA$7-'Advanced Entry'!AA$6)),1))),"No data"))</f>
        <v/>
      </c>
      <c r="AB48" s="17">
        <f>IF('Advanced Entry'!AB48="","",IFERROR(MAX(0,MIN(10,ROUND(IF('Advanced Entry'!AB$8="Decrease Risk",10-10*((IF('Advanced Entry'!AB$5="Logarithm",LN(0.001+'Advanced Entry'!AB48),IF('Advanced Entry'!AB$5="Exponential",EXP('Advanced Entry'!AB48),'Advanced Entry'!AB48)))-'Advanced Entry'!AB$6)/('Advanced Entry'!AB$7-'Advanced Entry'!AB$6),10*((IF('Advanced Entry'!AB$5="Logarithm",LN(0.001+'Advanced Entry'!AB48),IF('Advanced Entry'!AB$5="Exponential",EXP('Advanced Entry'!AB48),'Advanced Entry'!AB48)))-'Advanced Entry'!AB$6)/('Advanced Entry'!AB$7-'Advanced Entry'!AB$6)),1))),"No data"))</f>
        <v/>
      </c>
    </row>
    <row r="49">
      <c r="A49" t="inlineStr">
        <is>
          <t>Kagera</t>
        </is>
      </c>
      <c r="B49" t="inlineStr">
        <is>
          <t>Ngara District</t>
        </is>
      </c>
      <c r="C49" t="inlineStr">
        <is>
          <t>C130</t>
        </is>
      </c>
      <c r="D49" s="17">
        <f>IF('Advanced Entry'!D49="","",IFERROR(MAX(0,MIN(10,ROUND(IF('Advanced Entry'!D$8="Decrease Risk",10-10*((IF('Advanced Entry'!D$5="Logarithm",LN(0.001+'Advanced Entry'!D49),IF('Advanced Entry'!D$5="Exponential",EXP('Advanced Entry'!D49),'Advanced Entry'!D49)))-'Advanced Entry'!D$6)/('Advanced Entry'!D$7-'Advanced Entry'!D$6),10*((IF('Advanced Entry'!D$5="Logarithm",LN(0.001+'Advanced Entry'!D49),IF('Advanced Entry'!D$5="Exponential",EXP('Advanced Entry'!D49),'Advanced Entry'!D49)))-'Advanced Entry'!D$6)/('Advanced Entry'!D$7-'Advanced Entry'!D$6)),1))),"No data"))</f>
        <v/>
      </c>
      <c r="E49" s="17">
        <f>IF('Advanced Entry'!E49="","",IFERROR(MAX(0,MIN(10,ROUND(IF('Advanced Entry'!E$8="Decrease Risk",10-10*((IF('Advanced Entry'!E$5="Logarithm",LN(0.001+'Advanced Entry'!E49),IF('Advanced Entry'!E$5="Exponential",EXP('Advanced Entry'!E49),'Advanced Entry'!E49)))-'Advanced Entry'!E$6)/('Advanced Entry'!E$7-'Advanced Entry'!E$6),10*((IF('Advanced Entry'!E$5="Logarithm",LN(0.001+'Advanced Entry'!E49),IF('Advanced Entry'!E$5="Exponential",EXP('Advanced Entry'!E49),'Advanced Entry'!E49)))-'Advanced Entry'!E$6)/('Advanced Entry'!E$7-'Advanced Entry'!E$6)),1))),"No data"))</f>
        <v/>
      </c>
      <c r="F49" s="17">
        <f>IF('Advanced Entry'!F49="","",IFERROR(MAX(0,MIN(10,ROUND(IF('Advanced Entry'!F$8="Decrease Risk",10-10*((IF('Advanced Entry'!F$5="Logarithm",LN(0.001+'Advanced Entry'!F49),IF('Advanced Entry'!F$5="Exponential",EXP('Advanced Entry'!F49),'Advanced Entry'!F49)))-'Advanced Entry'!F$6)/('Advanced Entry'!F$7-'Advanced Entry'!F$6),10*((IF('Advanced Entry'!F$5="Logarithm",LN(0.001+'Advanced Entry'!F49),IF('Advanced Entry'!F$5="Exponential",EXP('Advanced Entry'!F49),'Advanced Entry'!F49)))-'Advanced Entry'!F$6)/('Advanced Entry'!F$7-'Advanced Entry'!F$6)),1))),"No data"))</f>
        <v/>
      </c>
      <c r="G49" s="17">
        <f>IF('Advanced Entry'!G49="","",IFERROR(MAX(0,MIN(10,ROUND(IF('Advanced Entry'!G$8="Decrease Risk",10-10*((IF('Advanced Entry'!G$5="Logarithm",LN(0.001+'Advanced Entry'!G49),IF('Advanced Entry'!G$5="Exponential",EXP('Advanced Entry'!G49),'Advanced Entry'!G49)))-'Advanced Entry'!G$6)/('Advanced Entry'!G$7-'Advanced Entry'!G$6),10*((IF('Advanced Entry'!G$5="Logarithm",LN(0.001+'Advanced Entry'!G49),IF('Advanced Entry'!G$5="Exponential",EXP('Advanced Entry'!G49),'Advanced Entry'!G49)))-'Advanced Entry'!G$6)/('Advanced Entry'!G$7-'Advanced Entry'!G$6)),1))),"No data"))</f>
        <v/>
      </c>
      <c r="H49" s="17">
        <f>IF('Advanced Entry'!H49="","",IFERROR(MAX(0,MIN(10,ROUND(IF('Advanced Entry'!H$8="Decrease Risk",10-10*((IF('Advanced Entry'!H$5="Logarithm",LN(0.001+'Advanced Entry'!H49),IF('Advanced Entry'!H$5="Exponential",EXP('Advanced Entry'!H49),'Advanced Entry'!H49)))-'Advanced Entry'!H$6)/('Advanced Entry'!H$7-'Advanced Entry'!H$6),10*((IF('Advanced Entry'!H$5="Logarithm",LN(0.001+'Advanced Entry'!H49),IF('Advanced Entry'!H$5="Exponential",EXP('Advanced Entry'!H49),'Advanced Entry'!H49)))-'Advanced Entry'!H$6)/('Advanced Entry'!H$7-'Advanced Entry'!H$6)),1))),"No data"))</f>
        <v/>
      </c>
      <c r="I49" s="17">
        <f>IF('Advanced Entry'!I49="","",IFERROR(MAX(0,MIN(10,ROUND(IF('Advanced Entry'!I$8="Decrease Risk",10-10*((IF('Advanced Entry'!I$5="Logarithm",LN(0.001+'Advanced Entry'!I49),IF('Advanced Entry'!I$5="Exponential",EXP('Advanced Entry'!I49),'Advanced Entry'!I49)))-'Advanced Entry'!I$6)/('Advanced Entry'!I$7-'Advanced Entry'!I$6),10*((IF('Advanced Entry'!I$5="Logarithm",LN(0.001+'Advanced Entry'!I49),IF('Advanced Entry'!I$5="Exponential",EXP('Advanced Entry'!I49),'Advanced Entry'!I49)))-'Advanced Entry'!I$6)/('Advanced Entry'!I$7-'Advanced Entry'!I$6)),1))),"No data"))</f>
        <v/>
      </c>
      <c r="J49" s="17">
        <f>IF('Advanced Entry'!J49="","",IFERROR(MAX(0,MIN(10,ROUND(IF('Advanced Entry'!J$8="Decrease Risk",10-10*((IF('Advanced Entry'!J$5="Logarithm",LN(0.001+'Advanced Entry'!J49),IF('Advanced Entry'!J$5="Exponential",EXP('Advanced Entry'!J49),'Advanced Entry'!J49)))-'Advanced Entry'!J$6)/('Advanced Entry'!J$7-'Advanced Entry'!J$6),10*((IF('Advanced Entry'!J$5="Logarithm",LN(0.001+'Advanced Entry'!J49),IF('Advanced Entry'!J$5="Exponential",EXP('Advanced Entry'!J49),'Advanced Entry'!J49)))-'Advanced Entry'!J$6)/('Advanced Entry'!J$7-'Advanced Entry'!J$6)),1))),"No data"))</f>
        <v/>
      </c>
      <c r="K49" s="17">
        <f>IF('Advanced Entry'!K49="","",IFERROR(MAX(0,MIN(10,ROUND(IF('Advanced Entry'!K$8="Decrease Risk",10-10*((IF('Advanced Entry'!K$5="Logarithm",LN(0.001+'Advanced Entry'!K49),IF('Advanced Entry'!K$5="Exponential",EXP('Advanced Entry'!K49),'Advanced Entry'!K49)))-'Advanced Entry'!K$6)/('Advanced Entry'!K$7-'Advanced Entry'!K$6),10*((IF('Advanced Entry'!K$5="Logarithm",LN(0.001+'Advanced Entry'!K49),IF('Advanced Entry'!K$5="Exponential",EXP('Advanced Entry'!K49),'Advanced Entry'!K49)))-'Advanced Entry'!K$6)/('Advanced Entry'!K$7-'Advanced Entry'!K$6)),1))),"No data"))</f>
        <v/>
      </c>
      <c r="L49" s="17">
        <f>IF('Advanced Entry'!L49="","",IFERROR(MAX(0,MIN(10,ROUND(IF('Advanced Entry'!L$8="Decrease Risk",10-10*((IF('Advanced Entry'!L$5="Logarithm",LN(0.001+'Advanced Entry'!L49),IF('Advanced Entry'!L$5="Exponential",EXP('Advanced Entry'!L49),'Advanced Entry'!L49)))-'Advanced Entry'!L$6)/('Advanced Entry'!L$7-'Advanced Entry'!L$6),10*((IF('Advanced Entry'!L$5="Logarithm",LN(0.001+'Advanced Entry'!L49),IF('Advanced Entry'!L$5="Exponential",EXP('Advanced Entry'!L49),'Advanced Entry'!L49)))-'Advanced Entry'!L$6)/('Advanced Entry'!L$7-'Advanced Entry'!L$6)),1))),"No data"))</f>
        <v/>
      </c>
      <c r="M49" s="17">
        <f>IF('Advanced Entry'!M49="","",IFERROR(MAX(0,MIN(10,ROUND(IF('Advanced Entry'!M$8="Decrease Risk",10-10*((IF('Advanced Entry'!M$5="Logarithm",LN(0.001+'Advanced Entry'!M49),IF('Advanced Entry'!M$5="Exponential",EXP('Advanced Entry'!M49),'Advanced Entry'!M49)))-'Advanced Entry'!M$6)/('Advanced Entry'!M$7-'Advanced Entry'!M$6),10*((IF('Advanced Entry'!M$5="Logarithm",LN(0.001+'Advanced Entry'!M49),IF('Advanced Entry'!M$5="Exponential",EXP('Advanced Entry'!M49),'Advanced Entry'!M49)))-'Advanced Entry'!M$6)/('Advanced Entry'!M$7-'Advanced Entry'!M$6)),1))),"No data"))</f>
        <v/>
      </c>
      <c r="N49" s="17">
        <f>IF('Advanced Entry'!N49="","",IFERROR(MAX(0,MIN(10,ROUND(IF('Advanced Entry'!N$8="Decrease Risk",10-10*((IF('Advanced Entry'!N$5="Logarithm",LN(0.001+'Advanced Entry'!N49),IF('Advanced Entry'!N$5="Exponential",EXP('Advanced Entry'!N49),'Advanced Entry'!N49)))-'Advanced Entry'!N$6)/('Advanced Entry'!N$7-'Advanced Entry'!N$6),10*((IF('Advanced Entry'!N$5="Logarithm",LN(0.001+'Advanced Entry'!N49),IF('Advanced Entry'!N$5="Exponential",EXP('Advanced Entry'!N49),'Advanced Entry'!N49)))-'Advanced Entry'!N$6)/('Advanced Entry'!N$7-'Advanced Entry'!N$6)),1))),"No data"))</f>
        <v/>
      </c>
      <c r="O49" s="17">
        <f>IF('Advanced Entry'!O49="","",IFERROR(MAX(0,MIN(10,ROUND(IF('Advanced Entry'!O$8="Decrease Risk",10-10*((IF('Advanced Entry'!O$5="Logarithm",LN(0.001+'Advanced Entry'!O49),IF('Advanced Entry'!O$5="Exponential",EXP('Advanced Entry'!O49),'Advanced Entry'!O49)))-'Advanced Entry'!O$6)/('Advanced Entry'!O$7-'Advanced Entry'!O$6),10*((IF('Advanced Entry'!O$5="Logarithm",LN(0.001+'Advanced Entry'!O49),IF('Advanced Entry'!O$5="Exponential",EXP('Advanced Entry'!O49),'Advanced Entry'!O49)))-'Advanced Entry'!O$6)/('Advanced Entry'!O$7-'Advanced Entry'!O$6)),1))),"No data"))</f>
        <v/>
      </c>
      <c r="P49" s="17">
        <f>IF('Advanced Entry'!P49="","",IFERROR(MAX(0,MIN(10,ROUND(IF('Advanced Entry'!P$8="Decrease Risk",10-10*((IF('Advanced Entry'!P$5="Logarithm",LN(0.001+'Advanced Entry'!P49),IF('Advanced Entry'!P$5="Exponential",EXP('Advanced Entry'!P49),'Advanced Entry'!P49)))-'Advanced Entry'!P$6)/('Advanced Entry'!P$7-'Advanced Entry'!P$6),10*((IF('Advanced Entry'!P$5="Logarithm",LN(0.001+'Advanced Entry'!P49),IF('Advanced Entry'!P$5="Exponential",EXP('Advanced Entry'!P49),'Advanced Entry'!P49)))-'Advanced Entry'!P$6)/('Advanced Entry'!P$7-'Advanced Entry'!P$6)),1))),"No data"))</f>
        <v/>
      </c>
      <c r="Q49" s="17">
        <f>IF('Advanced Entry'!Q49="","",IFERROR(MAX(0,MIN(10,ROUND(IF('Advanced Entry'!Q$8="Decrease Risk",10-10*((IF('Advanced Entry'!Q$5="Logarithm",LN(0.001+'Advanced Entry'!Q49),IF('Advanced Entry'!Q$5="Exponential",EXP('Advanced Entry'!Q49),'Advanced Entry'!Q49)))-'Advanced Entry'!Q$6)/('Advanced Entry'!Q$7-'Advanced Entry'!Q$6),10*((IF('Advanced Entry'!Q$5="Logarithm",LN(0.001+'Advanced Entry'!Q49),IF('Advanced Entry'!Q$5="Exponential",EXP('Advanced Entry'!Q49),'Advanced Entry'!Q49)))-'Advanced Entry'!Q$6)/('Advanced Entry'!Q$7-'Advanced Entry'!Q$6)),1))),"No data"))</f>
        <v/>
      </c>
      <c r="R49" s="17">
        <f>IF('Advanced Entry'!R49="","",IFERROR(MAX(0,MIN(10,ROUND(IF('Advanced Entry'!R$8="Decrease Risk",10-10*((IF('Advanced Entry'!R$5="Logarithm",LN(0.001+'Advanced Entry'!R49),IF('Advanced Entry'!R$5="Exponential",EXP('Advanced Entry'!R49),'Advanced Entry'!R49)))-'Advanced Entry'!R$6)/('Advanced Entry'!R$7-'Advanced Entry'!R$6),10*((IF('Advanced Entry'!R$5="Logarithm",LN(0.001+'Advanced Entry'!R49),IF('Advanced Entry'!R$5="Exponential",EXP('Advanced Entry'!R49),'Advanced Entry'!R49)))-'Advanced Entry'!R$6)/('Advanced Entry'!R$7-'Advanced Entry'!R$6)),1))),"No data"))</f>
        <v/>
      </c>
      <c r="S49" s="17">
        <f>IF('Advanced Entry'!S49="","",IFERROR(MAX(0,MIN(10,ROUND(IF('Advanced Entry'!S$8="Decrease Risk",10-10*((IF('Advanced Entry'!S$5="Logarithm",LN(0.001+'Advanced Entry'!S49),IF('Advanced Entry'!S$5="Exponential",EXP('Advanced Entry'!S49),'Advanced Entry'!S49)))-'Advanced Entry'!S$6)/('Advanced Entry'!S$7-'Advanced Entry'!S$6),10*((IF('Advanced Entry'!S$5="Logarithm",LN(0.001+'Advanced Entry'!S49),IF('Advanced Entry'!S$5="Exponential",EXP('Advanced Entry'!S49),'Advanced Entry'!S49)))-'Advanced Entry'!S$6)/('Advanced Entry'!S$7-'Advanced Entry'!S$6)),1))),"No data"))</f>
        <v/>
      </c>
      <c r="T49" s="17">
        <f>IF('Advanced Entry'!T49="","",IFERROR(MAX(0,MIN(10,ROUND(IF('Advanced Entry'!T$8="Decrease Risk",10-10*((IF('Advanced Entry'!T$5="Logarithm",LN(0.001+'Advanced Entry'!T49),IF('Advanced Entry'!T$5="Exponential",EXP('Advanced Entry'!T49),'Advanced Entry'!T49)))-'Advanced Entry'!T$6)/('Advanced Entry'!T$7-'Advanced Entry'!T$6),10*((IF('Advanced Entry'!T$5="Logarithm",LN(0.001+'Advanced Entry'!T49),IF('Advanced Entry'!T$5="Exponential",EXP('Advanced Entry'!T49),'Advanced Entry'!T49)))-'Advanced Entry'!T$6)/('Advanced Entry'!T$7-'Advanced Entry'!T$6)),1))),"No data"))</f>
        <v/>
      </c>
      <c r="U49" s="17">
        <f>IF('Advanced Entry'!U49="","",IFERROR(MAX(0,MIN(10,ROUND(IF('Advanced Entry'!U$8="Decrease Risk",10-10*((IF('Advanced Entry'!U$5="Logarithm",LN(0.001+'Advanced Entry'!U49),IF('Advanced Entry'!U$5="Exponential",EXP('Advanced Entry'!U49),'Advanced Entry'!U49)))-'Advanced Entry'!U$6)/('Advanced Entry'!U$7-'Advanced Entry'!U$6),10*((IF('Advanced Entry'!U$5="Logarithm",LN(0.001+'Advanced Entry'!U49),IF('Advanced Entry'!U$5="Exponential",EXP('Advanced Entry'!U49),'Advanced Entry'!U49)))-'Advanced Entry'!U$6)/('Advanced Entry'!U$7-'Advanced Entry'!U$6)),1))),"No data"))</f>
        <v/>
      </c>
      <c r="V49" s="17">
        <f>IF('Advanced Entry'!V49="","",IFERROR(MAX(0,MIN(10,ROUND(IF('Advanced Entry'!V$8="Decrease Risk",10-10*((IF('Advanced Entry'!V$5="Logarithm",LN(0.001+'Advanced Entry'!V49),IF('Advanced Entry'!V$5="Exponential",EXP('Advanced Entry'!V49),'Advanced Entry'!V49)))-'Advanced Entry'!V$6)/('Advanced Entry'!V$7-'Advanced Entry'!V$6),10*((IF('Advanced Entry'!V$5="Logarithm",LN(0.001+'Advanced Entry'!V49),IF('Advanced Entry'!V$5="Exponential",EXP('Advanced Entry'!V49),'Advanced Entry'!V49)))-'Advanced Entry'!V$6)/('Advanced Entry'!V$7-'Advanced Entry'!V$6)),1))),"No data"))</f>
        <v/>
      </c>
      <c r="W49" s="17">
        <f>IF('Advanced Entry'!W49="","",IFERROR(MAX(0,MIN(10,ROUND(IF('Advanced Entry'!W$8="Decrease Risk",10-10*((IF('Advanced Entry'!W$5="Logarithm",LN(0.001+'Advanced Entry'!W49),IF('Advanced Entry'!W$5="Exponential",EXP('Advanced Entry'!W49),'Advanced Entry'!W49)))-'Advanced Entry'!W$6)/('Advanced Entry'!W$7-'Advanced Entry'!W$6),10*((IF('Advanced Entry'!W$5="Logarithm",LN(0.001+'Advanced Entry'!W49),IF('Advanced Entry'!W$5="Exponential",EXP('Advanced Entry'!W49),'Advanced Entry'!W49)))-'Advanced Entry'!W$6)/('Advanced Entry'!W$7-'Advanced Entry'!W$6)),1))),"No data"))</f>
        <v/>
      </c>
      <c r="X49" s="17">
        <f>IF('Advanced Entry'!X49="","",IFERROR(MAX(0,MIN(10,ROUND(IF('Advanced Entry'!X$8="Decrease Risk",10-10*((IF('Advanced Entry'!X$5="Logarithm",LN(0.001+'Advanced Entry'!X49),IF('Advanced Entry'!X$5="Exponential",EXP('Advanced Entry'!X49),'Advanced Entry'!X49)))-'Advanced Entry'!X$6)/('Advanced Entry'!X$7-'Advanced Entry'!X$6),10*((IF('Advanced Entry'!X$5="Logarithm",LN(0.001+'Advanced Entry'!X49),IF('Advanced Entry'!X$5="Exponential",EXP('Advanced Entry'!X49),'Advanced Entry'!X49)))-'Advanced Entry'!X$6)/('Advanced Entry'!X$7-'Advanced Entry'!X$6)),1))),"No data"))</f>
        <v/>
      </c>
      <c r="Y49" s="17">
        <f>IF('Advanced Entry'!Y49="","",IFERROR(MAX(0,MIN(10,ROUND(IF('Advanced Entry'!Y$8="Decrease Risk",10-10*((IF('Advanced Entry'!Y$5="Logarithm",LN(0.001+'Advanced Entry'!Y49),IF('Advanced Entry'!Y$5="Exponential",EXP('Advanced Entry'!Y49),'Advanced Entry'!Y49)))-'Advanced Entry'!Y$6)/('Advanced Entry'!Y$7-'Advanced Entry'!Y$6),10*((IF('Advanced Entry'!Y$5="Logarithm",LN(0.001+'Advanced Entry'!Y49),IF('Advanced Entry'!Y$5="Exponential",EXP('Advanced Entry'!Y49),'Advanced Entry'!Y49)))-'Advanced Entry'!Y$6)/('Advanced Entry'!Y$7-'Advanced Entry'!Y$6)),1))),"No data"))</f>
        <v/>
      </c>
      <c r="Z49" s="17">
        <f>IF('Advanced Entry'!Z49="","",IFERROR(MAX(0,MIN(10,ROUND(IF('Advanced Entry'!Z$8="Decrease Risk",10-10*((IF('Advanced Entry'!Z$5="Logarithm",LN(0.001+'Advanced Entry'!Z49),IF('Advanced Entry'!Z$5="Exponential",EXP('Advanced Entry'!Z49),'Advanced Entry'!Z49)))-'Advanced Entry'!Z$6)/('Advanced Entry'!Z$7-'Advanced Entry'!Z$6),10*((IF('Advanced Entry'!Z$5="Logarithm",LN(0.001+'Advanced Entry'!Z49),IF('Advanced Entry'!Z$5="Exponential",EXP('Advanced Entry'!Z49),'Advanced Entry'!Z49)))-'Advanced Entry'!Z$6)/('Advanced Entry'!Z$7-'Advanced Entry'!Z$6)),1))),"No data"))</f>
        <v/>
      </c>
      <c r="AA49" s="17">
        <f>IF('Advanced Entry'!AA49="","",IFERROR(MAX(0,MIN(10,ROUND(IF('Advanced Entry'!AA$8="Decrease Risk",10-10*((IF('Advanced Entry'!AA$5="Logarithm",LN(0.001+'Advanced Entry'!AA49),IF('Advanced Entry'!AA$5="Exponential",EXP('Advanced Entry'!AA49),'Advanced Entry'!AA49)))-'Advanced Entry'!AA$6)/('Advanced Entry'!AA$7-'Advanced Entry'!AA$6),10*((IF('Advanced Entry'!AA$5="Logarithm",LN(0.001+'Advanced Entry'!AA49),IF('Advanced Entry'!AA$5="Exponential",EXP('Advanced Entry'!AA49),'Advanced Entry'!AA49)))-'Advanced Entry'!AA$6)/('Advanced Entry'!AA$7-'Advanced Entry'!AA$6)),1))),"No data"))</f>
        <v/>
      </c>
      <c r="AB49" s="17">
        <f>IF('Advanced Entry'!AB49="","",IFERROR(MAX(0,MIN(10,ROUND(IF('Advanced Entry'!AB$8="Decrease Risk",10-10*((IF('Advanced Entry'!AB$5="Logarithm",LN(0.001+'Advanced Entry'!AB49),IF('Advanced Entry'!AB$5="Exponential",EXP('Advanced Entry'!AB49),'Advanced Entry'!AB49)))-'Advanced Entry'!AB$6)/('Advanced Entry'!AB$7-'Advanced Entry'!AB$6),10*((IF('Advanced Entry'!AB$5="Logarithm",LN(0.001+'Advanced Entry'!AB49),IF('Advanced Entry'!AB$5="Exponential",EXP('Advanced Entry'!AB49),'Advanced Entry'!AB49)))-'Advanced Entry'!AB$6)/('Advanced Entry'!AB$7-'Advanced Entry'!AB$6)),1))),"No data"))</f>
        <v/>
      </c>
    </row>
    <row r="50">
      <c r="A50" t="inlineStr">
        <is>
          <t>Kaskazini Pemba</t>
        </is>
      </c>
      <c r="B50" t="inlineStr">
        <is>
          <t>Micheweni District</t>
        </is>
      </c>
      <c r="C50" t="inlineStr">
        <is>
          <t>C193</t>
        </is>
      </c>
      <c r="D50" s="17">
        <f>IF('Advanced Entry'!D50="","",IFERROR(MAX(0,MIN(10,ROUND(IF('Advanced Entry'!D$8="Decrease Risk",10-10*((IF('Advanced Entry'!D$5="Logarithm",LN(0.001+'Advanced Entry'!D50),IF('Advanced Entry'!D$5="Exponential",EXP('Advanced Entry'!D50),'Advanced Entry'!D50)))-'Advanced Entry'!D$6)/('Advanced Entry'!D$7-'Advanced Entry'!D$6),10*((IF('Advanced Entry'!D$5="Logarithm",LN(0.001+'Advanced Entry'!D50),IF('Advanced Entry'!D$5="Exponential",EXP('Advanced Entry'!D50),'Advanced Entry'!D50)))-'Advanced Entry'!D$6)/('Advanced Entry'!D$7-'Advanced Entry'!D$6)),1))),"No data"))</f>
        <v/>
      </c>
      <c r="E50" s="17">
        <f>IF('Advanced Entry'!E50="","",IFERROR(MAX(0,MIN(10,ROUND(IF('Advanced Entry'!E$8="Decrease Risk",10-10*((IF('Advanced Entry'!E$5="Logarithm",LN(0.001+'Advanced Entry'!E50),IF('Advanced Entry'!E$5="Exponential",EXP('Advanced Entry'!E50),'Advanced Entry'!E50)))-'Advanced Entry'!E$6)/('Advanced Entry'!E$7-'Advanced Entry'!E$6),10*((IF('Advanced Entry'!E$5="Logarithm",LN(0.001+'Advanced Entry'!E50),IF('Advanced Entry'!E$5="Exponential",EXP('Advanced Entry'!E50),'Advanced Entry'!E50)))-'Advanced Entry'!E$6)/('Advanced Entry'!E$7-'Advanced Entry'!E$6)),1))),"No data"))</f>
        <v/>
      </c>
      <c r="F50" s="17">
        <f>IF('Advanced Entry'!F50="","",IFERROR(MAX(0,MIN(10,ROUND(IF('Advanced Entry'!F$8="Decrease Risk",10-10*((IF('Advanced Entry'!F$5="Logarithm",LN(0.001+'Advanced Entry'!F50),IF('Advanced Entry'!F$5="Exponential",EXP('Advanced Entry'!F50),'Advanced Entry'!F50)))-'Advanced Entry'!F$6)/('Advanced Entry'!F$7-'Advanced Entry'!F$6),10*((IF('Advanced Entry'!F$5="Logarithm",LN(0.001+'Advanced Entry'!F50),IF('Advanced Entry'!F$5="Exponential",EXP('Advanced Entry'!F50),'Advanced Entry'!F50)))-'Advanced Entry'!F$6)/('Advanced Entry'!F$7-'Advanced Entry'!F$6)),1))),"No data"))</f>
        <v/>
      </c>
      <c r="G50" s="17">
        <f>IF('Advanced Entry'!G50="","",IFERROR(MAX(0,MIN(10,ROUND(IF('Advanced Entry'!G$8="Decrease Risk",10-10*((IF('Advanced Entry'!G$5="Logarithm",LN(0.001+'Advanced Entry'!G50),IF('Advanced Entry'!G$5="Exponential",EXP('Advanced Entry'!G50),'Advanced Entry'!G50)))-'Advanced Entry'!G$6)/('Advanced Entry'!G$7-'Advanced Entry'!G$6),10*((IF('Advanced Entry'!G$5="Logarithm",LN(0.001+'Advanced Entry'!G50),IF('Advanced Entry'!G$5="Exponential",EXP('Advanced Entry'!G50),'Advanced Entry'!G50)))-'Advanced Entry'!G$6)/('Advanced Entry'!G$7-'Advanced Entry'!G$6)),1))),"No data"))</f>
        <v/>
      </c>
      <c r="H50" s="17">
        <f>IF('Advanced Entry'!H50="","",IFERROR(MAX(0,MIN(10,ROUND(IF('Advanced Entry'!H$8="Decrease Risk",10-10*((IF('Advanced Entry'!H$5="Logarithm",LN(0.001+'Advanced Entry'!H50),IF('Advanced Entry'!H$5="Exponential",EXP('Advanced Entry'!H50),'Advanced Entry'!H50)))-'Advanced Entry'!H$6)/('Advanced Entry'!H$7-'Advanced Entry'!H$6),10*((IF('Advanced Entry'!H$5="Logarithm",LN(0.001+'Advanced Entry'!H50),IF('Advanced Entry'!H$5="Exponential",EXP('Advanced Entry'!H50),'Advanced Entry'!H50)))-'Advanced Entry'!H$6)/('Advanced Entry'!H$7-'Advanced Entry'!H$6)),1))),"No data"))</f>
        <v/>
      </c>
      <c r="I50" s="17">
        <f>IF('Advanced Entry'!I50="","",IFERROR(MAX(0,MIN(10,ROUND(IF('Advanced Entry'!I$8="Decrease Risk",10-10*((IF('Advanced Entry'!I$5="Logarithm",LN(0.001+'Advanced Entry'!I50),IF('Advanced Entry'!I$5="Exponential",EXP('Advanced Entry'!I50),'Advanced Entry'!I50)))-'Advanced Entry'!I$6)/('Advanced Entry'!I$7-'Advanced Entry'!I$6),10*((IF('Advanced Entry'!I$5="Logarithm",LN(0.001+'Advanced Entry'!I50),IF('Advanced Entry'!I$5="Exponential",EXP('Advanced Entry'!I50),'Advanced Entry'!I50)))-'Advanced Entry'!I$6)/('Advanced Entry'!I$7-'Advanced Entry'!I$6)),1))),"No data"))</f>
        <v/>
      </c>
      <c r="J50" s="17">
        <f>IF('Advanced Entry'!J50="","",IFERROR(MAX(0,MIN(10,ROUND(IF('Advanced Entry'!J$8="Decrease Risk",10-10*((IF('Advanced Entry'!J$5="Logarithm",LN(0.001+'Advanced Entry'!J50),IF('Advanced Entry'!J$5="Exponential",EXP('Advanced Entry'!J50),'Advanced Entry'!J50)))-'Advanced Entry'!J$6)/('Advanced Entry'!J$7-'Advanced Entry'!J$6),10*((IF('Advanced Entry'!J$5="Logarithm",LN(0.001+'Advanced Entry'!J50),IF('Advanced Entry'!J$5="Exponential",EXP('Advanced Entry'!J50),'Advanced Entry'!J50)))-'Advanced Entry'!J$6)/('Advanced Entry'!J$7-'Advanced Entry'!J$6)),1))),"No data"))</f>
        <v/>
      </c>
      <c r="K50" s="17">
        <f>IF('Advanced Entry'!K50="","",IFERROR(MAX(0,MIN(10,ROUND(IF('Advanced Entry'!K$8="Decrease Risk",10-10*((IF('Advanced Entry'!K$5="Logarithm",LN(0.001+'Advanced Entry'!K50),IF('Advanced Entry'!K$5="Exponential",EXP('Advanced Entry'!K50),'Advanced Entry'!K50)))-'Advanced Entry'!K$6)/('Advanced Entry'!K$7-'Advanced Entry'!K$6),10*((IF('Advanced Entry'!K$5="Logarithm",LN(0.001+'Advanced Entry'!K50),IF('Advanced Entry'!K$5="Exponential",EXP('Advanced Entry'!K50),'Advanced Entry'!K50)))-'Advanced Entry'!K$6)/('Advanced Entry'!K$7-'Advanced Entry'!K$6)),1))),"No data"))</f>
        <v/>
      </c>
      <c r="L50" s="17">
        <f>IF('Advanced Entry'!L50="","",IFERROR(MAX(0,MIN(10,ROUND(IF('Advanced Entry'!L$8="Decrease Risk",10-10*((IF('Advanced Entry'!L$5="Logarithm",LN(0.001+'Advanced Entry'!L50),IF('Advanced Entry'!L$5="Exponential",EXP('Advanced Entry'!L50),'Advanced Entry'!L50)))-'Advanced Entry'!L$6)/('Advanced Entry'!L$7-'Advanced Entry'!L$6),10*((IF('Advanced Entry'!L$5="Logarithm",LN(0.001+'Advanced Entry'!L50),IF('Advanced Entry'!L$5="Exponential",EXP('Advanced Entry'!L50),'Advanced Entry'!L50)))-'Advanced Entry'!L$6)/('Advanced Entry'!L$7-'Advanced Entry'!L$6)),1))),"No data"))</f>
        <v/>
      </c>
      <c r="M50" s="17">
        <f>IF('Advanced Entry'!M50="","",IFERROR(MAX(0,MIN(10,ROUND(IF('Advanced Entry'!M$8="Decrease Risk",10-10*((IF('Advanced Entry'!M$5="Logarithm",LN(0.001+'Advanced Entry'!M50),IF('Advanced Entry'!M$5="Exponential",EXP('Advanced Entry'!M50),'Advanced Entry'!M50)))-'Advanced Entry'!M$6)/('Advanced Entry'!M$7-'Advanced Entry'!M$6),10*((IF('Advanced Entry'!M$5="Logarithm",LN(0.001+'Advanced Entry'!M50),IF('Advanced Entry'!M$5="Exponential",EXP('Advanced Entry'!M50),'Advanced Entry'!M50)))-'Advanced Entry'!M$6)/('Advanced Entry'!M$7-'Advanced Entry'!M$6)),1))),"No data"))</f>
        <v/>
      </c>
      <c r="N50" s="17">
        <f>IF('Advanced Entry'!N50="","",IFERROR(MAX(0,MIN(10,ROUND(IF('Advanced Entry'!N$8="Decrease Risk",10-10*((IF('Advanced Entry'!N$5="Logarithm",LN(0.001+'Advanced Entry'!N50),IF('Advanced Entry'!N$5="Exponential",EXP('Advanced Entry'!N50),'Advanced Entry'!N50)))-'Advanced Entry'!N$6)/('Advanced Entry'!N$7-'Advanced Entry'!N$6),10*((IF('Advanced Entry'!N$5="Logarithm",LN(0.001+'Advanced Entry'!N50),IF('Advanced Entry'!N$5="Exponential",EXP('Advanced Entry'!N50),'Advanced Entry'!N50)))-'Advanced Entry'!N$6)/('Advanced Entry'!N$7-'Advanced Entry'!N$6)),1))),"No data"))</f>
        <v/>
      </c>
      <c r="O50" s="17">
        <f>IF('Advanced Entry'!O50="","",IFERROR(MAX(0,MIN(10,ROUND(IF('Advanced Entry'!O$8="Decrease Risk",10-10*((IF('Advanced Entry'!O$5="Logarithm",LN(0.001+'Advanced Entry'!O50),IF('Advanced Entry'!O$5="Exponential",EXP('Advanced Entry'!O50),'Advanced Entry'!O50)))-'Advanced Entry'!O$6)/('Advanced Entry'!O$7-'Advanced Entry'!O$6),10*((IF('Advanced Entry'!O$5="Logarithm",LN(0.001+'Advanced Entry'!O50),IF('Advanced Entry'!O$5="Exponential",EXP('Advanced Entry'!O50),'Advanced Entry'!O50)))-'Advanced Entry'!O$6)/('Advanced Entry'!O$7-'Advanced Entry'!O$6)),1))),"No data"))</f>
        <v/>
      </c>
      <c r="P50" s="17">
        <f>IF('Advanced Entry'!P50="","",IFERROR(MAX(0,MIN(10,ROUND(IF('Advanced Entry'!P$8="Decrease Risk",10-10*((IF('Advanced Entry'!P$5="Logarithm",LN(0.001+'Advanced Entry'!P50),IF('Advanced Entry'!P$5="Exponential",EXP('Advanced Entry'!P50),'Advanced Entry'!P50)))-'Advanced Entry'!P$6)/('Advanced Entry'!P$7-'Advanced Entry'!P$6),10*((IF('Advanced Entry'!P$5="Logarithm",LN(0.001+'Advanced Entry'!P50),IF('Advanced Entry'!P$5="Exponential",EXP('Advanced Entry'!P50),'Advanced Entry'!P50)))-'Advanced Entry'!P$6)/('Advanced Entry'!P$7-'Advanced Entry'!P$6)),1))),"No data"))</f>
        <v/>
      </c>
      <c r="Q50" s="17">
        <f>IF('Advanced Entry'!Q50="","",IFERROR(MAX(0,MIN(10,ROUND(IF('Advanced Entry'!Q$8="Decrease Risk",10-10*((IF('Advanced Entry'!Q$5="Logarithm",LN(0.001+'Advanced Entry'!Q50),IF('Advanced Entry'!Q$5="Exponential",EXP('Advanced Entry'!Q50),'Advanced Entry'!Q50)))-'Advanced Entry'!Q$6)/('Advanced Entry'!Q$7-'Advanced Entry'!Q$6),10*((IF('Advanced Entry'!Q$5="Logarithm",LN(0.001+'Advanced Entry'!Q50),IF('Advanced Entry'!Q$5="Exponential",EXP('Advanced Entry'!Q50),'Advanced Entry'!Q50)))-'Advanced Entry'!Q$6)/('Advanced Entry'!Q$7-'Advanced Entry'!Q$6)),1))),"No data"))</f>
        <v/>
      </c>
      <c r="R50" s="17">
        <f>IF('Advanced Entry'!R50="","",IFERROR(MAX(0,MIN(10,ROUND(IF('Advanced Entry'!R$8="Decrease Risk",10-10*((IF('Advanced Entry'!R$5="Logarithm",LN(0.001+'Advanced Entry'!R50),IF('Advanced Entry'!R$5="Exponential",EXP('Advanced Entry'!R50),'Advanced Entry'!R50)))-'Advanced Entry'!R$6)/('Advanced Entry'!R$7-'Advanced Entry'!R$6),10*((IF('Advanced Entry'!R$5="Logarithm",LN(0.001+'Advanced Entry'!R50),IF('Advanced Entry'!R$5="Exponential",EXP('Advanced Entry'!R50),'Advanced Entry'!R50)))-'Advanced Entry'!R$6)/('Advanced Entry'!R$7-'Advanced Entry'!R$6)),1))),"No data"))</f>
        <v/>
      </c>
      <c r="S50" s="17">
        <f>IF('Advanced Entry'!S50="","",IFERROR(MAX(0,MIN(10,ROUND(IF('Advanced Entry'!S$8="Decrease Risk",10-10*((IF('Advanced Entry'!S$5="Logarithm",LN(0.001+'Advanced Entry'!S50),IF('Advanced Entry'!S$5="Exponential",EXP('Advanced Entry'!S50),'Advanced Entry'!S50)))-'Advanced Entry'!S$6)/('Advanced Entry'!S$7-'Advanced Entry'!S$6),10*((IF('Advanced Entry'!S$5="Logarithm",LN(0.001+'Advanced Entry'!S50),IF('Advanced Entry'!S$5="Exponential",EXP('Advanced Entry'!S50),'Advanced Entry'!S50)))-'Advanced Entry'!S$6)/('Advanced Entry'!S$7-'Advanced Entry'!S$6)),1))),"No data"))</f>
        <v/>
      </c>
      <c r="T50" s="17">
        <f>IF('Advanced Entry'!T50="","",IFERROR(MAX(0,MIN(10,ROUND(IF('Advanced Entry'!T$8="Decrease Risk",10-10*((IF('Advanced Entry'!T$5="Logarithm",LN(0.001+'Advanced Entry'!T50),IF('Advanced Entry'!T$5="Exponential",EXP('Advanced Entry'!T50),'Advanced Entry'!T50)))-'Advanced Entry'!T$6)/('Advanced Entry'!T$7-'Advanced Entry'!T$6),10*((IF('Advanced Entry'!T$5="Logarithm",LN(0.001+'Advanced Entry'!T50),IF('Advanced Entry'!T$5="Exponential",EXP('Advanced Entry'!T50),'Advanced Entry'!T50)))-'Advanced Entry'!T$6)/('Advanced Entry'!T$7-'Advanced Entry'!T$6)),1))),"No data"))</f>
        <v/>
      </c>
      <c r="U50" s="17">
        <f>IF('Advanced Entry'!U50="","",IFERROR(MAX(0,MIN(10,ROUND(IF('Advanced Entry'!U$8="Decrease Risk",10-10*((IF('Advanced Entry'!U$5="Logarithm",LN(0.001+'Advanced Entry'!U50),IF('Advanced Entry'!U$5="Exponential",EXP('Advanced Entry'!U50),'Advanced Entry'!U50)))-'Advanced Entry'!U$6)/('Advanced Entry'!U$7-'Advanced Entry'!U$6),10*((IF('Advanced Entry'!U$5="Logarithm",LN(0.001+'Advanced Entry'!U50),IF('Advanced Entry'!U$5="Exponential",EXP('Advanced Entry'!U50),'Advanced Entry'!U50)))-'Advanced Entry'!U$6)/('Advanced Entry'!U$7-'Advanced Entry'!U$6)),1))),"No data"))</f>
        <v/>
      </c>
      <c r="V50" s="17">
        <f>IF('Advanced Entry'!V50="","",IFERROR(MAX(0,MIN(10,ROUND(IF('Advanced Entry'!V$8="Decrease Risk",10-10*((IF('Advanced Entry'!V$5="Logarithm",LN(0.001+'Advanced Entry'!V50),IF('Advanced Entry'!V$5="Exponential",EXP('Advanced Entry'!V50),'Advanced Entry'!V50)))-'Advanced Entry'!V$6)/('Advanced Entry'!V$7-'Advanced Entry'!V$6),10*((IF('Advanced Entry'!V$5="Logarithm",LN(0.001+'Advanced Entry'!V50),IF('Advanced Entry'!V$5="Exponential",EXP('Advanced Entry'!V50),'Advanced Entry'!V50)))-'Advanced Entry'!V$6)/('Advanced Entry'!V$7-'Advanced Entry'!V$6)),1))),"No data"))</f>
        <v/>
      </c>
      <c r="W50" s="17">
        <f>IF('Advanced Entry'!W50="","",IFERROR(MAX(0,MIN(10,ROUND(IF('Advanced Entry'!W$8="Decrease Risk",10-10*((IF('Advanced Entry'!W$5="Logarithm",LN(0.001+'Advanced Entry'!W50),IF('Advanced Entry'!W$5="Exponential",EXP('Advanced Entry'!W50),'Advanced Entry'!W50)))-'Advanced Entry'!W$6)/('Advanced Entry'!W$7-'Advanced Entry'!W$6),10*((IF('Advanced Entry'!W$5="Logarithm",LN(0.001+'Advanced Entry'!W50),IF('Advanced Entry'!W$5="Exponential",EXP('Advanced Entry'!W50),'Advanced Entry'!W50)))-'Advanced Entry'!W$6)/('Advanced Entry'!W$7-'Advanced Entry'!W$6)),1))),"No data"))</f>
        <v/>
      </c>
      <c r="X50" s="17">
        <f>IF('Advanced Entry'!X50="","",IFERROR(MAX(0,MIN(10,ROUND(IF('Advanced Entry'!X$8="Decrease Risk",10-10*((IF('Advanced Entry'!X$5="Logarithm",LN(0.001+'Advanced Entry'!X50),IF('Advanced Entry'!X$5="Exponential",EXP('Advanced Entry'!X50),'Advanced Entry'!X50)))-'Advanced Entry'!X$6)/('Advanced Entry'!X$7-'Advanced Entry'!X$6),10*((IF('Advanced Entry'!X$5="Logarithm",LN(0.001+'Advanced Entry'!X50),IF('Advanced Entry'!X$5="Exponential",EXP('Advanced Entry'!X50),'Advanced Entry'!X50)))-'Advanced Entry'!X$6)/('Advanced Entry'!X$7-'Advanced Entry'!X$6)),1))),"No data"))</f>
        <v/>
      </c>
      <c r="Y50" s="17">
        <f>IF('Advanced Entry'!Y50="","",IFERROR(MAX(0,MIN(10,ROUND(IF('Advanced Entry'!Y$8="Decrease Risk",10-10*((IF('Advanced Entry'!Y$5="Logarithm",LN(0.001+'Advanced Entry'!Y50),IF('Advanced Entry'!Y$5="Exponential",EXP('Advanced Entry'!Y50),'Advanced Entry'!Y50)))-'Advanced Entry'!Y$6)/('Advanced Entry'!Y$7-'Advanced Entry'!Y$6),10*((IF('Advanced Entry'!Y$5="Logarithm",LN(0.001+'Advanced Entry'!Y50),IF('Advanced Entry'!Y$5="Exponential",EXP('Advanced Entry'!Y50),'Advanced Entry'!Y50)))-'Advanced Entry'!Y$6)/('Advanced Entry'!Y$7-'Advanced Entry'!Y$6)),1))),"No data"))</f>
        <v/>
      </c>
      <c r="Z50" s="17">
        <f>IF('Advanced Entry'!Z50="","",IFERROR(MAX(0,MIN(10,ROUND(IF('Advanced Entry'!Z$8="Decrease Risk",10-10*((IF('Advanced Entry'!Z$5="Logarithm",LN(0.001+'Advanced Entry'!Z50),IF('Advanced Entry'!Z$5="Exponential",EXP('Advanced Entry'!Z50),'Advanced Entry'!Z50)))-'Advanced Entry'!Z$6)/('Advanced Entry'!Z$7-'Advanced Entry'!Z$6),10*((IF('Advanced Entry'!Z$5="Logarithm",LN(0.001+'Advanced Entry'!Z50),IF('Advanced Entry'!Z$5="Exponential",EXP('Advanced Entry'!Z50),'Advanced Entry'!Z50)))-'Advanced Entry'!Z$6)/('Advanced Entry'!Z$7-'Advanced Entry'!Z$6)),1))),"No data"))</f>
        <v/>
      </c>
      <c r="AA50" s="17">
        <f>IF('Advanced Entry'!AA50="","",IFERROR(MAX(0,MIN(10,ROUND(IF('Advanced Entry'!AA$8="Decrease Risk",10-10*((IF('Advanced Entry'!AA$5="Logarithm",LN(0.001+'Advanced Entry'!AA50),IF('Advanced Entry'!AA$5="Exponential",EXP('Advanced Entry'!AA50),'Advanced Entry'!AA50)))-'Advanced Entry'!AA$6)/('Advanced Entry'!AA$7-'Advanced Entry'!AA$6),10*((IF('Advanced Entry'!AA$5="Logarithm",LN(0.001+'Advanced Entry'!AA50),IF('Advanced Entry'!AA$5="Exponential",EXP('Advanced Entry'!AA50),'Advanced Entry'!AA50)))-'Advanced Entry'!AA$6)/('Advanced Entry'!AA$7-'Advanced Entry'!AA$6)),1))),"No data"))</f>
        <v/>
      </c>
      <c r="AB50" s="17">
        <f>IF('Advanced Entry'!AB50="","",IFERROR(MAX(0,MIN(10,ROUND(IF('Advanced Entry'!AB$8="Decrease Risk",10-10*((IF('Advanced Entry'!AB$5="Logarithm",LN(0.001+'Advanced Entry'!AB50),IF('Advanced Entry'!AB$5="Exponential",EXP('Advanced Entry'!AB50),'Advanced Entry'!AB50)))-'Advanced Entry'!AB$6)/('Advanced Entry'!AB$7-'Advanced Entry'!AB$6),10*((IF('Advanced Entry'!AB$5="Logarithm",LN(0.001+'Advanced Entry'!AB50),IF('Advanced Entry'!AB$5="Exponential",EXP('Advanced Entry'!AB50),'Advanced Entry'!AB50)))-'Advanced Entry'!AB$6)/('Advanced Entry'!AB$7-'Advanced Entry'!AB$6)),1))),"No data"))</f>
        <v/>
      </c>
    </row>
    <row r="51">
      <c r="A51" t="inlineStr">
        <is>
          <t>Kaskazini Pemba</t>
        </is>
      </c>
      <c r="B51" t="inlineStr">
        <is>
          <t>Wete Town</t>
        </is>
      </c>
      <c r="C51" t="inlineStr">
        <is>
          <t>C192</t>
        </is>
      </c>
      <c r="D51" s="17">
        <f>IF('Advanced Entry'!D51="","",IFERROR(MAX(0,MIN(10,ROUND(IF('Advanced Entry'!D$8="Decrease Risk",10-10*((IF('Advanced Entry'!D$5="Logarithm",LN(0.001+'Advanced Entry'!D51),IF('Advanced Entry'!D$5="Exponential",EXP('Advanced Entry'!D51),'Advanced Entry'!D51)))-'Advanced Entry'!D$6)/('Advanced Entry'!D$7-'Advanced Entry'!D$6),10*((IF('Advanced Entry'!D$5="Logarithm",LN(0.001+'Advanced Entry'!D51),IF('Advanced Entry'!D$5="Exponential",EXP('Advanced Entry'!D51),'Advanced Entry'!D51)))-'Advanced Entry'!D$6)/('Advanced Entry'!D$7-'Advanced Entry'!D$6)),1))),"No data"))</f>
        <v/>
      </c>
      <c r="E51" s="17">
        <f>IF('Advanced Entry'!E51="","",IFERROR(MAX(0,MIN(10,ROUND(IF('Advanced Entry'!E$8="Decrease Risk",10-10*((IF('Advanced Entry'!E$5="Logarithm",LN(0.001+'Advanced Entry'!E51),IF('Advanced Entry'!E$5="Exponential",EXP('Advanced Entry'!E51),'Advanced Entry'!E51)))-'Advanced Entry'!E$6)/('Advanced Entry'!E$7-'Advanced Entry'!E$6),10*((IF('Advanced Entry'!E$5="Logarithm",LN(0.001+'Advanced Entry'!E51),IF('Advanced Entry'!E$5="Exponential",EXP('Advanced Entry'!E51),'Advanced Entry'!E51)))-'Advanced Entry'!E$6)/('Advanced Entry'!E$7-'Advanced Entry'!E$6)),1))),"No data"))</f>
        <v/>
      </c>
      <c r="F51" s="17">
        <f>IF('Advanced Entry'!F51="","",IFERROR(MAX(0,MIN(10,ROUND(IF('Advanced Entry'!F$8="Decrease Risk",10-10*((IF('Advanced Entry'!F$5="Logarithm",LN(0.001+'Advanced Entry'!F51),IF('Advanced Entry'!F$5="Exponential",EXP('Advanced Entry'!F51),'Advanced Entry'!F51)))-'Advanced Entry'!F$6)/('Advanced Entry'!F$7-'Advanced Entry'!F$6),10*((IF('Advanced Entry'!F$5="Logarithm",LN(0.001+'Advanced Entry'!F51),IF('Advanced Entry'!F$5="Exponential",EXP('Advanced Entry'!F51),'Advanced Entry'!F51)))-'Advanced Entry'!F$6)/('Advanced Entry'!F$7-'Advanced Entry'!F$6)),1))),"No data"))</f>
        <v/>
      </c>
      <c r="G51" s="17">
        <f>IF('Advanced Entry'!G51="","",IFERROR(MAX(0,MIN(10,ROUND(IF('Advanced Entry'!G$8="Decrease Risk",10-10*((IF('Advanced Entry'!G$5="Logarithm",LN(0.001+'Advanced Entry'!G51),IF('Advanced Entry'!G$5="Exponential",EXP('Advanced Entry'!G51),'Advanced Entry'!G51)))-'Advanced Entry'!G$6)/('Advanced Entry'!G$7-'Advanced Entry'!G$6),10*((IF('Advanced Entry'!G$5="Logarithm",LN(0.001+'Advanced Entry'!G51),IF('Advanced Entry'!G$5="Exponential",EXP('Advanced Entry'!G51),'Advanced Entry'!G51)))-'Advanced Entry'!G$6)/('Advanced Entry'!G$7-'Advanced Entry'!G$6)),1))),"No data"))</f>
        <v/>
      </c>
      <c r="H51" s="17">
        <f>IF('Advanced Entry'!H51="","",IFERROR(MAX(0,MIN(10,ROUND(IF('Advanced Entry'!H$8="Decrease Risk",10-10*((IF('Advanced Entry'!H$5="Logarithm",LN(0.001+'Advanced Entry'!H51),IF('Advanced Entry'!H$5="Exponential",EXP('Advanced Entry'!H51),'Advanced Entry'!H51)))-'Advanced Entry'!H$6)/('Advanced Entry'!H$7-'Advanced Entry'!H$6),10*((IF('Advanced Entry'!H$5="Logarithm",LN(0.001+'Advanced Entry'!H51),IF('Advanced Entry'!H$5="Exponential",EXP('Advanced Entry'!H51),'Advanced Entry'!H51)))-'Advanced Entry'!H$6)/('Advanced Entry'!H$7-'Advanced Entry'!H$6)),1))),"No data"))</f>
        <v/>
      </c>
      <c r="I51" s="17">
        <f>IF('Advanced Entry'!I51="","",IFERROR(MAX(0,MIN(10,ROUND(IF('Advanced Entry'!I$8="Decrease Risk",10-10*((IF('Advanced Entry'!I$5="Logarithm",LN(0.001+'Advanced Entry'!I51),IF('Advanced Entry'!I$5="Exponential",EXP('Advanced Entry'!I51),'Advanced Entry'!I51)))-'Advanced Entry'!I$6)/('Advanced Entry'!I$7-'Advanced Entry'!I$6),10*((IF('Advanced Entry'!I$5="Logarithm",LN(0.001+'Advanced Entry'!I51),IF('Advanced Entry'!I$5="Exponential",EXP('Advanced Entry'!I51),'Advanced Entry'!I51)))-'Advanced Entry'!I$6)/('Advanced Entry'!I$7-'Advanced Entry'!I$6)),1))),"No data"))</f>
        <v/>
      </c>
      <c r="J51" s="17">
        <f>IF('Advanced Entry'!J51="","",IFERROR(MAX(0,MIN(10,ROUND(IF('Advanced Entry'!J$8="Decrease Risk",10-10*((IF('Advanced Entry'!J$5="Logarithm",LN(0.001+'Advanced Entry'!J51),IF('Advanced Entry'!J$5="Exponential",EXP('Advanced Entry'!J51),'Advanced Entry'!J51)))-'Advanced Entry'!J$6)/('Advanced Entry'!J$7-'Advanced Entry'!J$6),10*((IF('Advanced Entry'!J$5="Logarithm",LN(0.001+'Advanced Entry'!J51),IF('Advanced Entry'!J$5="Exponential",EXP('Advanced Entry'!J51),'Advanced Entry'!J51)))-'Advanced Entry'!J$6)/('Advanced Entry'!J$7-'Advanced Entry'!J$6)),1))),"No data"))</f>
        <v/>
      </c>
      <c r="K51" s="17">
        <f>IF('Advanced Entry'!K51="","",IFERROR(MAX(0,MIN(10,ROUND(IF('Advanced Entry'!K$8="Decrease Risk",10-10*((IF('Advanced Entry'!K$5="Logarithm",LN(0.001+'Advanced Entry'!K51),IF('Advanced Entry'!K$5="Exponential",EXP('Advanced Entry'!K51),'Advanced Entry'!K51)))-'Advanced Entry'!K$6)/('Advanced Entry'!K$7-'Advanced Entry'!K$6),10*((IF('Advanced Entry'!K$5="Logarithm",LN(0.001+'Advanced Entry'!K51),IF('Advanced Entry'!K$5="Exponential",EXP('Advanced Entry'!K51),'Advanced Entry'!K51)))-'Advanced Entry'!K$6)/('Advanced Entry'!K$7-'Advanced Entry'!K$6)),1))),"No data"))</f>
        <v/>
      </c>
      <c r="L51" s="17">
        <f>IF('Advanced Entry'!L51="","",IFERROR(MAX(0,MIN(10,ROUND(IF('Advanced Entry'!L$8="Decrease Risk",10-10*((IF('Advanced Entry'!L$5="Logarithm",LN(0.001+'Advanced Entry'!L51),IF('Advanced Entry'!L$5="Exponential",EXP('Advanced Entry'!L51),'Advanced Entry'!L51)))-'Advanced Entry'!L$6)/('Advanced Entry'!L$7-'Advanced Entry'!L$6),10*((IF('Advanced Entry'!L$5="Logarithm",LN(0.001+'Advanced Entry'!L51),IF('Advanced Entry'!L$5="Exponential",EXP('Advanced Entry'!L51),'Advanced Entry'!L51)))-'Advanced Entry'!L$6)/('Advanced Entry'!L$7-'Advanced Entry'!L$6)),1))),"No data"))</f>
        <v/>
      </c>
      <c r="M51" s="17">
        <f>IF('Advanced Entry'!M51="","",IFERROR(MAX(0,MIN(10,ROUND(IF('Advanced Entry'!M$8="Decrease Risk",10-10*((IF('Advanced Entry'!M$5="Logarithm",LN(0.001+'Advanced Entry'!M51),IF('Advanced Entry'!M$5="Exponential",EXP('Advanced Entry'!M51),'Advanced Entry'!M51)))-'Advanced Entry'!M$6)/('Advanced Entry'!M$7-'Advanced Entry'!M$6),10*((IF('Advanced Entry'!M$5="Logarithm",LN(0.001+'Advanced Entry'!M51),IF('Advanced Entry'!M$5="Exponential",EXP('Advanced Entry'!M51),'Advanced Entry'!M51)))-'Advanced Entry'!M$6)/('Advanced Entry'!M$7-'Advanced Entry'!M$6)),1))),"No data"))</f>
        <v/>
      </c>
      <c r="N51" s="17">
        <f>IF('Advanced Entry'!N51="","",IFERROR(MAX(0,MIN(10,ROUND(IF('Advanced Entry'!N$8="Decrease Risk",10-10*((IF('Advanced Entry'!N$5="Logarithm",LN(0.001+'Advanced Entry'!N51),IF('Advanced Entry'!N$5="Exponential",EXP('Advanced Entry'!N51),'Advanced Entry'!N51)))-'Advanced Entry'!N$6)/('Advanced Entry'!N$7-'Advanced Entry'!N$6),10*((IF('Advanced Entry'!N$5="Logarithm",LN(0.001+'Advanced Entry'!N51),IF('Advanced Entry'!N$5="Exponential",EXP('Advanced Entry'!N51),'Advanced Entry'!N51)))-'Advanced Entry'!N$6)/('Advanced Entry'!N$7-'Advanced Entry'!N$6)),1))),"No data"))</f>
        <v/>
      </c>
      <c r="O51" s="17">
        <f>IF('Advanced Entry'!O51="","",IFERROR(MAX(0,MIN(10,ROUND(IF('Advanced Entry'!O$8="Decrease Risk",10-10*((IF('Advanced Entry'!O$5="Logarithm",LN(0.001+'Advanced Entry'!O51),IF('Advanced Entry'!O$5="Exponential",EXP('Advanced Entry'!O51),'Advanced Entry'!O51)))-'Advanced Entry'!O$6)/('Advanced Entry'!O$7-'Advanced Entry'!O$6),10*((IF('Advanced Entry'!O$5="Logarithm",LN(0.001+'Advanced Entry'!O51),IF('Advanced Entry'!O$5="Exponential",EXP('Advanced Entry'!O51),'Advanced Entry'!O51)))-'Advanced Entry'!O$6)/('Advanced Entry'!O$7-'Advanced Entry'!O$6)),1))),"No data"))</f>
        <v/>
      </c>
      <c r="P51" s="17">
        <f>IF('Advanced Entry'!P51="","",IFERROR(MAX(0,MIN(10,ROUND(IF('Advanced Entry'!P$8="Decrease Risk",10-10*((IF('Advanced Entry'!P$5="Logarithm",LN(0.001+'Advanced Entry'!P51),IF('Advanced Entry'!P$5="Exponential",EXP('Advanced Entry'!P51),'Advanced Entry'!P51)))-'Advanced Entry'!P$6)/('Advanced Entry'!P$7-'Advanced Entry'!P$6),10*((IF('Advanced Entry'!P$5="Logarithm",LN(0.001+'Advanced Entry'!P51),IF('Advanced Entry'!P$5="Exponential",EXP('Advanced Entry'!P51),'Advanced Entry'!P51)))-'Advanced Entry'!P$6)/('Advanced Entry'!P$7-'Advanced Entry'!P$6)),1))),"No data"))</f>
        <v/>
      </c>
      <c r="Q51" s="17">
        <f>IF('Advanced Entry'!Q51="","",IFERROR(MAX(0,MIN(10,ROUND(IF('Advanced Entry'!Q$8="Decrease Risk",10-10*((IF('Advanced Entry'!Q$5="Logarithm",LN(0.001+'Advanced Entry'!Q51),IF('Advanced Entry'!Q$5="Exponential",EXP('Advanced Entry'!Q51),'Advanced Entry'!Q51)))-'Advanced Entry'!Q$6)/('Advanced Entry'!Q$7-'Advanced Entry'!Q$6),10*((IF('Advanced Entry'!Q$5="Logarithm",LN(0.001+'Advanced Entry'!Q51),IF('Advanced Entry'!Q$5="Exponential",EXP('Advanced Entry'!Q51),'Advanced Entry'!Q51)))-'Advanced Entry'!Q$6)/('Advanced Entry'!Q$7-'Advanced Entry'!Q$6)),1))),"No data"))</f>
        <v/>
      </c>
      <c r="R51" s="17">
        <f>IF('Advanced Entry'!R51="","",IFERROR(MAX(0,MIN(10,ROUND(IF('Advanced Entry'!R$8="Decrease Risk",10-10*((IF('Advanced Entry'!R$5="Logarithm",LN(0.001+'Advanced Entry'!R51),IF('Advanced Entry'!R$5="Exponential",EXP('Advanced Entry'!R51),'Advanced Entry'!R51)))-'Advanced Entry'!R$6)/('Advanced Entry'!R$7-'Advanced Entry'!R$6),10*((IF('Advanced Entry'!R$5="Logarithm",LN(0.001+'Advanced Entry'!R51),IF('Advanced Entry'!R$5="Exponential",EXP('Advanced Entry'!R51),'Advanced Entry'!R51)))-'Advanced Entry'!R$6)/('Advanced Entry'!R$7-'Advanced Entry'!R$6)),1))),"No data"))</f>
        <v/>
      </c>
      <c r="S51" s="17">
        <f>IF('Advanced Entry'!S51="","",IFERROR(MAX(0,MIN(10,ROUND(IF('Advanced Entry'!S$8="Decrease Risk",10-10*((IF('Advanced Entry'!S$5="Logarithm",LN(0.001+'Advanced Entry'!S51),IF('Advanced Entry'!S$5="Exponential",EXP('Advanced Entry'!S51),'Advanced Entry'!S51)))-'Advanced Entry'!S$6)/('Advanced Entry'!S$7-'Advanced Entry'!S$6),10*((IF('Advanced Entry'!S$5="Logarithm",LN(0.001+'Advanced Entry'!S51),IF('Advanced Entry'!S$5="Exponential",EXP('Advanced Entry'!S51),'Advanced Entry'!S51)))-'Advanced Entry'!S$6)/('Advanced Entry'!S$7-'Advanced Entry'!S$6)),1))),"No data"))</f>
        <v/>
      </c>
      <c r="T51" s="17">
        <f>IF('Advanced Entry'!T51="","",IFERROR(MAX(0,MIN(10,ROUND(IF('Advanced Entry'!T$8="Decrease Risk",10-10*((IF('Advanced Entry'!T$5="Logarithm",LN(0.001+'Advanced Entry'!T51),IF('Advanced Entry'!T$5="Exponential",EXP('Advanced Entry'!T51),'Advanced Entry'!T51)))-'Advanced Entry'!T$6)/('Advanced Entry'!T$7-'Advanced Entry'!T$6),10*((IF('Advanced Entry'!T$5="Logarithm",LN(0.001+'Advanced Entry'!T51),IF('Advanced Entry'!T$5="Exponential",EXP('Advanced Entry'!T51),'Advanced Entry'!T51)))-'Advanced Entry'!T$6)/('Advanced Entry'!T$7-'Advanced Entry'!T$6)),1))),"No data"))</f>
        <v/>
      </c>
      <c r="U51" s="17">
        <f>IF('Advanced Entry'!U51="","",IFERROR(MAX(0,MIN(10,ROUND(IF('Advanced Entry'!U$8="Decrease Risk",10-10*((IF('Advanced Entry'!U$5="Logarithm",LN(0.001+'Advanced Entry'!U51),IF('Advanced Entry'!U$5="Exponential",EXP('Advanced Entry'!U51),'Advanced Entry'!U51)))-'Advanced Entry'!U$6)/('Advanced Entry'!U$7-'Advanced Entry'!U$6),10*((IF('Advanced Entry'!U$5="Logarithm",LN(0.001+'Advanced Entry'!U51),IF('Advanced Entry'!U$5="Exponential",EXP('Advanced Entry'!U51),'Advanced Entry'!U51)))-'Advanced Entry'!U$6)/('Advanced Entry'!U$7-'Advanced Entry'!U$6)),1))),"No data"))</f>
        <v/>
      </c>
      <c r="V51" s="17">
        <f>IF('Advanced Entry'!V51="","",IFERROR(MAX(0,MIN(10,ROUND(IF('Advanced Entry'!V$8="Decrease Risk",10-10*((IF('Advanced Entry'!V$5="Logarithm",LN(0.001+'Advanced Entry'!V51),IF('Advanced Entry'!V$5="Exponential",EXP('Advanced Entry'!V51),'Advanced Entry'!V51)))-'Advanced Entry'!V$6)/('Advanced Entry'!V$7-'Advanced Entry'!V$6),10*((IF('Advanced Entry'!V$5="Logarithm",LN(0.001+'Advanced Entry'!V51),IF('Advanced Entry'!V$5="Exponential",EXP('Advanced Entry'!V51),'Advanced Entry'!V51)))-'Advanced Entry'!V$6)/('Advanced Entry'!V$7-'Advanced Entry'!V$6)),1))),"No data"))</f>
        <v/>
      </c>
      <c r="W51" s="17">
        <f>IF('Advanced Entry'!W51="","",IFERROR(MAX(0,MIN(10,ROUND(IF('Advanced Entry'!W$8="Decrease Risk",10-10*((IF('Advanced Entry'!W$5="Logarithm",LN(0.001+'Advanced Entry'!W51),IF('Advanced Entry'!W$5="Exponential",EXP('Advanced Entry'!W51),'Advanced Entry'!W51)))-'Advanced Entry'!W$6)/('Advanced Entry'!W$7-'Advanced Entry'!W$6),10*((IF('Advanced Entry'!W$5="Logarithm",LN(0.001+'Advanced Entry'!W51),IF('Advanced Entry'!W$5="Exponential",EXP('Advanced Entry'!W51),'Advanced Entry'!W51)))-'Advanced Entry'!W$6)/('Advanced Entry'!W$7-'Advanced Entry'!W$6)),1))),"No data"))</f>
        <v/>
      </c>
      <c r="X51" s="17">
        <f>IF('Advanced Entry'!X51="","",IFERROR(MAX(0,MIN(10,ROUND(IF('Advanced Entry'!X$8="Decrease Risk",10-10*((IF('Advanced Entry'!X$5="Logarithm",LN(0.001+'Advanced Entry'!X51),IF('Advanced Entry'!X$5="Exponential",EXP('Advanced Entry'!X51),'Advanced Entry'!X51)))-'Advanced Entry'!X$6)/('Advanced Entry'!X$7-'Advanced Entry'!X$6),10*((IF('Advanced Entry'!X$5="Logarithm",LN(0.001+'Advanced Entry'!X51),IF('Advanced Entry'!X$5="Exponential",EXP('Advanced Entry'!X51),'Advanced Entry'!X51)))-'Advanced Entry'!X$6)/('Advanced Entry'!X$7-'Advanced Entry'!X$6)),1))),"No data"))</f>
        <v/>
      </c>
      <c r="Y51" s="17">
        <f>IF('Advanced Entry'!Y51="","",IFERROR(MAX(0,MIN(10,ROUND(IF('Advanced Entry'!Y$8="Decrease Risk",10-10*((IF('Advanced Entry'!Y$5="Logarithm",LN(0.001+'Advanced Entry'!Y51),IF('Advanced Entry'!Y$5="Exponential",EXP('Advanced Entry'!Y51),'Advanced Entry'!Y51)))-'Advanced Entry'!Y$6)/('Advanced Entry'!Y$7-'Advanced Entry'!Y$6),10*((IF('Advanced Entry'!Y$5="Logarithm",LN(0.001+'Advanced Entry'!Y51),IF('Advanced Entry'!Y$5="Exponential",EXP('Advanced Entry'!Y51),'Advanced Entry'!Y51)))-'Advanced Entry'!Y$6)/('Advanced Entry'!Y$7-'Advanced Entry'!Y$6)),1))),"No data"))</f>
        <v/>
      </c>
      <c r="Z51" s="17">
        <f>IF('Advanced Entry'!Z51="","",IFERROR(MAX(0,MIN(10,ROUND(IF('Advanced Entry'!Z$8="Decrease Risk",10-10*((IF('Advanced Entry'!Z$5="Logarithm",LN(0.001+'Advanced Entry'!Z51),IF('Advanced Entry'!Z$5="Exponential",EXP('Advanced Entry'!Z51),'Advanced Entry'!Z51)))-'Advanced Entry'!Z$6)/('Advanced Entry'!Z$7-'Advanced Entry'!Z$6),10*((IF('Advanced Entry'!Z$5="Logarithm",LN(0.001+'Advanced Entry'!Z51),IF('Advanced Entry'!Z$5="Exponential",EXP('Advanced Entry'!Z51),'Advanced Entry'!Z51)))-'Advanced Entry'!Z$6)/('Advanced Entry'!Z$7-'Advanced Entry'!Z$6)),1))),"No data"))</f>
        <v/>
      </c>
      <c r="AA51" s="17">
        <f>IF('Advanced Entry'!AA51="","",IFERROR(MAX(0,MIN(10,ROUND(IF('Advanced Entry'!AA$8="Decrease Risk",10-10*((IF('Advanced Entry'!AA$5="Logarithm",LN(0.001+'Advanced Entry'!AA51),IF('Advanced Entry'!AA$5="Exponential",EXP('Advanced Entry'!AA51),'Advanced Entry'!AA51)))-'Advanced Entry'!AA$6)/('Advanced Entry'!AA$7-'Advanced Entry'!AA$6),10*((IF('Advanced Entry'!AA$5="Logarithm",LN(0.001+'Advanced Entry'!AA51),IF('Advanced Entry'!AA$5="Exponential",EXP('Advanced Entry'!AA51),'Advanced Entry'!AA51)))-'Advanced Entry'!AA$6)/('Advanced Entry'!AA$7-'Advanced Entry'!AA$6)),1))),"No data"))</f>
        <v/>
      </c>
      <c r="AB51" s="17">
        <f>IF('Advanced Entry'!AB51="","",IFERROR(MAX(0,MIN(10,ROUND(IF('Advanced Entry'!AB$8="Decrease Risk",10-10*((IF('Advanced Entry'!AB$5="Logarithm",LN(0.001+'Advanced Entry'!AB51),IF('Advanced Entry'!AB$5="Exponential",EXP('Advanced Entry'!AB51),'Advanced Entry'!AB51)))-'Advanced Entry'!AB$6)/('Advanced Entry'!AB$7-'Advanced Entry'!AB$6),10*((IF('Advanced Entry'!AB$5="Logarithm",LN(0.001+'Advanced Entry'!AB51),IF('Advanced Entry'!AB$5="Exponential",EXP('Advanced Entry'!AB51),'Advanced Entry'!AB51)))-'Advanced Entry'!AB$6)/('Advanced Entry'!AB$7-'Advanced Entry'!AB$6)),1))),"No data"))</f>
        <v/>
      </c>
    </row>
    <row r="52">
      <c r="A52" t="inlineStr">
        <is>
          <t>Kaskazini Unguja</t>
        </is>
      </c>
      <c r="B52" t="inlineStr">
        <is>
          <t>Kaskazini A Town</t>
        </is>
      </c>
      <c r="C52" t="inlineStr">
        <is>
          <t>C185</t>
        </is>
      </c>
      <c r="D52" s="17">
        <f>IF('Advanced Entry'!D52="","",IFERROR(MAX(0,MIN(10,ROUND(IF('Advanced Entry'!D$8="Decrease Risk",10-10*((IF('Advanced Entry'!D$5="Logarithm",LN(0.001+'Advanced Entry'!D52),IF('Advanced Entry'!D$5="Exponential",EXP('Advanced Entry'!D52),'Advanced Entry'!D52)))-'Advanced Entry'!D$6)/('Advanced Entry'!D$7-'Advanced Entry'!D$6),10*((IF('Advanced Entry'!D$5="Logarithm",LN(0.001+'Advanced Entry'!D52),IF('Advanced Entry'!D$5="Exponential",EXP('Advanced Entry'!D52),'Advanced Entry'!D52)))-'Advanced Entry'!D$6)/('Advanced Entry'!D$7-'Advanced Entry'!D$6)),1))),"No data"))</f>
        <v/>
      </c>
      <c r="E52" s="17">
        <f>IF('Advanced Entry'!E52="","",IFERROR(MAX(0,MIN(10,ROUND(IF('Advanced Entry'!E$8="Decrease Risk",10-10*((IF('Advanced Entry'!E$5="Logarithm",LN(0.001+'Advanced Entry'!E52),IF('Advanced Entry'!E$5="Exponential",EXP('Advanced Entry'!E52),'Advanced Entry'!E52)))-'Advanced Entry'!E$6)/('Advanced Entry'!E$7-'Advanced Entry'!E$6),10*((IF('Advanced Entry'!E$5="Logarithm",LN(0.001+'Advanced Entry'!E52),IF('Advanced Entry'!E$5="Exponential",EXP('Advanced Entry'!E52),'Advanced Entry'!E52)))-'Advanced Entry'!E$6)/('Advanced Entry'!E$7-'Advanced Entry'!E$6)),1))),"No data"))</f>
        <v/>
      </c>
      <c r="F52" s="17">
        <f>IF('Advanced Entry'!F52="","",IFERROR(MAX(0,MIN(10,ROUND(IF('Advanced Entry'!F$8="Decrease Risk",10-10*((IF('Advanced Entry'!F$5="Logarithm",LN(0.001+'Advanced Entry'!F52),IF('Advanced Entry'!F$5="Exponential",EXP('Advanced Entry'!F52),'Advanced Entry'!F52)))-'Advanced Entry'!F$6)/('Advanced Entry'!F$7-'Advanced Entry'!F$6),10*((IF('Advanced Entry'!F$5="Logarithm",LN(0.001+'Advanced Entry'!F52),IF('Advanced Entry'!F$5="Exponential",EXP('Advanced Entry'!F52),'Advanced Entry'!F52)))-'Advanced Entry'!F$6)/('Advanced Entry'!F$7-'Advanced Entry'!F$6)),1))),"No data"))</f>
        <v/>
      </c>
      <c r="G52" s="17">
        <f>IF('Advanced Entry'!G52="","",IFERROR(MAX(0,MIN(10,ROUND(IF('Advanced Entry'!G$8="Decrease Risk",10-10*((IF('Advanced Entry'!G$5="Logarithm",LN(0.001+'Advanced Entry'!G52),IF('Advanced Entry'!G$5="Exponential",EXP('Advanced Entry'!G52),'Advanced Entry'!G52)))-'Advanced Entry'!G$6)/('Advanced Entry'!G$7-'Advanced Entry'!G$6),10*((IF('Advanced Entry'!G$5="Logarithm",LN(0.001+'Advanced Entry'!G52),IF('Advanced Entry'!G$5="Exponential",EXP('Advanced Entry'!G52),'Advanced Entry'!G52)))-'Advanced Entry'!G$6)/('Advanced Entry'!G$7-'Advanced Entry'!G$6)),1))),"No data"))</f>
        <v/>
      </c>
      <c r="H52" s="17">
        <f>IF('Advanced Entry'!H52="","",IFERROR(MAX(0,MIN(10,ROUND(IF('Advanced Entry'!H$8="Decrease Risk",10-10*((IF('Advanced Entry'!H$5="Logarithm",LN(0.001+'Advanced Entry'!H52),IF('Advanced Entry'!H$5="Exponential",EXP('Advanced Entry'!H52),'Advanced Entry'!H52)))-'Advanced Entry'!H$6)/('Advanced Entry'!H$7-'Advanced Entry'!H$6),10*((IF('Advanced Entry'!H$5="Logarithm",LN(0.001+'Advanced Entry'!H52),IF('Advanced Entry'!H$5="Exponential",EXP('Advanced Entry'!H52),'Advanced Entry'!H52)))-'Advanced Entry'!H$6)/('Advanced Entry'!H$7-'Advanced Entry'!H$6)),1))),"No data"))</f>
        <v/>
      </c>
      <c r="I52" s="17">
        <f>IF('Advanced Entry'!I52="","",IFERROR(MAX(0,MIN(10,ROUND(IF('Advanced Entry'!I$8="Decrease Risk",10-10*((IF('Advanced Entry'!I$5="Logarithm",LN(0.001+'Advanced Entry'!I52),IF('Advanced Entry'!I$5="Exponential",EXP('Advanced Entry'!I52),'Advanced Entry'!I52)))-'Advanced Entry'!I$6)/('Advanced Entry'!I$7-'Advanced Entry'!I$6),10*((IF('Advanced Entry'!I$5="Logarithm",LN(0.001+'Advanced Entry'!I52),IF('Advanced Entry'!I$5="Exponential",EXP('Advanced Entry'!I52),'Advanced Entry'!I52)))-'Advanced Entry'!I$6)/('Advanced Entry'!I$7-'Advanced Entry'!I$6)),1))),"No data"))</f>
        <v/>
      </c>
      <c r="J52" s="17">
        <f>IF('Advanced Entry'!J52="","",IFERROR(MAX(0,MIN(10,ROUND(IF('Advanced Entry'!J$8="Decrease Risk",10-10*((IF('Advanced Entry'!J$5="Logarithm",LN(0.001+'Advanced Entry'!J52),IF('Advanced Entry'!J$5="Exponential",EXP('Advanced Entry'!J52),'Advanced Entry'!J52)))-'Advanced Entry'!J$6)/('Advanced Entry'!J$7-'Advanced Entry'!J$6),10*((IF('Advanced Entry'!J$5="Logarithm",LN(0.001+'Advanced Entry'!J52),IF('Advanced Entry'!J$5="Exponential",EXP('Advanced Entry'!J52),'Advanced Entry'!J52)))-'Advanced Entry'!J$6)/('Advanced Entry'!J$7-'Advanced Entry'!J$6)),1))),"No data"))</f>
        <v/>
      </c>
      <c r="K52" s="17">
        <f>IF('Advanced Entry'!K52="","",IFERROR(MAX(0,MIN(10,ROUND(IF('Advanced Entry'!K$8="Decrease Risk",10-10*((IF('Advanced Entry'!K$5="Logarithm",LN(0.001+'Advanced Entry'!K52),IF('Advanced Entry'!K$5="Exponential",EXP('Advanced Entry'!K52),'Advanced Entry'!K52)))-'Advanced Entry'!K$6)/('Advanced Entry'!K$7-'Advanced Entry'!K$6),10*((IF('Advanced Entry'!K$5="Logarithm",LN(0.001+'Advanced Entry'!K52),IF('Advanced Entry'!K$5="Exponential",EXP('Advanced Entry'!K52),'Advanced Entry'!K52)))-'Advanced Entry'!K$6)/('Advanced Entry'!K$7-'Advanced Entry'!K$6)),1))),"No data"))</f>
        <v/>
      </c>
      <c r="L52" s="17">
        <f>IF('Advanced Entry'!L52="","",IFERROR(MAX(0,MIN(10,ROUND(IF('Advanced Entry'!L$8="Decrease Risk",10-10*((IF('Advanced Entry'!L$5="Logarithm",LN(0.001+'Advanced Entry'!L52),IF('Advanced Entry'!L$5="Exponential",EXP('Advanced Entry'!L52),'Advanced Entry'!L52)))-'Advanced Entry'!L$6)/('Advanced Entry'!L$7-'Advanced Entry'!L$6),10*((IF('Advanced Entry'!L$5="Logarithm",LN(0.001+'Advanced Entry'!L52),IF('Advanced Entry'!L$5="Exponential",EXP('Advanced Entry'!L52),'Advanced Entry'!L52)))-'Advanced Entry'!L$6)/('Advanced Entry'!L$7-'Advanced Entry'!L$6)),1))),"No data"))</f>
        <v/>
      </c>
      <c r="M52" s="17">
        <f>IF('Advanced Entry'!M52="","",IFERROR(MAX(0,MIN(10,ROUND(IF('Advanced Entry'!M$8="Decrease Risk",10-10*((IF('Advanced Entry'!M$5="Logarithm",LN(0.001+'Advanced Entry'!M52),IF('Advanced Entry'!M$5="Exponential",EXP('Advanced Entry'!M52),'Advanced Entry'!M52)))-'Advanced Entry'!M$6)/('Advanced Entry'!M$7-'Advanced Entry'!M$6),10*((IF('Advanced Entry'!M$5="Logarithm",LN(0.001+'Advanced Entry'!M52),IF('Advanced Entry'!M$5="Exponential",EXP('Advanced Entry'!M52),'Advanced Entry'!M52)))-'Advanced Entry'!M$6)/('Advanced Entry'!M$7-'Advanced Entry'!M$6)),1))),"No data"))</f>
        <v/>
      </c>
      <c r="N52" s="17">
        <f>IF('Advanced Entry'!N52="","",IFERROR(MAX(0,MIN(10,ROUND(IF('Advanced Entry'!N$8="Decrease Risk",10-10*((IF('Advanced Entry'!N$5="Logarithm",LN(0.001+'Advanced Entry'!N52),IF('Advanced Entry'!N$5="Exponential",EXP('Advanced Entry'!N52),'Advanced Entry'!N52)))-'Advanced Entry'!N$6)/('Advanced Entry'!N$7-'Advanced Entry'!N$6),10*((IF('Advanced Entry'!N$5="Logarithm",LN(0.001+'Advanced Entry'!N52),IF('Advanced Entry'!N$5="Exponential",EXP('Advanced Entry'!N52),'Advanced Entry'!N52)))-'Advanced Entry'!N$6)/('Advanced Entry'!N$7-'Advanced Entry'!N$6)),1))),"No data"))</f>
        <v/>
      </c>
      <c r="O52" s="17">
        <f>IF('Advanced Entry'!O52="","",IFERROR(MAX(0,MIN(10,ROUND(IF('Advanced Entry'!O$8="Decrease Risk",10-10*((IF('Advanced Entry'!O$5="Logarithm",LN(0.001+'Advanced Entry'!O52),IF('Advanced Entry'!O$5="Exponential",EXP('Advanced Entry'!O52),'Advanced Entry'!O52)))-'Advanced Entry'!O$6)/('Advanced Entry'!O$7-'Advanced Entry'!O$6),10*((IF('Advanced Entry'!O$5="Logarithm",LN(0.001+'Advanced Entry'!O52),IF('Advanced Entry'!O$5="Exponential",EXP('Advanced Entry'!O52),'Advanced Entry'!O52)))-'Advanced Entry'!O$6)/('Advanced Entry'!O$7-'Advanced Entry'!O$6)),1))),"No data"))</f>
        <v/>
      </c>
      <c r="P52" s="17">
        <f>IF('Advanced Entry'!P52="","",IFERROR(MAX(0,MIN(10,ROUND(IF('Advanced Entry'!P$8="Decrease Risk",10-10*((IF('Advanced Entry'!P$5="Logarithm",LN(0.001+'Advanced Entry'!P52),IF('Advanced Entry'!P$5="Exponential",EXP('Advanced Entry'!P52),'Advanced Entry'!P52)))-'Advanced Entry'!P$6)/('Advanced Entry'!P$7-'Advanced Entry'!P$6),10*((IF('Advanced Entry'!P$5="Logarithm",LN(0.001+'Advanced Entry'!P52),IF('Advanced Entry'!P$5="Exponential",EXP('Advanced Entry'!P52),'Advanced Entry'!P52)))-'Advanced Entry'!P$6)/('Advanced Entry'!P$7-'Advanced Entry'!P$6)),1))),"No data"))</f>
        <v/>
      </c>
      <c r="Q52" s="17">
        <f>IF('Advanced Entry'!Q52="","",IFERROR(MAX(0,MIN(10,ROUND(IF('Advanced Entry'!Q$8="Decrease Risk",10-10*((IF('Advanced Entry'!Q$5="Logarithm",LN(0.001+'Advanced Entry'!Q52),IF('Advanced Entry'!Q$5="Exponential",EXP('Advanced Entry'!Q52),'Advanced Entry'!Q52)))-'Advanced Entry'!Q$6)/('Advanced Entry'!Q$7-'Advanced Entry'!Q$6),10*((IF('Advanced Entry'!Q$5="Logarithm",LN(0.001+'Advanced Entry'!Q52),IF('Advanced Entry'!Q$5="Exponential",EXP('Advanced Entry'!Q52),'Advanced Entry'!Q52)))-'Advanced Entry'!Q$6)/('Advanced Entry'!Q$7-'Advanced Entry'!Q$6)),1))),"No data"))</f>
        <v/>
      </c>
      <c r="R52" s="17">
        <f>IF('Advanced Entry'!R52="","",IFERROR(MAX(0,MIN(10,ROUND(IF('Advanced Entry'!R$8="Decrease Risk",10-10*((IF('Advanced Entry'!R$5="Logarithm",LN(0.001+'Advanced Entry'!R52),IF('Advanced Entry'!R$5="Exponential",EXP('Advanced Entry'!R52),'Advanced Entry'!R52)))-'Advanced Entry'!R$6)/('Advanced Entry'!R$7-'Advanced Entry'!R$6),10*((IF('Advanced Entry'!R$5="Logarithm",LN(0.001+'Advanced Entry'!R52),IF('Advanced Entry'!R$5="Exponential",EXP('Advanced Entry'!R52),'Advanced Entry'!R52)))-'Advanced Entry'!R$6)/('Advanced Entry'!R$7-'Advanced Entry'!R$6)),1))),"No data"))</f>
        <v/>
      </c>
      <c r="S52" s="17">
        <f>IF('Advanced Entry'!S52="","",IFERROR(MAX(0,MIN(10,ROUND(IF('Advanced Entry'!S$8="Decrease Risk",10-10*((IF('Advanced Entry'!S$5="Logarithm",LN(0.001+'Advanced Entry'!S52),IF('Advanced Entry'!S$5="Exponential",EXP('Advanced Entry'!S52),'Advanced Entry'!S52)))-'Advanced Entry'!S$6)/('Advanced Entry'!S$7-'Advanced Entry'!S$6),10*((IF('Advanced Entry'!S$5="Logarithm",LN(0.001+'Advanced Entry'!S52),IF('Advanced Entry'!S$5="Exponential",EXP('Advanced Entry'!S52),'Advanced Entry'!S52)))-'Advanced Entry'!S$6)/('Advanced Entry'!S$7-'Advanced Entry'!S$6)),1))),"No data"))</f>
        <v/>
      </c>
      <c r="T52" s="17">
        <f>IF('Advanced Entry'!T52="","",IFERROR(MAX(0,MIN(10,ROUND(IF('Advanced Entry'!T$8="Decrease Risk",10-10*((IF('Advanced Entry'!T$5="Logarithm",LN(0.001+'Advanced Entry'!T52),IF('Advanced Entry'!T$5="Exponential",EXP('Advanced Entry'!T52),'Advanced Entry'!T52)))-'Advanced Entry'!T$6)/('Advanced Entry'!T$7-'Advanced Entry'!T$6),10*((IF('Advanced Entry'!T$5="Logarithm",LN(0.001+'Advanced Entry'!T52),IF('Advanced Entry'!T$5="Exponential",EXP('Advanced Entry'!T52),'Advanced Entry'!T52)))-'Advanced Entry'!T$6)/('Advanced Entry'!T$7-'Advanced Entry'!T$6)),1))),"No data"))</f>
        <v/>
      </c>
      <c r="U52" s="17">
        <f>IF('Advanced Entry'!U52="","",IFERROR(MAX(0,MIN(10,ROUND(IF('Advanced Entry'!U$8="Decrease Risk",10-10*((IF('Advanced Entry'!U$5="Logarithm",LN(0.001+'Advanced Entry'!U52),IF('Advanced Entry'!U$5="Exponential",EXP('Advanced Entry'!U52),'Advanced Entry'!U52)))-'Advanced Entry'!U$6)/('Advanced Entry'!U$7-'Advanced Entry'!U$6),10*((IF('Advanced Entry'!U$5="Logarithm",LN(0.001+'Advanced Entry'!U52),IF('Advanced Entry'!U$5="Exponential",EXP('Advanced Entry'!U52),'Advanced Entry'!U52)))-'Advanced Entry'!U$6)/('Advanced Entry'!U$7-'Advanced Entry'!U$6)),1))),"No data"))</f>
        <v/>
      </c>
      <c r="V52" s="17">
        <f>IF('Advanced Entry'!V52="","",IFERROR(MAX(0,MIN(10,ROUND(IF('Advanced Entry'!V$8="Decrease Risk",10-10*((IF('Advanced Entry'!V$5="Logarithm",LN(0.001+'Advanced Entry'!V52),IF('Advanced Entry'!V$5="Exponential",EXP('Advanced Entry'!V52),'Advanced Entry'!V52)))-'Advanced Entry'!V$6)/('Advanced Entry'!V$7-'Advanced Entry'!V$6),10*((IF('Advanced Entry'!V$5="Logarithm",LN(0.001+'Advanced Entry'!V52),IF('Advanced Entry'!V$5="Exponential",EXP('Advanced Entry'!V52),'Advanced Entry'!V52)))-'Advanced Entry'!V$6)/('Advanced Entry'!V$7-'Advanced Entry'!V$6)),1))),"No data"))</f>
        <v/>
      </c>
      <c r="W52" s="17">
        <f>IF('Advanced Entry'!W52="","",IFERROR(MAX(0,MIN(10,ROUND(IF('Advanced Entry'!W$8="Decrease Risk",10-10*((IF('Advanced Entry'!W$5="Logarithm",LN(0.001+'Advanced Entry'!W52),IF('Advanced Entry'!W$5="Exponential",EXP('Advanced Entry'!W52),'Advanced Entry'!W52)))-'Advanced Entry'!W$6)/('Advanced Entry'!W$7-'Advanced Entry'!W$6),10*((IF('Advanced Entry'!W$5="Logarithm",LN(0.001+'Advanced Entry'!W52),IF('Advanced Entry'!W$5="Exponential",EXP('Advanced Entry'!W52),'Advanced Entry'!W52)))-'Advanced Entry'!W$6)/('Advanced Entry'!W$7-'Advanced Entry'!W$6)),1))),"No data"))</f>
        <v/>
      </c>
      <c r="X52" s="17">
        <f>IF('Advanced Entry'!X52="","",IFERROR(MAX(0,MIN(10,ROUND(IF('Advanced Entry'!X$8="Decrease Risk",10-10*((IF('Advanced Entry'!X$5="Logarithm",LN(0.001+'Advanced Entry'!X52),IF('Advanced Entry'!X$5="Exponential",EXP('Advanced Entry'!X52),'Advanced Entry'!X52)))-'Advanced Entry'!X$6)/('Advanced Entry'!X$7-'Advanced Entry'!X$6),10*((IF('Advanced Entry'!X$5="Logarithm",LN(0.001+'Advanced Entry'!X52),IF('Advanced Entry'!X$5="Exponential",EXP('Advanced Entry'!X52),'Advanced Entry'!X52)))-'Advanced Entry'!X$6)/('Advanced Entry'!X$7-'Advanced Entry'!X$6)),1))),"No data"))</f>
        <v/>
      </c>
      <c r="Y52" s="17">
        <f>IF('Advanced Entry'!Y52="","",IFERROR(MAX(0,MIN(10,ROUND(IF('Advanced Entry'!Y$8="Decrease Risk",10-10*((IF('Advanced Entry'!Y$5="Logarithm",LN(0.001+'Advanced Entry'!Y52),IF('Advanced Entry'!Y$5="Exponential",EXP('Advanced Entry'!Y52),'Advanced Entry'!Y52)))-'Advanced Entry'!Y$6)/('Advanced Entry'!Y$7-'Advanced Entry'!Y$6),10*((IF('Advanced Entry'!Y$5="Logarithm",LN(0.001+'Advanced Entry'!Y52),IF('Advanced Entry'!Y$5="Exponential",EXP('Advanced Entry'!Y52),'Advanced Entry'!Y52)))-'Advanced Entry'!Y$6)/('Advanced Entry'!Y$7-'Advanced Entry'!Y$6)),1))),"No data"))</f>
        <v/>
      </c>
      <c r="Z52" s="17">
        <f>IF('Advanced Entry'!Z52="","",IFERROR(MAX(0,MIN(10,ROUND(IF('Advanced Entry'!Z$8="Decrease Risk",10-10*((IF('Advanced Entry'!Z$5="Logarithm",LN(0.001+'Advanced Entry'!Z52),IF('Advanced Entry'!Z$5="Exponential",EXP('Advanced Entry'!Z52),'Advanced Entry'!Z52)))-'Advanced Entry'!Z$6)/('Advanced Entry'!Z$7-'Advanced Entry'!Z$6),10*((IF('Advanced Entry'!Z$5="Logarithm",LN(0.001+'Advanced Entry'!Z52),IF('Advanced Entry'!Z$5="Exponential",EXP('Advanced Entry'!Z52),'Advanced Entry'!Z52)))-'Advanced Entry'!Z$6)/('Advanced Entry'!Z$7-'Advanced Entry'!Z$6)),1))),"No data"))</f>
        <v/>
      </c>
      <c r="AA52" s="17">
        <f>IF('Advanced Entry'!AA52="","",IFERROR(MAX(0,MIN(10,ROUND(IF('Advanced Entry'!AA$8="Decrease Risk",10-10*((IF('Advanced Entry'!AA$5="Logarithm",LN(0.001+'Advanced Entry'!AA52),IF('Advanced Entry'!AA$5="Exponential",EXP('Advanced Entry'!AA52),'Advanced Entry'!AA52)))-'Advanced Entry'!AA$6)/('Advanced Entry'!AA$7-'Advanced Entry'!AA$6),10*((IF('Advanced Entry'!AA$5="Logarithm",LN(0.001+'Advanced Entry'!AA52),IF('Advanced Entry'!AA$5="Exponential",EXP('Advanced Entry'!AA52),'Advanced Entry'!AA52)))-'Advanced Entry'!AA$6)/('Advanced Entry'!AA$7-'Advanced Entry'!AA$6)),1))),"No data"))</f>
        <v/>
      </c>
      <c r="AB52" s="17">
        <f>IF('Advanced Entry'!AB52="","",IFERROR(MAX(0,MIN(10,ROUND(IF('Advanced Entry'!AB$8="Decrease Risk",10-10*((IF('Advanced Entry'!AB$5="Logarithm",LN(0.001+'Advanced Entry'!AB52),IF('Advanced Entry'!AB$5="Exponential",EXP('Advanced Entry'!AB52),'Advanced Entry'!AB52)))-'Advanced Entry'!AB$6)/('Advanced Entry'!AB$7-'Advanced Entry'!AB$6),10*((IF('Advanced Entry'!AB$5="Logarithm",LN(0.001+'Advanced Entry'!AB52),IF('Advanced Entry'!AB$5="Exponential",EXP('Advanced Entry'!AB52),'Advanced Entry'!AB52)))-'Advanced Entry'!AB$6)/('Advanced Entry'!AB$7-'Advanced Entry'!AB$6)),1))),"No data"))</f>
        <v/>
      </c>
    </row>
    <row r="53">
      <c r="A53" t="inlineStr">
        <is>
          <t>Kaskazini Unguja</t>
        </is>
      </c>
      <c r="B53" t="inlineStr">
        <is>
          <t>Kaskazini B Town</t>
        </is>
      </c>
      <c r="C53" t="inlineStr">
        <is>
          <t>C186</t>
        </is>
      </c>
      <c r="D53" s="17">
        <f>IF('Advanced Entry'!D53="","",IFERROR(MAX(0,MIN(10,ROUND(IF('Advanced Entry'!D$8="Decrease Risk",10-10*((IF('Advanced Entry'!D$5="Logarithm",LN(0.001+'Advanced Entry'!D53),IF('Advanced Entry'!D$5="Exponential",EXP('Advanced Entry'!D53),'Advanced Entry'!D53)))-'Advanced Entry'!D$6)/('Advanced Entry'!D$7-'Advanced Entry'!D$6),10*((IF('Advanced Entry'!D$5="Logarithm",LN(0.001+'Advanced Entry'!D53),IF('Advanced Entry'!D$5="Exponential",EXP('Advanced Entry'!D53),'Advanced Entry'!D53)))-'Advanced Entry'!D$6)/('Advanced Entry'!D$7-'Advanced Entry'!D$6)),1))),"No data"))</f>
        <v/>
      </c>
      <c r="E53" s="17">
        <f>IF('Advanced Entry'!E53="","",IFERROR(MAX(0,MIN(10,ROUND(IF('Advanced Entry'!E$8="Decrease Risk",10-10*((IF('Advanced Entry'!E$5="Logarithm",LN(0.001+'Advanced Entry'!E53),IF('Advanced Entry'!E$5="Exponential",EXP('Advanced Entry'!E53),'Advanced Entry'!E53)))-'Advanced Entry'!E$6)/('Advanced Entry'!E$7-'Advanced Entry'!E$6),10*((IF('Advanced Entry'!E$5="Logarithm",LN(0.001+'Advanced Entry'!E53),IF('Advanced Entry'!E$5="Exponential",EXP('Advanced Entry'!E53),'Advanced Entry'!E53)))-'Advanced Entry'!E$6)/('Advanced Entry'!E$7-'Advanced Entry'!E$6)),1))),"No data"))</f>
        <v/>
      </c>
      <c r="F53" s="17">
        <f>IF('Advanced Entry'!F53="","",IFERROR(MAX(0,MIN(10,ROUND(IF('Advanced Entry'!F$8="Decrease Risk",10-10*((IF('Advanced Entry'!F$5="Logarithm",LN(0.001+'Advanced Entry'!F53),IF('Advanced Entry'!F$5="Exponential",EXP('Advanced Entry'!F53),'Advanced Entry'!F53)))-'Advanced Entry'!F$6)/('Advanced Entry'!F$7-'Advanced Entry'!F$6),10*((IF('Advanced Entry'!F$5="Logarithm",LN(0.001+'Advanced Entry'!F53),IF('Advanced Entry'!F$5="Exponential",EXP('Advanced Entry'!F53),'Advanced Entry'!F53)))-'Advanced Entry'!F$6)/('Advanced Entry'!F$7-'Advanced Entry'!F$6)),1))),"No data"))</f>
        <v/>
      </c>
      <c r="G53" s="17">
        <f>IF('Advanced Entry'!G53="","",IFERROR(MAX(0,MIN(10,ROUND(IF('Advanced Entry'!G$8="Decrease Risk",10-10*((IF('Advanced Entry'!G$5="Logarithm",LN(0.001+'Advanced Entry'!G53),IF('Advanced Entry'!G$5="Exponential",EXP('Advanced Entry'!G53),'Advanced Entry'!G53)))-'Advanced Entry'!G$6)/('Advanced Entry'!G$7-'Advanced Entry'!G$6),10*((IF('Advanced Entry'!G$5="Logarithm",LN(0.001+'Advanced Entry'!G53),IF('Advanced Entry'!G$5="Exponential",EXP('Advanced Entry'!G53),'Advanced Entry'!G53)))-'Advanced Entry'!G$6)/('Advanced Entry'!G$7-'Advanced Entry'!G$6)),1))),"No data"))</f>
        <v/>
      </c>
      <c r="H53" s="17">
        <f>IF('Advanced Entry'!H53="","",IFERROR(MAX(0,MIN(10,ROUND(IF('Advanced Entry'!H$8="Decrease Risk",10-10*((IF('Advanced Entry'!H$5="Logarithm",LN(0.001+'Advanced Entry'!H53),IF('Advanced Entry'!H$5="Exponential",EXP('Advanced Entry'!H53),'Advanced Entry'!H53)))-'Advanced Entry'!H$6)/('Advanced Entry'!H$7-'Advanced Entry'!H$6),10*((IF('Advanced Entry'!H$5="Logarithm",LN(0.001+'Advanced Entry'!H53),IF('Advanced Entry'!H$5="Exponential",EXP('Advanced Entry'!H53),'Advanced Entry'!H53)))-'Advanced Entry'!H$6)/('Advanced Entry'!H$7-'Advanced Entry'!H$6)),1))),"No data"))</f>
        <v/>
      </c>
      <c r="I53" s="17">
        <f>IF('Advanced Entry'!I53="","",IFERROR(MAX(0,MIN(10,ROUND(IF('Advanced Entry'!I$8="Decrease Risk",10-10*((IF('Advanced Entry'!I$5="Logarithm",LN(0.001+'Advanced Entry'!I53),IF('Advanced Entry'!I$5="Exponential",EXP('Advanced Entry'!I53),'Advanced Entry'!I53)))-'Advanced Entry'!I$6)/('Advanced Entry'!I$7-'Advanced Entry'!I$6),10*((IF('Advanced Entry'!I$5="Logarithm",LN(0.001+'Advanced Entry'!I53),IF('Advanced Entry'!I$5="Exponential",EXP('Advanced Entry'!I53),'Advanced Entry'!I53)))-'Advanced Entry'!I$6)/('Advanced Entry'!I$7-'Advanced Entry'!I$6)),1))),"No data"))</f>
        <v/>
      </c>
      <c r="J53" s="17">
        <f>IF('Advanced Entry'!J53="","",IFERROR(MAX(0,MIN(10,ROUND(IF('Advanced Entry'!J$8="Decrease Risk",10-10*((IF('Advanced Entry'!J$5="Logarithm",LN(0.001+'Advanced Entry'!J53),IF('Advanced Entry'!J$5="Exponential",EXP('Advanced Entry'!J53),'Advanced Entry'!J53)))-'Advanced Entry'!J$6)/('Advanced Entry'!J$7-'Advanced Entry'!J$6),10*((IF('Advanced Entry'!J$5="Logarithm",LN(0.001+'Advanced Entry'!J53),IF('Advanced Entry'!J$5="Exponential",EXP('Advanced Entry'!J53),'Advanced Entry'!J53)))-'Advanced Entry'!J$6)/('Advanced Entry'!J$7-'Advanced Entry'!J$6)),1))),"No data"))</f>
        <v/>
      </c>
      <c r="K53" s="17">
        <f>IF('Advanced Entry'!K53="","",IFERROR(MAX(0,MIN(10,ROUND(IF('Advanced Entry'!K$8="Decrease Risk",10-10*((IF('Advanced Entry'!K$5="Logarithm",LN(0.001+'Advanced Entry'!K53),IF('Advanced Entry'!K$5="Exponential",EXP('Advanced Entry'!K53),'Advanced Entry'!K53)))-'Advanced Entry'!K$6)/('Advanced Entry'!K$7-'Advanced Entry'!K$6),10*((IF('Advanced Entry'!K$5="Logarithm",LN(0.001+'Advanced Entry'!K53),IF('Advanced Entry'!K$5="Exponential",EXP('Advanced Entry'!K53),'Advanced Entry'!K53)))-'Advanced Entry'!K$6)/('Advanced Entry'!K$7-'Advanced Entry'!K$6)),1))),"No data"))</f>
        <v/>
      </c>
      <c r="L53" s="17">
        <f>IF('Advanced Entry'!L53="","",IFERROR(MAX(0,MIN(10,ROUND(IF('Advanced Entry'!L$8="Decrease Risk",10-10*((IF('Advanced Entry'!L$5="Logarithm",LN(0.001+'Advanced Entry'!L53),IF('Advanced Entry'!L$5="Exponential",EXP('Advanced Entry'!L53),'Advanced Entry'!L53)))-'Advanced Entry'!L$6)/('Advanced Entry'!L$7-'Advanced Entry'!L$6),10*((IF('Advanced Entry'!L$5="Logarithm",LN(0.001+'Advanced Entry'!L53),IF('Advanced Entry'!L$5="Exponential",EXP('Advanced Entry'!L53),'Advanced Entry'!L53)))-'Advanced Entry'!L$6)/('Advanced Entry'!L$7-'Advanced Entry'!L$6)),1))),"No data"))</f>
        <v/>
      </c>
      <c r="M53" s="17">
        <f>IF('Advanced Entry'!M53="","",IFERROR(MAX(0,MIN(10,ROUND(IF('Advanced Entry'!M$8="Decrease Risk",10-10*((IF('Advanced Entry'!M$5="Logarithm",LN(0.001+'Advanced Entry'!M53),IF('Advanced Entry'!M$5="Exponential",EXP('Advanced Entry'!M53),'Advanced Entry'!M53)))-'Advanced Entry'!M$6)/('Advanced Entry'!M$7-'Advanced Entry'!M$6),10*((IF('Advanced Entry'!M$5="Logarithm",LN(0.001+'Advanced Entry'!M53),IF('Advanced Entry'!M$5="Exponential",EXP('Advanced Entry'!M53),'Advanced Entry'!M53)))-'Advanced Entry'!M$6)/('Advanced Entry'!M$7-'Advanced Entry'!M$6)),1))),"No data"))</f>
        <v/>
      </c>
      <c r="N53" s="17">
        <f>IF('Advanced Entry'!N53="","",IFERROR(MAX(0,MIN(10,ROUND(IF('Advanced Entry'!N$8="Decrease Risk",10-10*((IF('Advanced Entry'!N$5="Logarithm",LN(0.001+'Advanced Entry'!N53),IF('Advanced Entry'!N$5="Exponential",EXP('Advanced Entry'!N53),'Advanced Entry'!N53)))-'Advanced Entry'!N$6)/('Advanced Entry'!N$7-'Advanced Entry'!N$6),10*((IF('Advanced Entry'!N$5="Logarithm",LN(0.001+'Advanced Entry'!N53),IF('Advanced Entry'!N$5="Exponential",EXP('Advanced Entry'!N53),'Advanced Entry'!N53)))-'Advanced Entry'!N$6)/('Advanced Entry'!N$7-'Advanced Entry'!N$6)),1))),"No data"))</f>
        <v/>
      </c>
      <c r="O53" s="17">
        <f>IF('Advanced Entry'!O53="","",IFERROR(MAX(0,MIN(10,ROUND(IF('Advanced Entry'!O$8="Decrease Risk",10-10*((IF('Advanced Entry'!O$5="Logarithm",LN(0.001+'Advanced Entry'!O53),IF('Advanced Entry'!O$5="Exponential",EXP('Advanced Entry'!O53),'Advanced Entry'!O53)))-'Advanced Entry'!O$6)/('Advanced Entry'!O$7-'Advanced Entry'!O$6),10*((IF('Advanced Entry'!O$5="Logarithm",LN(0.001+'Advanced Entry'!O53),IF('Advanced Entry'!O$5="Exponential",EXP('Advanced Entry'!O53),'Advanced Entry'!O53)))-'Advanced Entry'!O$6)/('Advanced Entry'!O$7-'Advanced Entry'!O$6)),1))),"No data"))</f>
        <v/>
      </c>
      <c r="P53" s="17">
        <f>IF('Advanced Entry'!P53="","",IFERROR(MAX(0,MIN(10,ROUND(IF('Advanced Entry'!P$8="Decrease Risk",10-10*((IF('Advanced Entry'!P$5="Logarithm",LN(0.001+'Advanced Entry'!P53),IF('Advanced Entry'!P$5="Exponential",EXP('Advanced Entry'!P53),'Advanced Entry'!P53)))-'Advanced Entry'!P$6)/('Advanced Entry'!P$7-'Advanced Entry'!P$6),10*((IF('Advanced Entry'!P$5="Logarithm",LN(0.001+'Advanced Entry'!P53),IF('Advanced Entry'!P$5="Exponential",EXP('Advanced Entry'!P53),'Advanced Entry'!P53)))-'Advanced Entry'!P$6)/('Advanced Entry'!P$7-'Advanced Entry'!P$6)),1))),"No data"))</f>
        <v/>
      </c>
      <c r="Q53" s="17">
        <f>IF('Advanced Entry'!Q53="","",IFERROR(MAX(0,MIN(10,ROUND(IF('Advanced Entry'!Q$8="Decrease Risk",10-10*((IF('Advanced Entry'!Q$5="Logarithm",LN(0.001+'Advanced Entry'!Q53),IF('Advanced Entry'!Q$5="Exponential",EXP('Advanced Entry'!Q53),'Advanced Entry'!Q53)))-'Advanced Entry'!Q$6)/('Advanced Entry'!Q$7-'Advanced Entry'!Q$6),10*((IF('Advanced Entry'!Q$5="Logarithm",LN(0.001+'Advanced Entry'!Q53),IF('Advanced Entry'!Q$5="Exponential",EXP('Advanced Entry'!Q53),'Advanced Entry'!Q53)))-'Advanced Entry'!Q$6)/('Advanced Entry'!Q$7-'Advanced Entry'!Q$6)),1))),"No data"))</f>
        <v/>
      </c>
      <c r="R53" s="17">
        <f>IF('Advanced Entry'!R53="","",IFERROR(MAX(0,MIN(10,ROUND(IF('Advanced Entry'!R$8="Decrease Risk",10-10*((IF('Advanced Entry'!R$5="Logarithm",LN(0.001+'Advanced Entry'!R53),IF('Advanced Entry'!R$5="Exponential",EXP('Advanced Entry'!R53),'Advanced Entry'!R53)))-'Advanced Entry'!R$6)/('Advanced Entry'!R$7-'Advanced Entry'!R$6),10*((IF('Advanced Entry'!R$5="Logarithm",LN(0.001+'Advanced Entry'!R53),IF('Advanced Entry'!R$5="Exponential",EXP('Advanced Entry'!R53),'Advanced Entry'!R53)))-'Advanced Entry'!R$6)/('Advanced Entry'!R$7-'Advanced Entry'!R$6)),1))),"No data"))</f>
        <v/>
      </c>
      <c r="S53" s="17">
        <f>IF('Advanced Entry'!S53="","",IFERROR(MAX(0,MIN(10,ROUND(IF('Advanced Entry'!S$8="Decrease Risk",10-10*((IF('Advanced Entry'!S$5="Logarithm",LN(0.001+'Advanced Entry'!S53),IF('Advanced Entry'!S$5="Exponential",EXP('Advanced Entry'!S53),'Advanced Entry'!S53)))-'Advanced Entry'!S$6)/('Advanced Entry'!S$7-'Advanced Entry'!S$6),10*((IF('Advanced Entry'!S$5="Logarithm",LN(0.001+'Advanced Entry'!S53),IF('Advanced Entry'!S$5="Exponential",EXP('Advanced Entry'!S53),'Advanced Entry'!S53)))-'Advanced Entry'!S$6)/('Advanced Entry'!S$7-'Advanced Entry'!S$6)),1))),"No data"))</f>
        <v/>
      </c>
      <c r="T53" s="17">
        <f>IF('Advanced Entry'!T53="","",IFERROR(MAX(0,MIN(10,ROUND(IF('Advanced Entry'!T$8="Decrease Risk",10-10*((IF('Advanced Entry'!T$5="Logarithm",LN(0.001+'Advanced Entry'!T53),IF('Advanced Entry'!T$5="Exponential",EXP('Advanced Entry'!T53),'Advanced Entry'!T53)))-'Advanced Entry'!T$6)/('Advanced Entry'!T$7-'Advanced Entry'!T$6),10*((IF('Advanced Entry'!T$5="Logarithm",LN(0.001+'Advanced Entry'!T53),IF('Advanced Entry'!T$5="Exponential",EXP('Advanced Entry'!T53),'Advanced Entry'!T53)))-'Advanced Entry'!T$6)/('Advanced Entry'!T$7-'Advanced Entry'!T$6)),1))),"No data"))</f>
        <v/>
      </c>
      <c r="U53" s="17">
        <f>IF('Advanced Entry'!U53="","",IFERROR(MAX(0,MIN(10,ROUND(IF('Advanced Entry'!U$8="Decrease Risk",10-10*((IF('Advanced Entry'!U$5="Logarithm",LN(0.001+'Advanced Entry'!U53),IF('Advanced Entry'!U$5="Exponential",EXP('Advanced Entry'!U53),'Advanced Entry'!U53)))-'Advanced Entry'!U$6)/('Advanced Entry'!U$7-'Advanced Entry'!U$6),10*((IF('Advanced Entry'!U$5="Logarithm",LN(0.001+'Advanced Entry'!U53),IF('Advanced Entry'!U$5="Exponential",EXP('Advanced Entry'!U53),'Advanced Entry'!U53)))-'Advanced Entry'!U$6)/('Advanced Entry'!U$7-'Advanced Entry'!U$6)),1))),"No data"))</f>
        <v/>
      </c>
      <c r="V53" s="17">
        <f>IF('Advanced Entry'!V53="","",IFERROR(MAX(0,MIN(10,ROUND(IF('Advanced Entry'!V$8="Decrease Risk",10-10*((IF('Advanced Entry'!V$5="Logarithm",LN(0.001+'Advanced Entry'!V53),IF('Advanced Entry'!V$5="Exponential",EXP('Advanced Entry'!V53),'Advanced Entry'!V53)))-'Advanced Entry'!V$6)/('Advanced Entry'!V$7-'Advanced Entry'!V$6),10*((IF('Advanced Entry'!V$5="Logarithm",LN(0.001+'Advanced Entry'!V53),IF('Advanced Entry'!V$5="Exponential",EXP('Advanced Entry'!V53),'Advanced Entry'!V53)))-'Advanced Entry'!V$6)/('Advanced Entry'!V$7-'Advanced Entry'!V$6)),1))),"No data"))</f>
        <v/>
      </c>
      <c r="W53" s="17">
        <f>IF('Advanced Entry'!W53="","",IFERROR(MAX(0,MIN(10,ROUND(IF('Advanced Entry'!W$8="Decrease Risk",10-10*((IF('Advanced Entry'!W$5="Logarithm",LN(0.001+'Advanced Entry'!W53),IF('Advanced Entry'!W$5="Exponential",EXP('Advanced Entry'!W53),'Advanced Entry'!W53)))-'Advanced Entry'!W$6)/('Advanced Entry'!W$7-'Advanced Entry'!W$6),10*((IF('Advanced Entry'!W$5="Logarithm",LN(0.001+'Advanced Entry'!W53),IF('Advanced Entry'!W$5="Exponential",EXP('Advanced Entry'!W53),'Advanced Entry'!W53)))-'Advanced Entry'!W$6)/('Advanced Entry'!W$7-'Advanced Entry'!W$6)),1))),"No data"))</f>
        <v/>
      </c>
      <c r="X53" s="17">
        <f>IF('Advanced Entry'!X53="","",IFERROR(MAX(0,MIN(10,ROUND(IF('Advanced Entry'!X$8="Decrease Risk",10-10*((IF('Advanced Entry'!X$5="Logarithm",LN(0.001+'Advanced Entry'!X53),IF('Advanced Entry'!X$5="Exponential",EXP('Advanced Entry'!X53),'Advanced Entry'!X53)))-'Advanced Entry'!X$6)/('Advanced Entry'!X$7-'Advanced Entry'!X$6),10*((IF('Advanced Entry'!X$5="Logarithm",LN(0.001+'Advanced Entry'!X53),IF('Advanced Entry'!X$5="Exponential",EXP('Advanced Entry'!X53),'Advanced Entry'!X53)))-'Advanced Entry'!X$6)/('Advanced Entry'!X$7-'Advanced Entry'!X$6)),1))),"No data"))</f>
        <v/>
      </c>
      <c r="Y53" s="17">
        <f>IF('Advanced Entry'!Y53="","",IFERROR(MAX(0,MIN(10,ROUND(IF('Advanced Entry'!Y$8="Decrease Risk",10-10*((IF('Advanced Entry'!Y$5="Logarithm",LN(0.001+'Advanced Entry'!Y53),IF('Advanced Entry'!Y$5="Exponential",EXP('Advanced Entry'!Y53),'Advanced Entry'!Y53)))-'Advanced Entry'!Y$6)/('Advanced Entry'!Y$7-'Advanced Entry'!Y$6),10*((IF('Advanced Entry'!Y$5="Logarithm",LN(0.001+'Advanced Entry'!Y53),IF('Advanced Entry'!Y$5="Exponential",EXP('Advanced Entry'!Y53),'Advanced Entry'!Y53)))-'Advanced Entry'!Y$6)/('Advanced Entry'!Y$7-'Advanced Entry'!Y$6)),1))),"No data"))</f>
        <v/>
      </c>
      <c r="Z53" s="17">
        <f>IF('Advanced Entry'!Z53="","",IFERROR(MAX(0,MIN(10,ROUND(IF('Advanced Entry'!Z$8="Decrease Risk",10-10*((IF('Advanced Entry'!Z$5="Logarithm",LN(0.001+'Advanced Entry'!Z53),IF('Advanced Entry'!Z$5="Exponential",EXP('Advanced Entry'!Z53),'Advanced Entry'!Z53)))-'Advanced Entry'!Z$6)/('Advanced Entry'!Z$7-'Advanced Entry'!Z$6),10*((IF('Advanced Entry'!Z$5="Logarithm",LN(0.001+'Advanced Entry'!Z53),IF('Advanced Entry'!Z$5="Exponential",EXP('Advanced Entry'!Z53),'Advanced Entry'!Z53)))-'Advanced Entry'!Z$6)/('Advanced Entry'!Z$7-'Advanced Entry'!Z$6)),1))),"No data"))</f>
        <v/>
      </c>
      <c r="AA53" s="17">
        <f>IF('Advanced Entry'!AA53="","",IFERROR(MAX(0,MIN(10,ROUND(IF('Advanced Entry'!AA$8="Decrease Risk",10-10*((IF('Advanced Entry'!AA$5="Logarithm",LN(0.001+'Advanced Entry'!AA53),IF('Advanced Entry'!AA$5="Exponential",EXP('Advanced Entry'!AA53),'Advanced Entry'!AA53)))-'Advanced Entry'!AA$6)/('Advanced Entry'!AA$7-'Advanced Entry'!AA$6),10*((IF('Advanced Entry'!AA$5="Logarithm",LN(0.001+'Advanced Entry'!AA53),IF('Advanced Entry'!AA$5="Exponential",EXP('Advanced Entry'!AA53),'Advanced Entry'!AA53)))-'Advanced Entry'!AA$6)/('Advanced Entry'!AA$7-'Advanced Entry'!AA$6)),1))),"No data"))</f>
        <v/>
      </c>
      <c r="AB53" s="17">
        <f>IF('Advanced Entry'!AB53="","",IFERROR(MAX(0,MIN(10,ROUND(IF('Advanced Entry'!AB$8="Decrease Risk",10-10*((IF('Advanced Entry'!AB$5="Logarithm",LN(0.001+'Advanced Entry'!AB53),IF('Advanced Entry'!AB$5="Exponential",EXP('Advanced Entry'!AB53),'Advanced Entry'!AB53)))-'Advanced Entry'!AB$6)/('Advanced Entry'!AB$7-'Advanced Entry'!AB$6),10*((IF('Advanced Entry'!AB$5="Logarithm",LN(0.001+'Advanced Entry'!AB53),IF('Advanced Entry'!AB$5="Exponential",EXP('Advanced Entry'!AB53),'Advanced Entry'!AB53)))-'Advanced Entry'!AB$6)/('Advanced Entry'!AB$7-'Advanced Entry'!AB$6)),1))),"No data"))</f>
        <v/>
      </c>
    </row>
    <row r="54">
      <c r="A54" t="inlineStr">
        <is>
          <t>Katavi</t>
        </is>
      </c>
      <c r="B54" t="inlineStr">
        <is>
          <t>Mlele District</t>
        </is>
      </c>
      <c r="C54" t="inlineStr">
        <is>
          <t>C166</t>
        </is>
      </c>
      <c r="D54" s="17">
        <f>IF('Advanced Entry'!D54="","",IFERROR(MAX(0,MIN(10,ROUND(IF('Advanced Entry'!D$8="Decrease Risk",10-10*((IF('Advanced Entry'!D$5="Logarithm",LN(0.001+'Advanced Entry'!D54),IF('Advanced Entry'!D$5="Exponential",EXP('Advanced Entry'!D54),'Advanced Entry'!D54)))-'Advanced Entry'!D$6)/('Advanced Entry'!D$7-'Advanced Entry'!D$6),10*((IF('Advanced Entry'!D$5="Logarithm",LN(0.001+'Advanced Entry'!D54),IF('Advanced Entry'!D$5="Exponential",EXP('Advanced Entry'!D54),'Advanced Entry'!D54)))-'Advanced Entry'!D$6)/('Advanced Entry'!D$7-'Advanced Entry'!D$6)),1))),"No data"))</f>
        <v/>
      </c>
      <c r="E54" s="17">
        <f>IF('Advanced Entry'!E54="","",IFERROR(MAX(0,MIN(10,ROUND(IF('Advanced Entry'!E$8="Decrease Risk",10-10*((IF('Advanced Entry'!E$5="Logarithm",LN(0.001+'Advanced Entry'!E54),IF('Advanced Entry'!E$5="Exponential",EXP('Advanced Entry'!E54),'Advanced Entry'!E54)))-'Advanced Entry'!E$6)/('Advanced Entry'!E$7-'Advanced Entry'!E$6),10*((IF('Advanced Entry'!E$5="Logarithm",LN(0.001+'Advanced Entry'!E54),IF('Advanced Entry'!E$5="Exponential",EXP('Advanced Entry'!E54),'Advanced Entry'!E54)))-'Advanced Entry'!E$6)/('Advanced Entry'!E$7-'Advanced Entry'!E$6)),1))),"No data"))</f>
        <v/>
      </c>
      <c r="F54" s="17">
        <f>IF('Advanced Entry'!F54="","",IFERROR(MAX(0,MIN(10,ROUND(IF('Advanced Entry'!F$8="Decrease Risk",10-10*((IF('Advanced Entry'!F$5="Logarithm",LN(0.001+'Advanced Entry'!F54),IF('Advanced Entry'!F$5="Exponential",EXP('Advanced Entry'!F54),'Advanced Entry'!F54)))-'Advanced Entry'!F$6)/('Advanced Entry'!F$7-'Advanced Entry'!F$6),10*((IF('Advanced Entry'!F$5="Logarithm",LN(0.001+'Advanced Entry'!F54),IF('Advanced Entry'!F$5="Exponential",EXP('Advanced Entry'!F54),'Advanced Entry'!F54)))-'Advanced Entry'!F$6)/('Advanced Entry'!F$7-'Advanced Entry'!F$6)),1))),"No data"))</f>
        <v/>
      </c>
      <c r="G54" s="17">
        <f>IF('Advanced Entry'!G54="","",IFERROR(MAX(0,MIN(10,ROUND(IF('Advanced Entry'!G$8="Decrease Risk",10-10*((IF('Advanced Entry'!G$5="Logarithm",LN(0.001+'Advanced Entry'!G54),IF('Advanced Entry'!G$5="Exponential",EXP('Advanced Entry'!G54),'Advanced Entry'!G54)))-'Advanced Entry'!G$6)/('Advanced Entry'!G$7-'Advanced Entry'!G$6),10*((IF('Advanced Entry'!G$5="Logarithm",LN(0.001+'Advanced Entry'!G54),IF('Advanced Entry'!G$5="Exponential",EXP('Advanced Entry'!G54),'Advanced Entry'!G54)))-'Advanced Entry'!G$6)/('Advanced Entry'!G$7-'Advanced Entry'!G$6)),1))),"No data"))</f>
        <v/>
      </c>
      <c r="H54" s="17">
        <f>IF('Advanced Entry'!H54="","",IFERROR(MAX(0,MIN(10,ROUND(IF('Advanced Entry'!H$8="Decrease Risk",10-10*((IF('Advanced Entry'!H$5="Logarithm",LN(0.001+'Advanced Entry'!H54),IF('Advanced Entry'!H$5="Exponential",EXP('Advanced Entry'!H54),'Advanced Entry'!H54)))-'Advanced Entry'!H$6)/('Advanced Entry'!H$7-'Advanced Entry'!H$6),10*((IF('Advanced Entry'!H$5="Logarithm",LN(0.001+'Advanced Entry'!H54),IF('Advanced Entry'!H$5="Exponential",EXP('Advanced Entry'!H54),'Advanced Entry'!H54)))-'Advanced Entry'!H$6)/('Advanced Entry'!H$7-'Advanced Entry'!H$6)),1))),"No data"))</f>
        <v/>
      </c>
      <c r="I54" s="17">
        <f>IF('Advanced Entry'!I54="","",IFERROR(MAX(0,MIN(10,ROUND(IF('Advanced Entry'!I$8="Decrease Risk",10-10*((IF('Advanced Entry'!I$5="Logarithm",LN(0.001+'Advanced Entry'!I54),IF('Advanced Entry'!I$5="Exponential",EXP('Advanced Entry'!I54),'Advanced Entry'!I54)))-'Advanced Entry'!I$6)/('Advanced Entry'!I$7-'Advanced Entry'!I$6),10*((IF('Advanced Entry'!I$5="Logarithm",LN(0.001+'Advanced Entry'!I54),IF('Advanced Entry'!I$5="Exponential",EXP('Advanced Entry'!I54),'Advanced Entry'!I54)))-'Advanced Entry'!I$6)/('Advanced Entry'!I$7-'Advanced Entry'!I$6)),1))),"No data"))</f>
        <v/>
      </c>
      <c r="J54" s="17">
        <f>IF('Advanced Entry'!J54="","",IFERROR(MAX(0,MIN(10,ROUND(IF('Advanced Entry'!J$8="Decrease Risk",10-10*((IF('Advanced Entry'!J$5="Logarithm",LN(0.001+'Advanced Entry'!J54),IF('Advanced Entry'!J$5="Exponential",EXP('Advanced Entry'!J54),'Advanced Entry'!J54)))-'Advanced Entry'!J$6)/('Advanced Entry'!J$7-'Advanced Entry'!J$6),10*((IF('Advanced Entry'!J$5="Logarithm",LN(0.001+'Advanced Entry'!J54),IF('Advanced Entry'!J$5="Exponential",EXP('Advanced Entry'!J54),'Advanced Entry'!J54)))-'Advanced Entry'!J$6)/('Advanced Entry'!J$7-'Advanced Entry'!J$6)),1))),"No data"))</f>
        <v/>
      </c>
      <c r="K54" s="17">
        <f>IF('Advanced Entry'!K54="","",IFERROR(MAX(0,MIN(10,ROUND(IF('Advanced Entry'!K$8="Decrease Risk",10-10*((IF('Advanced Entry'!K$5="Logarithm",LN(0.001+'Advanced Entry'!K54),IF('Advanced Entry'!K$5="Exponential",EXP('Advanced Entry'!K54),'Advanced Entry'!K54)))-'Advanced Entry'!K$6)/('Advanced Entry'!K$7-'Advanced Entry'!K$6),10*((IF('Advanced Entry'!K$5="Logarithm",LN(0.001+'Advanced Entry'!K54),IF('Advanced Entry'!K$5="Exponential",EXP('Advanced Entry'!K54),'Advanced Entry'!K54)))-'Advanced Entry'!K$6)/('Advanced Entry'!K$7-'Advanced Entry'!K$6)),1))),"No data"))</f>
        <v/>
      </c>
      <c r="L54" s="17">
        <f>IF('Advanced Entry'!L54="","",IFERROR(MAX(0,MIN(10,ROUND(IF('Advanced Entry'!L$8="Decrease Risk",10-10*((IF('Advanced Entry'!L$5="Logarithm",LN(0.001+'Advanced Entry'!L54),IF('Advanced Entry'!L$5="Exponential",EXP('Advanced Entry'!L54),'Advanced Entry'!L54)))-'Advanced Entry'!L$6)/('Advanced Entry'!L$7-'Advanced Entry'!L$6),10*((IF('Advanced Entry'!L$5="Logarithm",LN(0.001+'Advanced Entry'!L54),IF('Advanced Entry'!L$5="Exponential",EXP('Advanced Entry'!L54),'Advanced Entry'!L54)))-'Advanced Entry'!L$6)/('Advanced Entry'!L$7-'Advanced Entry'!L$6)),1))),"No data"))</f>
        <v/>
      </c>
      <c r="M54" s="17">
        <f>IF('Advanced Entry'!M54="","",IFERROR(MAX(0,MIN(10,ROUND(IF('Advanced Entry'!M$8="Decrease Risk",10-10*((IF('Advanced Entry'!M$5="Logarithm",LN(0.001+'Advanced Entry'!M54),IF('Advanced Entry'!M$5="Exponential",EXP('Advanced Entry'!M54),'Advanced Entry'!M54)))-'Advanced Entry'!M$6)/('Advanced Entry'!M$7-'Advanced Entry'!M$6),10*((IF('Advanced Entry'!M$5="Logarithm",LN(0.001+'Advanced Entry'!M54),IF('Advanced Entry'!M$5="Exponential",EXP('Advanced Entry'!M54),'Advanced Entry'!M54)))-'Advanced Entry'!M$6)/('Advanced Entry'!M$7-'Advanced Entry'!M$6)),1))),"No data"))</f>
        <v/>
      </c>
      <c r="N54" s="17">
        <f>IF('Advanced Entry'!N54="","",IFERROR(MAX(0,MIN(10,ROUND(IF('Advanced Entry'!N$8="Decrease Risk",10-10*((IF('Advanced Entry'!N$5="Logarithm",LN(0.001+'Advanced Entry'!N54),IF('Advanced Entry'!N$5="Exponential",EXP('Advanced Entry'!N54),'Advanced Entry'!N54)))-'Advanced Entry'!N$6)/('Advanced Entry'!N$7-'Advanced Entry'!N$6),10*((IF('Advanced Entry'!N$5="Logarithm",LN(0.001+'Advanced Entry'!N54),IF('Advanced Entry'!N$5="Exponential",EXP('Advanced Entry'!N54),'Advanced Entry'!N54)))-'Advanced Entry'!N$6)/('Advanced Entry'!N$7-'Advanced Entry'!N$6)),1))),"No data"))</f>
        <v/>
      </c>
      <c r="O54" s="17">
        <f>IF('Advanced Entry'!O54="","",IFERROR(MAX(0,MIN(10,ROUND(IF('Advanced Entry'!O$8="Decrease Risk",10-10*((IF('Advanced Entry'!O$5="Logarithm",LN(0.001+'Advanced Entry'!O54),IF('Advanced Entry'!O$5="Exponential",EXP('Advanced Entry'!O54),'Advanced Entry'!O54)))-'Advanced Entry'!O$6)/('Advanced Entry'!O$7-'Advanced Entry'!O$6),10*((IF('Advanced Entry'!O$5="Logarithm",LN(0.001+'Advanced Entry'!O54),IF('Advanced Entry'!O$5="Exponential",EXP('Advanced Entry'!O54),'Advanced Entry'!O54)))-'Advanced Entry'!O$6)/('Advanced Entry'!O$7-'Advanced Entry'!O$6)),1))),"No data"))</f>
        <v/>
      </c>
      <c r="P54" s="17">
        <f>IF('Advanced Entry'!P54="","",IFERROR(MAX(0,MIN(10,ROUND(IF('Advanced Entry'!P$8="Decrease Risk",10-10*((IF('Advanced Entry'!P$5="Logarithm",LN(0.001+'Advanced Entry'!P54),IF('Advanced Entry'!P$5="Exponential",EXP('Advanced Entry'!P54),'Advanced Entry'!P54)))-'Advanced Entry'!P$6)/('Advanced Entry'!P$7-'Advanced Entry'!P$6),10*((IF('Advanced Entry'!P$5="Logarithm",LN(0.001+'Advanced Entry'!P54),IF('Advanced Entry'!P$5="Exponential",EXP('Advanced Entry'!P54),'Advanced Entry'!P54)))-'Advanced Entry'!P$6)/('Advanced Entry'!P$7-'Advanced Entry'!P$6)),1))),"No data"))</f>
        <v/>
      </c>
      <c r="Q54" s="17">
        <f>IF('Advanced Entry'!Q54="","",IFERROR(MAX(0,MIN(10,ROUND(IF('Advanced Entry'!Q$8="Decrease Risk",10-10*((IF('Advanced Entry'!Q$5="Logarithm",LN(0.001+'Advanced Entry'!Q54),IF('Advanced Entry'!Q$5="Exponential",EXP('Advanced Entry'!Q54),'Advanced Entry'!Q54)))-'Advanced Entry'!Q$6)/('Advanced Entry'!Q$7-'Advanced Entry'!Q$6),10*((IF('Advanced Entry'!Q$5="Logarithm",LN(0.001+'Advanced Entry'!Q54),IF('Advanced Entry'!Q$5="Exponential",EXP('Advanced Entry'!Q54),'Advanced Entry'!Q54)))-'Advanced Entry'!Q$6)/('Advanced Entry'!Q$7-'Advanced Entry'!Q$6)),1))),"No data"))</f>
        <v/>
      </c>
      <c r="R54" s="17">
        <f>IF('Advanced Entry'!R54="","",IFERROR(MAX(0,MIN(10,ROUND(IF('Advanced Entry'!R$8="Decrease Risk",10-10*((IF('Advanced Entry'!R$5="Logarithm",LN(0.001+'Advanced Entry'!R54),IF('Advanced Entry'!R$5="Exponential",EXP('Advanced Entry'!R54),'Advanced Entry'!R54)))-'Advanced Entry'!R$6)/('Advanced Entry'!R$7-'Advanced Entry'!R$6),10*((IF('Advanced Entry'!R$5="Logarithm",LN(0.001+'Advanced Entry'!R54),IF('Advanced Entry'!R$5="Exponential",EXP('Advanced Entry'!R54),'Advanced Entry'!R54)))-'Advanced Entry'!R$6)/('Advanced Entry'!R$7-'Advanced Entry'!R$6)),1))),"No data"))</f>
        <v/>
      </c>
      <c r="S54" s="17">
        <f>IF('Advanced Entry'!S54="","",IFERROR(MAX(0,MIN(10,ROUND(IF('Advanced Entry'!S$8="Decrease Risk",10-10*((IF('Advanced Entry'!S$5="Logarithm",LN(0.001+'Advanced Entry'!S54),IF('Advanced Entry'!S$5="Exponential",EXP('Advanced Entry'!S54),'Advanced Entry'!S54)))-'Advanced Entry'!S$6)/('Advanced Entry'!S$7-'Advanced Entry'!S$6),10*((IF('Advanced Entry'!S$5="Logarithm",LN(0.001+'Advanced Entry'!S54),IF('Advanced Entry'!S$5="Exponential",EXP('Advanced Entry'!S54),'Advanced Entry'!S54)))-'Advanced Entry'!S$6)/('Advanced Entry'!S$7-'Advanced Entry'!S$6)),1))),"No data"))</f>
        <v/>
      </c>
      <c r="T54" s="17">
        <f>IF('Advanced Entry'!T54="","",IFERROR(MAX(0,MIN(10,ROUND(IF('Advanced Entry'!T$8="Decrease Risk",10-10*((IF('Advanced Entry'!T$5="Logarithm",LN(0.001+'Advanced Entry'!T54),IF('Advanced Entry'!T$5="Exponential",EXP('Advanced Entry'!T54),'Advanced Entry'!T54)))-'Advanced Entry'!T$6)/('Advanced Entry'!T$7-'Advanced Entry'!T$6),10*((IF('Advanced Entry'!T$5="Logarithm",LN(0.001+'Advanced Entry'!T54),IF('Advanced Entry'!T$5="Exponential",EXP('Advanced Entry'!T54),'Advanced Entry'!T54)))-'Advanced Entry'!T$6)/('Advanced Entry'!T$7-'Advanced Entry'!T$6)),1))),"No data"))</f>
        <v/>
      </c>
      <c r="U54" s="17">
        <f>IF('Advanced Entry'!U54="","",IFERROR(MAX(0,MIN(10,ROUND(IF('Advanced Entry'!U$8="Decrease Risk",10-10*((IF('Advanced Entry'!U$5="Logarithm",LN(0.001+'Advanced Entry'!U54),IF('Advanced Entry'!U$5="Exponential",EXP('Advanced Entry'!U54),'Advanced Entry'!U54)))-'Advanced Entry'!U$6)/('Advanced Entry'!U$7-'Advanced Entry'!U$6),10*((IF('Advanced Entry'!U$5="Logarithm",LN(0.001+'Advanced Entry'!U54),IF('Advanced Entry'!U$5="Exponential",EXP('Advanced Entry'!U54),'Advanced Entry'!U54)))-'Advanced Entry'!U$6)/('Advanced Entry'!U$7-'Advanced Entry'!U$6)),1))),"No data"))</f>
        <v/>
      </c>
      <c r="V54" s="17">
        <f>IF('Advanced Entry'!V54="","",IFERROR(MAX(0,MIN(10,ROUND(IF('Advanced Entry'!V$8="Decrease Risk",10-10*((IF('Advanced Entry'!V$5="Logarithm",LN(0.001+'Advanced Entry'!V54),IF('Advanced Entry'!V$5="Exponential",EXP('Advanced Entry'!V54),'Advanced Entry'!V54)))-'Advanced Entry'!V$6)/('Advanced Entry'!V$7-'Advanced Entry'!V$6),10*((IF('Advanced Entry'!V$5="Logarithm",LN(0.001+'Advanced Entry'!V54),IF('Advanced Entry'!V$5="Exponential",EXP('Advanced Entry'!V54),'Advanced Entry'!V54)))-'Advanced Entry'!V$6)/('Advanced Entry'!V$7-'Advanced Entry'!V$6)),1))),"No data"))</f>
        <v/>
      </c>
      <c r="W54" s="17">
        <f>IF('Advanced Entry'!W54="","",IFERROR(MAX(0,MIN(10,ROUND(IF('Advanced Entry'!W$8="Decrease Risk",10-10*((IF('Advanced Entry'!W$5="Logarithm",LN(0.001+'Advanced Entry'!W54),IF('Advanced Entry'!W$5="Exponential",EXP('Advanced Entry'!W54),'Advanced Entry'!W54)))-'Advanced Entry'!W$6)/('Advanced Entry'!W$7-'Advanced Entry'!W$6),10*((IF('Advanced Entry'!W$5="Logarithm",LN(0.001+'Advanced Entry'!W54),IF('Advanced Entry'!W$5="Exponential",EXP('Advanced Entry'!W54),'Advanced Entry'!W54)))-'Advanced Entry'!W$6)/('Advanced Entry'!W$7-'Advanced Entry'!W$6)),1))),"No data"))</f>
        <v/>
      </c>
      <c r="X54" s="17">
        <f>IF('Advanced Entry'!X54="","",IFERROR(MAX(0,MIN(10,ROUND(IF('Advanced Entry'!X$8="Decrease Risk",10-10*((IF('Advanced Entry'!X$5="Logarithm",LN(0.001+'Advanced Entry'!X54),IF('Advanced Entry'!X$5="Exponential",EXP('Advanced Entry'!X54),'Advanced Entry'!X54)))-'Advanced Entry'!X$6)/('Advanced Entry'!X$7-'Advanced Entry'!X$6),10*((IF('Advanced Entry'!X$5="Logarithm",LN(0.001+'Advanced Entry'!X54),IF('Advanced Entry'!X$5="Exponential",EXP('Advanced Entry'!X54),'Advanced Entry'!X54)))-'Advanced Entry'!X$6)/('Advanced Entry'!X$7-'Advanced Entry'!X$6)),1))),"No data"))</f>
        <v/>
      </c>
      <c r="Y54" s="17">
        <f>IF('Advanced Entry'!Y54="","",IFERROR(MAX(0,MIN(10,ROUND(IF('Advanced Entry'!Y$8="Decrease Risk",10-10*((IF('Advanced Entry'!Y$5="Logarithm",LN(0.001+'Advanced Entry'!Y54),IF('Advanced Entry'!Y$5="Exponential",EXP('Advanced Entry'!Y54),'Advanced Entry'!Y54)))-'Advanced Entry'!Y$6)/('Advanced Entry'!Y$7-'Advanced Entry'!Y$6),10*((IF('Advanced Entry'!Y$5="Logarithm",LN(0.001+'Advanced Entry'!Y54),IF('Advanced Entry'!Y$5="Exponential",EXP('Advanced Entry'!Y54),'Advanced Entry'!Y54)))-'Advanced Entry'!Y$6)/('Advanced Entry'!Y$7-'Advanced Entry'!Y$6)),1))),"No data"))</f>
        <v/>
      </c>
      <c r="Z54" s="17">
        <f>IF('Advanced Entry'!Z54="","",IFERROR(MAX(0,MIN(10,ROUND(IF('Advanced Entry'!Z$8="Decrease Risk",10-10*((IF('Advanced Entry'!Z$5="Logarithm",LN(0.001+'Advanced Entry'!Z54),IF('Advanced Entry'!Z$5="Exponential",EXP('Advanced Entry'!Z54),'Advanced Entry'!Z54)))-'Advanced Entry'!Z$6)/('Advanced Entry'!Z$7-'Advanced Entry'!Z$6),10*((IF('Advanced Entry'!Z$5="Logarithm",LN(0.001+'Advanced Entry'!Z54),IF('Advanced Entry'!Z$5="Exponential",EXP('Advanced Entry'!Z54),'Advanced Entry'!Z54)))-'Advanced Entry'!Z$6)/('Advanced Entry'!Z$7-'Advanced Entry'!Z$6)),1))),"No data"))</f>
        <v/>
      </c>
      <c r="AA54" s="17">
        <f>IF('Advanced Entry'!AA54="","",IFERROR(MAX(0,MIN(10,ROUND(IF('Advanced Entry'!AA$8="Decrease Risk",10-10*((IF('Advanced Entry'!AA$5="Logarithm",LN(0.001+'Advanced Entry'!AA54),IF('Advanced Entry'!AA$5="Exponential",EXP('Advanced Entry'!AA54),'Advanced Entry'!AA54)))-'Advanced Entry'!AA$6)/('Advanced Entry'!AA$7-'Advanced Entry'!AA$6),10*((IF('Advanced Entry'!AA$5="Logarithm",LN(0.001+'Advanced Entry'!AA54),IF('Advanced Entry'!AA$5="Exponential",EXP('Advanced Entry'!AA54),'Advanced Entry'!AA54)))-'Advanced Entry'!AA$6)/('Advanced Entry'!AA$7-'Advanced Entry'!AA$6)),1))),"No data"))</f>
        <v/>
      </c>
      <c r="AB54" s="17">
        <f>IF('Advanced Entry'!AB54="","",IFERROR(MAX(0,MIN(10,ROUND(IF('Advanced Entry'!AB$8="Decrease Risk",10-10*((IF('Advanced Entry'!AB$5="Logarithm",LN(0.001+'Advanced Entry'!AB54),IF('Advanced Entry'!AB$5="Exponential",EXP('Advanced Entry'!AB54),'Advanced Entry'!AB54)))-'Advanced Entry'!AB$6)/('Advanced Entry'!AB$7-'Advanced Entry'!AB$6),10*((IF('Advanced Entry'!AB$5="Logarithm",LN(0.001+'Advanced Entry'!AB54),IF('Advanced Entry'!AB$5="Exponential",EXP('Advanced Entry'!AB54),'Advanced Entry'!AB54)))-'Advanced Entry'!AB$6)/('Advanced Entry'!AB$7-'Advanced Entry'!AB$6)),1))),"No data"))</f>
        <v/>
      </c>
    </row>
    <row r="55">
      <c r="A55" t="inlineStr">
        <is>
          <t>Katavi</t>
        </is>
      </c>
      <c r="B55" t="inlineStr">
        <is>
          <t>Mpanda Municipal</t>
        </is>
      </c>
      <c r="C55" t="inlineStr">
        <is>
          <t>C163</t>
        </is>
      </c>
      <c r="D55" s="17">
        <f>IF('Advanced Entry'!D55="","",IFERROR(MAX(0,MIN(10,ROUND(IF('Advanced Entry'!D$8="Decrease Risk",10-10*((IF('Advanced Entry'!D$5="Logarithm",LN(0.001+'Advanced Entry'!D55),IF('Advanced Entry'!D$5="Exponential",EXP('Advanced Entry'!D55),'Advanced Entry'!D55)))-'Advanced Entry'!D$6)/('Advanced Entry'!D$7-'Advanced Entry'!D$6),10*((IF('Advanced Entry'!D$5="Logarithm",LN(0.001+'Advanced Entry'!D55),IF('Advanced Entry'!D$5="Exponential",EXP('Advanced Entry'!D55),'Advanced Entry'!D55)))-'Advanced Entry'!D$6)/('Advanced Entry'!D$7-'Advanced Entry'!D$6)),1))),"No data"))</f>
        <v/>
      </c>
      <c r="E55" s="17">
        <f>IF('Advanced Entry'!E55="","",IFERROR(MAX(0,MIN(10,ROUND(IF('Advanced Entry'!E$8="Decrease Risk",10-10*((IF('Advanced Entry'!E$5="Logarithm",LN(0.001+'Advanced Entry'!E55),IF('Advanced Entry'!E$5="Exponential",EXP('Advanced Entry'!E55),'Advanced Entry'!E55)))-'Advanced Entry'!E$6)/('Advanced Entry'!E$7-'Advanced Entry'!E$6),10*((IF('Advanced Entry'!E$5="Logarithm",LN(0.001+'Advanced Entry'!E55),IF('Advanced Entry'!E$5="Exponential",EXP('Advanced Entry'!E55),'Advanced Entry'!E55)))-'Advanced Entry'!E$6)/('Advanced Entry'!E$7-'Advanced Entry'!E$6)),1))),"No data"))</f>
        <v/>
      </c>
      <c r="F55" s="17">
        <f>IF('Advanced Entry'!F55="","",IFERROR(MAX(0,MIN(10,ROUND(IF('Advanced Entry'!F$8="Decrease Risk",10-10*((IF('Advanced Entry'!F$5="Logarithm",LN(0.001+'Advanced Entry'!F55),IF('Advanced Entry'!F$5="Exponential",EXP('Advanced Entry'!F55),'Advanced Entry'!F55)))-'Advanced Entry'!F$6)/('Advanced Entry'!F$7-'Advanced Entry'!F$6),10*((IF('Advanced Entry'!F$5="Logarithm",LN(0.001+'Advanced Entry'!F55),IF('Advanced Entry'!F$5="Exponential",EXP('Advanced Entry'!F55),'Advanced Entry'!F55)))-'Advanced Entry'!F$6)/('Advanced Entry'!F$7-'Advanced Entry'!F$6)),1))),"No data"))</f>
        <v/>
      </c>
      <c r="G55" s="17">
        <f>IF('Advanced Entry'!G55="","",IFERROR(MAX(0,MIN(10,ROUND(IF('Advanced Entry'!G$8="Decrease Risk",10-10*((IF('Advanced Entry'!G$5="Logarithm",LN(0.001+'Advanced Entry'!G55),IF('Advanced Entry'!G$5="Exponential",EXP('Advanced Entry'!G55),'Advanced Entry'!G55)))-'Advanced Entry'!G$6)/('Advanced Entry'!G$7-'Advanced Entry'!G$6),10*((IF('Advanced Entry'!G$5="Logarithm",LN(0.001+'Advanced Entry'!G55),IF('Advanced Entry'!G$5="Exponential",EXP('Advanced Entry'!G55),'Advanced Entry'!G55)))-'Advanced Entry'!G$6)/('Advanced Entry'!G$7-'Advanced Entry'!G$6)),1))),"No data"))</f>
        <v/>
      </c>
      <c r="H55" s="17">
        <f>IF('Advanced Entry'!H55="","",IFERROR(MAX(0,MIN(10,ROUND(IF('Advanced Entry'!H$8="Decrease Risk",10-10*((IF('Advanced Entry'!H$5="Logarithm",LN(0.001+'Advanced Entry'!H55),IF('Advanced Entry'!H$5="Exponential",EXP('Advanced Entry'!H55),'Advanced Entry'!H55)))-'Advanced Entry'!H$6)/('Advanced Entry'!H$7-'Advanced Entry'!H$6),10*((IF('Advanced Entry'!H$5="Logarithm",LN(0.001+'Advanced Entry'!H55),IF('Advanced Entry'!H$5="Exponential",EXP('Advanced Entry'!H55),'Advanced Entry'!H55)))-'Advanced Entry'!H$6)/('Advanced Entry'!H$7-'Advanced Entry'!H$6)),1))),"No data"))</f>
        <v/>
      </c>
      <c r="I55" s="17">
        <f>IF('Advanced Entry'!I55="","",IFERROR(MAX(0,MIN(10,ROUND(IF('Advanced Entry'!I$8="Decrease Risk",10-10*((IF('Advanced Entry'!I$5="Logarithm",LN(0.001+'Advanced Entry'!I55),IF('Advanced Entry'!I$5="Exponential",EXP('Advanced Entry'!I55),'Advanced Entry'!I55)))-'Advanced Entry'!I$6)/('Advanced Entry'!I$7-'Advanced Entry'!I$6),10*((IF('Advanced Entry'!I$5="Logarithm",LN(0.001+'Advanced Entry'!I55),IF('Advanced Entry'!I$5="Exponential",EXP('Advanced Entry'!I55),'Advanced Entry'!I55)))-'Advanced Entry'!I$6)/('Advanced Entry'!I$7-'Advanced Entry'!I$6)),1))),"No data"))</f>
        <v/>
      </c>
      <c r="J55" s="17">
        <f>IF('Advanced Entry'!J55="","",IFERROR(MAX(0,MIN(10,ROUND(IF('Advanced Entry'!J$8="Decrease Risk",10-10*((IF('Advanced Entry'!J$5="Logarithm",LN(0.001+'Advanced Entry'!J55),IF('Advanced Entry'!J$5="Exponential",EXP('Advanced Entry'!J55),'Advanced Entry'!J55)))-'Advanced Entry'!J$6)/('Advanced Entry'!J$7-'Advanced Entry'!J$6),10*((IF('Advanced Entry'!J$5="Logarithm",LN(0.001+'Advanced Entry'!J55),IF('Advanced Entry'!J$5="Exponential",EXP('Advanced Entry'!J55),'Advanced Entry'!J55)))-'Advanced Entry'!J$6)/('Advanced Entry'!J$7-'Advanced Entry'!J$6)),1))),"No data"))</f>
        <v/>
      </c>
      <c r="K55" s="17">
        <f>IF('Advanced Entry'!K55="","",IFERROR(MAX(0,MIN(10,ROUND(IF('Advanced Entry'!K$8="Decrease Risk",10-10*((IF('Advanced Entry'!K$5="Logarithm",LN(0.001+'Advanced Entry'!K55),IF('Advanced Entry'!K$5="Exponential",EXP('Advanced Entry'!K55),'Advanced Entry'!K55)))-'Advanced Entry'!K$6)/('Advanced Entry'!K$7-'Advanced Entry'!K$6),10*((IF('Advanced Entry'!K$5="Logarithm",LN(0.001+'Advanced Entry'!K55),IF('Advanced Entry'!K$5="Exponential",EXP('Advanced Entry'!K55),'Advanced Entry'!K55)))-'Advanced Entry'!K$6)/('Advanced Entry'!K$7-'Advanced Entry'!K$6)),1))),"No data"))</f>
        <v/>
      </c>
      <c r="L55" s="17">
        <f>IF('Advanced Entry'!L55="","",IFERROR(MAX(0,MIN(10,ROUND(IF('Advanced Entry'!L$8="Decrease Risk",10-10*((IF('Advanced Entry'!L$5="Logarithm",LN(0.001+'Advanced Entry'!L55),IF('Advanced Entry'!L$5="Exponential",EXP('Advanced Entry'!L55),'Advanced Entry'!L55)))-'Advanced Entry'!L$6)/('Advanced Entry'!L$7-'Advanced Entry'!L$6),10*((IF('Advanced Entry'!L$5="Logarithm",LN(0.001+'Advanced Entry'!L55),IF('Advanced Entry'!L$5="Exponential",EXP('Advanced Entry'!L55),'Advanced Entry'!L55)))-'Advanced Entry'!L$6)/('Advanced Entry'!L$7-'Advanced Entry'!L$6)),1))),"No data"))</f>
        <v/>
      </c>
      <c r="M55" s="17">
        <f>IF('Advanced Entry'!M55="","",IFERROR(MAX(0,MIN(10,ROUND(IF('Advanced Entry'!M$8="Decrease Risk",10-10*((IF('Advanced Entry'!M$5="Logarithm",LN(0.001+'Advanced Entry'!M55),IF('Advanced Entry'!M$5="Exponential",EXP('Advanced Entry'!M55),'Advanced Entry'!M55)))-'Advanced Entry'!M$6)/('Advanced Entry'!M$7-'Advanced Entry'!M$6),10*((IF('Advanced Entry'!M$5="Logarithm",LN(0.001+'Advanced Entry'!M55),IF('Advanced Entry'!M$5="Exponential",EXP('Advanced Entry'!M55),'Advanced Entry'!M55)))-'Advanced Entry'!M$6)/('Advanced Entry'!M$7-'Advanced Entry'!M$6)),1))),"No data"))</f>
        <v/>
      </c>
      <c r="N55" s="17">
        <f>IF('Advanced Entry'!N55="","",IFERROR(MAX(0,MIN(10,ROUND(IF('Advanced Entry'!N$8="Decrease Risk",10-10*((IF('Advanced Entry'!N$5="Logarithm",LN(0.001+'Advanced Entry'!N55),IF('Advanced Entry'!N$5="Exponential",EXP('Advanced Entry'!N55),'Advanced Entry'!N55)))-'Advanced Entry'!N$6)/('Advanced Entry'!N$7-'Advanced Entry'!N$6),10*((IF('Advanced Entry'!N$5="Logarithm",LN(0.001+'Advanced Entry'!N55),IF('Advanced Entry'!N$5="Exponential",EXP('Advanced Entry'!N55),'Advanced Entry'!N55)))-'Advanced Entry'!N$6)/('Advanced Entry'!N$7-'Advanced Entry'!N$6)),1))),"No data"))</f>
        <v/>
      </c>
      <c r="O55" s="17">
        <f>IF('Advanced Entry'!O55="","",IFERROR(MAX(0,MIN(10,ROUND(IF('Advanced Entry'!O$8="Decrease Risk",10-10*((IF('Advanced Entry'!O$5="Logarithm",LN(0.001+'Advanced Entry'!O55),IF('Advanced Entry'!O$5="Exponential",EXP('Advanced Entry'!O55),'Advanced Entry'!O55)))-'Advanced Entry'!O$6)/('Advanced Entry'!O$7-'Advanced Entry'!O$6),10*((IF('Advanced Entry'!O$5="Logarithm",LN(0.001+'Advanced Entry'!O55),IF('Advanced Entry'!O$5="Exponential",EXP('Advanced Entry'!O55),'Advanced Entry'!O55)))-'Advanced Entry'!O$6)/('Advanced Entry'!O$7-'Advanced Entry'!O$6)),1))),"No data"))</f>
        <v/>
      </c>
      <c r="P55" s="17">
        <f>IF('Advanced Entry'!P55="","",IFERROR(MAX(0,MIN(10,ROUND(IF('Advanced Entry'!P$8="Decrease Risk",10-10*((IF('Advanced Entry'!P$5="Logarithm",LN(0.001+'Advanced Entry'!P55),IF('Advanced Entry'!P$5="Exponential",EXP('Advanced Entry'!P55),'Advanced Entry'!P55)))-'Advanced Entry'!P$6)/('Advanced Entry'!P$7-'Advanced Entry'!P$6),10*((IF('Advanced Entry'!P$5="Logarithm",LN(0.001+'Advanced Entry'!P55),IF('Advanced Entry'!P$5="Exponential",EXP('Advanced Entry'!P55),'Advanced Entry'!P55)))-'Advanced Entry'!P$6)/('Advanced Entry'!P$7-'Advanced Entry'!P$6)),1))),"No data"))</f>
        <v/>
      </c>
      <c r="Q55" s="17">
        <f>IF('Advanced Entry'!Q55="","",IFERROR(MAX(0,MIN(10,ROUND(IF('Advanced Entry'!Q$8="Decrease Risk",10-10*((IF('Advanced Entry'!Q$5="Logarithm",LN(0.001+'Advanced Entry'!Q55),IF('Advanced Entry'!Q$5="Exponential",EXP('Advanced Entry'!Q55),'Advanced Entry'!Q55)))-'Advanced Entry'!Q$6)/('Advanced Entry'!Q$7-'Advanced Entry'!Q$6),10*((IF('Advanced Entry'!Q$5="Logarithm",LN(0.001+'Advanced Entry'!Q55),IF('Advanced Entry'!Q$5="Exponential",EXP('Advanced Entry'!Q55),'Advanced Entry'!Q55)))-'Advanced Entry'!Q$6)/('Advanced Entry'!Q$7-'Advanced Entry'!Q$6)),1))),"No data"))</f>
        <v/>
      </c>
      <c r="R55" s="17">
        <f>IF('Advanced Entry'!R55="","",IFERROR(MAX(0,MIN(10,ROUND(IF('Advanced Entry'!R$8="Decrease Risk",10-10*((IF('Advanced Entry'!R$5="Logarithm",LN(0.001+'Advanced Entry'!R55),IF('Advanced Entry'!R$5="Exponential",EXP('Advanced Entry'!R55),'Advanced Entry'!R55)))-'Advanced Entry'!R$6)/('Advanced Entry'!R$7-'Advanced Entry'!R$6),10*((IF('Advanced Entry'!R$5="Logarithm",LN(0.001+'Advanced Entry'!R55),IF('Advanced Entry'!R$5="Exponential",EXP('Advanced Entry'!R55),'Advanced Entry'!R55)))-'Advanced Entry'!R$6)/('Advanced Entry'!R$7-'Advanced Entry'!R$6)),1))),"No data"))</f>
        <v/>
      </c>
      <c r="S55" s="17">
        <f>IF('Advanced Entry'!S55="","",IFERROR(MAX(0,MIN(10,ROUND(IF('Advanced Entry'!S$8="Decrease Risk",10-10*((IF('Advanced Entry'!S$5="Logarithm",LN(0.001+'Advanced Entry'!S55),IF('Advanced Entry'!S$5="Exponential",EXP('Advanced Entry'!S55),'Advanced Entry'!S55)))-'Advanced Entry'!S$6)/('Advanced Entry'!S$7-'Advanced Entry'!S$6),10*((IF('Advanced Entry'!S$5="Logarithm",LN(0.001+'Advanced Entry'!S55),IF('Advanced Entry'!S$5="Exponential",EXP('Advanced Entry'!S55),'Advanced Entry'!S55)))-'Advanced Entry'!S$6)/('Advanced Entry'!S$7-'Advanced Entry'!S$6)),1))),"No data"))</f>
        <v/>
      </c>
      <c r="T55" s="17">
        <f>IF('Advanced Entry'!T55="","",IFERROR(MAX(0,MIN(10,ROUND(IF('Advanced Entry'!T$8="Decrease Risk",10-10*((IF('Advanced Entry'!T$5="Logarithm",LN(0.001+'Advanced Entry'!T55),IF('Advanced Entry'!T$5="Exponential",EXP('Advanced Entry'!T55),'Advanced Entry'!T55)))-'Advanced Entry'!T$6)/('Advanced Entry'!T$7-'Advanced Entry'!T$6),10*((IF('Advanced Entry'!T$5="Logarithm",LN(0.001+'Advanced Entry'!T55),IF('Advanced Entry'!T$5="Exponential",EXP('Advanced Entry'!T55),'Advanced Entry'!T55)))-'Advanced Entry'!T$6)/('Advanced Entry'!T$7-'Advanced Entry'!T$6)),1))),"No data"))</f>
        <v/>
      </c>
      <c r="U55" s="17">
        <f>IF('Advanced Entry'!U55="","",IFERROR(MAX(0,MIN(10,ROUND(IF('Advanced Entry'!U$8="Decrease Risk",10-10*((IF('Advanced Entry'!U$5="Logarithm",LN(0.001+'Advanced Entry'!U55),IF('Advanced Entry'!U$5="Exponential",EXP('Advanced Entry'!U55),'Advanced Entry'!U55)))-'Advanced Entry'!U$6)/('Advanced Entry'!U$7-'Advanced Entry'!U$6),10*((IF('Advanced Entry'!U$5="Logarithm",LN(0.001+'Advanced Entry'!U55),IF('Advanced Entry'!U$5="Exponential",EXP('Advanced Entry'!U55),'Advanced Entry'!U55)))-'Advanced Entry'!U$6)/('Advanced Entry'!U$7-'Advanced Entry'!U$6)),1))),"No data"))</f>
        <v/>
      </c>
      <c r="V55" s="17">
        <f>IF('Advanced Entry'!V55="","",IFERROR(MAX(0,MIN(10,ROUND(IF('Advanced Entry'!V$8="Decrease Risk",10-10*((IF('Advanced Entry'!V$5="Logarithm",LN(0.001+'Advanced Entry'!V55),IF('Advanced Entry'!V$5="Exponential",EXP('Advanced Entry'!V55),'Advanced Entry'!V55)))-'Advanced Entry'!V$6)/('Advanced Entry'!V$7-'Advanced Entry'!V$6),10*((IF('Advanced Entry'!V$5="Logarithm",LN(0.001+'Advanced Entry'!V55),IF('Advanced Entry'!V$5="Exponential",EXP('Advanced Entry'!V55),'Advanced Entry'!V55)))-'Advanced Entry'!V$6)/('Advanced Entry'!V$7-'Advanced Entry'!V$6)),1))),"No data"))</f>
        <v/>
      </c>
      <c r="W55" s="17">
        <f>IF('Advanced Entry'!W55="","",IFERROR(MAX(0,MIN(10,ROUND(IF('Advanced Entry'!W$8="Decrease Risk",10-10*((IF('Advanced Entry'!W$5="Logarithm",LN(0.001+'Advanced Entry'!W55),IF('Advanced Entry'!W$5="Exponential",EXP('Advanced Entry'!W55),'Advanced Entry'!W55)))-'Advanced Entry'!W$6)/('Advanced Entry'!W$7-'Advanced Entry'!W$6),10*((IF('Advanced Entry'!W$5="Logarithm",LN(0.001+'Advanced Entry'!W55),IF('Advanced Entry'!W$5="Exponential",EXP('Advanced Entry'!W55),'Advanced Entry'!W55)))-'Advanced Entry'!W$6)/('Advanced Entry'!W$7-'Advanced Entry'!W$6)),1))),"No data"))</f>
        <v/>
      </c>
      <c r="X55" s="17">
        <f>IF('Advanced Entry'!X55="","",IFERROR(MAX(0,MIN(10,ROUND(IF('Advanced Entry'!X$8="Decrease Risk",10-10*((IF('Advanced Entry'!X$5="Logarithm",LN(0.001+'Advanced Entry'!X55),IF('Advanced Entry'!X$5="Exponential",EXP('Advanced Entry'!X55),'Advanced Entry'!X55)))-'Advanced Entry'!X$6)/('Advanced Entry'!X$7-'Advanced Entry'!X$6),10*((IF('Advanced Entry'!X$5="Logarithm",LN(0.001+'Advanced Entry'!X55),IF('Advanced Entry'!X$5="Exponential",EXP('Advanced Entry'!X55),'Advanced Entry'!X55)))-'Advanced Entry'!X$6)/('Advanced Entry'!X$7-'Advanced Entry'!X$6)),1))),"No data"))</f>
        <v/>
      </c>
      <c r="Y55" s="17">
        <f>IF('Advanced Entry'!Y55="","",IFERROR(MAX(0,MIN(10,ROUND(IF('Advanced Entry'!Y$8="Decrease Risk",10-10*((IF('Advanced Entry'!Y$5="Logarithm",LN(0.001+'Advanced Entry'!Y55),IF('Advanced Entry'!Y$5="Exponential",EXP('Advanced Entry'!Y55),'Advanced Entry'!Y55)))-'Advanced Entry'!Y$6)/('Advanced Entry'!Y$7-'Advanced Entry'!Y$6),10*((IF('Advanced Entry'!Y$5="Logarithm",LN(0.001+'Advanced Entry'!Y55),IF('Advanced Entry'!Y$5="Exponential",EXP('Advanced Entry'!Y55),'Advanced Entry'!Y55)))-'Advanced Entry'!Y$6)/('Advanced Entry'!Y$7-'Advanced Entry'!Y$6)),1))),"No data"))</f>
        <v/>
      </c>
      <c r="Z55" s="17">
        <f>IF('Advanced Entry'!Z55="","",IFERROR(MAX(0,MIN(10,ROUND(IF('Advanced Entry'!Z$8="Decrease Risk",10-10*((IF('Advanced Entry'!Z$5="Logarithm",LN(0.001+'Advanced Entry'!Z55),IF('Advanced Entry'!Z$5="Exponential",EXP('Advanced Entry'!Z55),'Advanced Entry'!Z55)))-'Advanced Entry'!Z$6)/('Advanced Entry'!Z$7-'Advanced Entry'!Z$6),10*((IF('Advanced Entry'!Z$5="Logarithm",LN(0.001+'Advanced Entry'!Z55),IF('Advanced Entry'!Z$5="Exponential",EXP('Advanced Entry'!Z55),'Advanced Entry'!Z55)))-'Advanced Entry'!Z$6)/('Advanced Entry'!Z$7-'Advanced Entry'!Z$6)),1))),"No data"))</f>
        <v/>
      </c>
      <c r="AA55" s="17">
        <f>IF('Advanced Entry'!AA55="","",IFERROR(MAX(0,MIN(10,ROUND(IF('Advanced Entry'!AA$8="Decrease Risk",10-10*((IF('Advanced Entry'!AA$5="Logarithm",LN(0.001+'Advanced Entry'!AA55),IF('Advanced Entry'!AA$5="Exponential",EXP('Advanced Entry'!AA55),'Advanced Entry'!AA55)))-'Advanced Entry'!AA$6)/('Advanced Entry'!AA$7-'Advanced Entry'!AA$6),10*((IF('Advanced Entry'!AA$5="Logarithm",LN(0.001+'Advanced Entry'!AA55),IF('Advanced Entry'!AA$5="Exponential",EXP('Advanced Entry'!AA55),'Advanced Entry'!AA55)))-'Advanced Entry'!AA$6)/('Advanced Entry'!AA$7-'Advanced Entry'!AA$6)),1))),"No data"))</f>
        <v/>
      </c>
      <c r="AB55" s="17">
        <f>IF('Advanced Entry'!AB55="","",IFERROR(MAX(0,MIN(10,ROUND(IF('Advanced Entry'!AB$8="Decrease Risk",10-10*((IF('Advanced Entry'!AB$5="Logarithm",LN(0.001+'Advanced Entry'!AB55),IF('Advanced Entry'!AB$5="Exponential",EXP('Advanced Entry'!AB55),'Advanced Entry'!AB55)))-'Advanced Entry'!AB$6)/('Advanced Entry'!AB$7-'Advanced Entry'!AB$6),10*((IF('Advanced Entry'!AB$5="Logarithm",LN(0.001+'Advanced Entry'!AB55),IF('Advanced Entry'!AB$5="Exponential",EXP('Advanced Entry'!AB55),'Advanced Entry'!AB55)))-'Advanced Entry'!AB$6)/('Advanced Entry'!AB$7-'Advanced Entry'!AB$6)),1))),"No data"))</f>
        <v/>
      </c>
    </row>
    <row r="56">
      <c r="A56" t="inlineStr">
        <is>
          <t>Katavi</t>
        </is>
      </c>
      <c r="B56" t="inlineStr">
        <is>
          <t>Mpimbwe District</t>
        </is>
      </c>
      <c r="C56" t="inlineStr">
        <is>
          <t>C167</t>
        </is>
      </c>
      <c r="D56" s="17">
        <f>IF('Advanced Entry'!D56="","",IFERROR(MAX(0,MIN(10,ROUND(IF('Advanced Entry'!D$8="Decrease Risk",10-10*((IF('Advanced Entry'!D$5="Logarithm",LN(0.001+'Advanced Entry'!D56),IF('Advanced Entry'!D$5="Exponential",EXP('Advanced Entry'!D56),'Advanced Entry'!D56)))-'Advanced Entry'!D$6)/('Advanced Entry'!D$7-'Advanced Entry'!D$6),10*((IF('Advanced Entry'!D$5="Logarithm",LN(0.001+'Advanced Entry'!D56),IF('Advanced Entry'!D$5="Exponential",EXP('Advanced Entry'!D56),'Advanced Entry'!D56)))-'Advanced Entry'!D$6)/('Advanced Entry'!D$7-'Advanced Entry'!D$6)),1))),"No data"))</f>
        <v/>
      </c>
      <c r="E56" s="17">
        <f>IF('Advanced Entry'!E56="","",IFERROR(MAX(0,MIN(10,ROUND(IF('Advanced Entry'!E$8="Decrease Risk",10-10*((IF('Advanced Entry'!E$5="Logarithm",LN(0.001+'Advanced Entry'!E56),IF('Advanced Entry'!E$5="Exponential",EXP('Advanced Entry'!E56),'Advanced Entry'!E56)))-'Advanced Entry'!E$6)/('Advanced Entry'!E$7-'Advanced Entry'!E$6),10*((IF('Advanced Entry'!E$5="Logarithm",LN(0.001+'Advanced Entry'!E56),IF('Advanced Entry'!E$5="Exponential",EXP('Advanced Entry'!E56),'Advanced Entry'!E56)))-'Advanced Entry'!E$6)/('Advanced Entry'!E$7-'Advanced Entry'!E$6)),1))),"No data"))</f>
        <v/>
      </c>
      <c r="F56" s="17">
        <f>IF('Advanced Entry'!F56="","",IFERROR(MAX(0,MIN(10,ROUND(IF('Advanced Entry'!F$8="Decrease Risk",10-10*((IF('Advanced Entry'!F$5="Logarithm",LN(0.001+'Advanced Entry'!F56),IF('Advanced Entry'!F$5="Exponential",EXP('Advanced Entry'!F56),'Advanced Entry'!F56)))-'Advanced Entry'!F$6)/('Advanced Entry'!F$7-'Advanced Entry'!F$6),10*((IF('Advanced Entry'!F$5="Logarithm",LN(0.001+'Advanced Entry'!F56),IF('Advanced Entry'!F$5="Exponential",EXP('Advanced Entry'!F56),'Advanced Entry'!F56)))-'Advanced Entry'!F$6)/('Advanced Entry'!F$7-'Advanced Entry'!F$6)),1))),"No data"))</f>
        <v/>
      </c>
      <c r="G56" s="17">
        <f>IF('Advanced Entry'!G56="","",IFERROR(MAX(0,MIN(10,ROUND(IF('Advanced Entry'!G$8="Decrease Risk",10-10*((IF('Advanced Entry'!G$5="Logarithm",LN(0.001+'Advanced Entry'!G56),IF('Advanced Entry'!G$5="Exponential",EXP('Advanced Entry'!G56),'Advanced Entry'!G56)))-'Advanced Entry'!G$6)/('Advanced Entry'!G$7-'Advanced Entry'!G$6),10*((IF('Advanced Entry'!G$5="Logarithm",LN(0.001+'Advanced Entry'!G56),IF('Advanced Entry'!G$5="Exponential",EXP('Advanced Entry'!G56),'Advanced Entry'!G56)))-'Advanced Entry'!G$6)/('Advanced Entry'!G$7-'Advanced Entry'!G$6)),1))),"No data"))</f>
        <v/>
      </c>
      <c r="H56" s="17">
        <f>IF('Advanced Entry'!H56="","",IFERROR(MAX(0,MIN(10,ROUND(IF('Advanced Entry'!H$8="Decrease Risk",10-10*((IF('Advanced Entry'!H$5="Logarithm",LN(0.001+'Advanced Entry'!H56),IF('Advanced Entry'!H$5="Exponential",EXP('Advanced Entry'!H56),'Advanced Entry'!H56)))-'Advanced Entry'!H$6)/('Advanced Entry'!H$7-'Advanced Entry'!H$6),10*((IF('Advanced Entry'!H$5="Logarithm",LN(0.001+'Advanced Entry'!H56),IF('Advanced Entry'!H$5="Exponential",EXP('Advanced Entry'!H56),'Advanced Entry'!H56)))-'Advanced Entry'!H$6)/('Advanced Entry'!H$7-'Advanced Entry'!H$6)),1))),"No data"))</f>
        <v/>
      </c>
      <c r="I56" s="17">
        <f>IF('Advanced Entry'!I56="","",IFERROR(MAX(0,MIN(10,ROUND(IF('Advanced Entry'!I$8="Decrease Risk",10-10*((IF('Advanced Entry'!I$5="Logarithm",LN(0.001+'Advanced Entry'!I56),IF('Advanced Entry'!I$5="Exponential",EXP('Advanced Entry'!I56),'Advanced Entry'!I56)))-'Advanced Entry'!I$6)/('Advanced Entry'!I$7-'Advanced Entry'!I$6),10*((IF('Advanced Entry'!I$5="Logarithm",LN(0.001+'Advanced Entry'!I56),IF('Advanced Entry'!I$5="Exponential",EXP('Advanced Entry'!I56),'Advanced Entry'!I56)))-'Advanced Entry'!I$6)/('Advanced Entry'!I$7-'Advanced Entry'!I$6)),1))),"No data"))</f>
        <v/>
      </c>
      <c r="J56" s="17">
        <f>IF('Advanced Entry'!J56="","",IFERROR(MAX(0,MIN(10,ROUND(IF('Advanced Entry'!J$8="Decrease Risk",10-10*((IF('Advanced Entry'!J$5="Logarithm",LN(0.001+'Advanced Entry'!J56),IF('Advanced Entry'!J$5="Exponential",EXP('Advanced Entry'!J56),'Advanced Entry'!J56)))-'Advanced Entry'!J$6)/('Advanced Entry'!J$7-'Advanced Entry'!J$6),10*((IF('Advanced Entry'!J$5="Logarithm",LN(0.001+'Advanced Entry'!J56),IF('Advanced Entry'!J$5="Exponential",EXP('Advanced Entry'!J56),'Advanced Entry'!J56)))-'Advanced Entry'!J$6)/('Advanced Entry'!J$7-'Advanced Entry'!J$6)),1))),"No data"))</f>
        <v/>
      </c>
      <c r="K56" s="17">
        <f>IF('Advanced Entry'!K56="","",IFERROR(MAX(0,MIN(10,ROUND(IF('Advanced Entry'!K$8="Decrease Risk",10-10*((IF('Advanced Entry'!K$5="Logarithm",LN(0.001+'Advanced Entry'!K56),IF('Advanced Entry'!K$5="Exponential",EXP('Advanced Entry'!K56),'Advanced Entry'!K56)))-'Advanced Entry'!K$6)/('Advanced Entry'!K$7-'Advanced Entry'!K$6),10*((IF('Advanced Entry'!K$5="Logarithm",LN(0.001+'Advanced Entry'!K56),IF('Advanced Entry'!K$5="Exponential",EXP('Advanced Entry'!K56),'Advanced Entry'!K56)))-'Advanced Entry'!K$6)/('Advanced Entry'!K$7-'Advanced Entry'!K$6)),1))),"No data"))</f>
        <v/>
      </c>
      <c r="L56" s="17">
        <f>IF('Advanced Entry'!L56="","",IFERROR(MAX(0,MIN(10,ROUND(IF('Advanced Entry'!L$8="Decrease Risk",10-10*((IF('Advanced Entry'!L$5="Logarithm",LN(0.001+'Advanced Entry'!L56),IF('Advanced Entry'!L$5="Exponential",EXP('Advanced Entry'!L56),'Advanced Entry'!L56)))-'Advanced Entry'!L$6)/('Advanced Entry'!L$7-'Advanced Entry'!L$6),10*((IF('Advanced Entry'!L$5="Logarithm",LN(0.001+'Advanced Entry'!L56),IF('Advanced Entry'!L$5="Exponential",EXP('Advanced Entry'!L56),'Advanced Entry'!L56)))-'Advanced Entry'!L$6)/('Advanced Entry'!L$7-'Advanced Entry'!L$6)),1))),"No data"))</f>
        <v/>
      </c>
      <c r="M56" s="17">
        <f>IF('Advanced Entry'!M56="","",IFERROR(MAX(0,MIN(10,ROUND(IF('Advanced Entry'!M$8="Decrease Risk",10-10*((IF('Advanced Entry'!M$5="Logarithm",LN(0.001+'Advanced Entry'!M56),IF('Advanced Entry'!M$5="Exponential",EXP('Advanced Entry'!M56),'Advanced Entry'!M56)))-'Advanced Entry'!M$6)/('Advanced Entry'!M$7-'Advanced Entry'!M$6),10*((IF('Advanced Entry'!M$5="Logarithm",LN(0.001+'Advanced Entry'!M56),IF('Advanced Entry'!M$5="Exponential",EXP('Advanced Entry'!M56),'Advanced Entry'!M56)))-'Advanced Entry'!M$6)/('Advanced Entry'!M$7-'Advanced Entry'!M$6)),1))),"No data"))</f>
        <v/>
      </c>
      <c r="N56" s="17">
        <f>IF('Advanced Entry'!N56="","",IFERROR(MAX(0,MIN(10,ROUND(IF('Advanced Entry'!N$8="Decrease Risk",10-10*((IF('Advanced Entry'!N$5="Logarithm",LN(0.001+'Advanced Entry'!N56),IF('Advanced Entry'!N$5="Exponential",EXP('Advanced Entry'!N56),'Advanced Entry'!N56)))-'Advanced Entry'!N$6)/('Advanced Entry'!N$7-'Advanced Entry'!N$6),10*((IF('Advanced Entry'!N$5="Logarithm",LN(0.001+'Advanced Entry'!N56),IF('Advanced Entry'!N$5="Exponential",EXP('Advanced Entry'!N56),'Advanced Entry'!N56)))-'Advanced Entry'!N$6)/('Advanced Entry'!N$7-'Advanced Entry'!N$6)),1))),"No data"))</f>
        <v/>
      </c>
      <c r="O56" s="17">
        <f>IF('Advanced Entry'!O56="","",IFERROR(MAX(0,MIN(10,ROUND(IF('Advanced Entry'!O$8="Decrease Risk",10-10*((IF('Advanced Entry'!O$5="Logarithm",LN(0.001+'Advanced Entry'!O56),IF('Advanced Entry'!O$5="Exponential",EXP('Advanced Entry'!O56),'Advanced Entry'!O56)))-'Advanced Entry'!O$6)/('Advanced Entry'!O$7-'Advanced Entry'!O$6),10*((IF('Advanced Entry'!O$5="Logarithm",LN(0.001+'Advanced Entry'!O56),IF('Advanced Entry'!O$5="Exponential",EXP('Advanced Entry'!O56),'Advanced Entry'!O56)))-'Advanced Entry'!O$6)/('Advanced Entry'!O$7-'Advanced Entry'!O$6)),1))),"No data"))</f>
        <v/>
      </c>
      <c r="P56" s="17">
        <f>IF('Advanced Entry'!P56="","",IFERROR(MAX(0,MIN(10,ROUND(IF('Advanced Entry'!P$8="Decrease Risk",10-10*((IF('Advanced Entry'!P$5="Logarithm",LN(0.001+'Advanced Entry'!P56),IF('Advanced Entry'!P$5="Exponential",EXP('Advanced Entry'!P56),'Advanced Entry'!P56)))-'Advanced Entry'!P$6)/('Advanced Entry'!P$7-'Advanced Entry'!P$6),10*((IF('Advanced Entry'!P$5="Logarithm",LN(0.001+'Advanced Entry'!P56),IF('Advanced Entry'!P$5="Exponential",EXP('Advanced Entry'!P56),'Advanced Entry'!P56)))-'Advanced Entry'!P$6)/('Advanced Entry'!P$7-'Advanced Entry'!P$6)),1))),"No data"))</f>
        <v/>
      </c>
      <c r="Q56" s="17">
        <f>IF('Advanced Entry'!Q56="","",IFERROR(MAX(0,MIN(10,ROUND(IF('Advanced Entry'!Q$8="Decrease Risk",10-10*((IF('Advanced Entry'!Q$5="Logarithm",LN(0.001+'Advanced Entry'!Q56),IF('Advanced Entry'!Q$5="Exponential",EXP('Advanced Entry'!Q56),'Advanced Entry'!Q56)))-'Advanced Entry'!Q$6)/('Advanced Entry'!Q$7-'Advanced Entry'!Q$6),10*((IF('Advanced Entry'!Q$5="Logarithm",LN(0.001+'Advanced Entry'!Q56),IF('Advanced Entry'!Q$5="Exponential",EXP('Advanced Entry'!Q56),'Advanced Entry'!Q56)))-'Advanced Entry'!Q$6)/('Advanced Entry'!Q$7-'Advanced Entry'!Q$6)),1))),"No data"))</f>
        <v/>
      </c>
      <c r="R56" s="17">
        <f>IF('Advanced Entry'!R56="","",IFERROR(MAX(0,MIN(10,ROUND(IF('Advanced Entry'!R$8="Decrease Risk",10-10*((IF('Advanced Entry'!R$5="Logarithm",LN(0.001+'Advanced Entry'!R56),IF('Advanced Entry'!R$5="Exponential",EXP('Advanced Entry'!R56),'Advanced Entry'!R56)))-'Advanced Entry'!R$6)/('Advanced Entry'!R$7-'Advanced Entry'!R$6),10*((IF('Advanced Entry'!R$5="Logarithm",LN(0.001+'Advanced Entry'!R56),IF('Advanced Entry'!R$5="Exponential",EXP('Advanced Entry'!R56),'Advanced Entry'!R56)))-'Advanced Entry'!R$6)/('Advanced Entry'!R$7-'Advanced Entry'!R$6)),1))),"No data"))</f>
        <v/>
      </c>
      <c r="S56" s="17">
        <f>IF('Advanced Entry'!S56="","",IFERROR(MAX(0,MIN(10,ROUND(IF('Advanced Entry'!S$8="Decrease Risk",10-10*((IF('Advanced Entry'!S$5="Logarithm",LN(0.001+'Advanced Entry'!S56),IF('Advanced Entry'!S$5="Exponential",EXP('Advanced Entry'!S56),'Advanced Entry'!S56)))-'Advanced Entry'!S$6)/('Advanced Entry'!S$7-'Advanced Entry'!S$6),10*((IF('Advanced Entry'!S$5="Logarithm",LN(0.001+'Advanced Entry'!S56),IF('Advanced Entry'!S$5="Exponential",EXP('Advanced Entry'!S56),'Advanced Entry'!S56)))-'Advanced Entry'!S$6)/('Advanced Entry'!S$7-'Advanced Entry'!S$6)),1))),"No data"))</f>
        <v/>
      </c>
      <c r="T56" s="17">
        <f>IF('Advanced Entry'!T56="","",IFERROR(MAX(0,MIN(10,ROUND(IF('Advanced Entry'!T$8="Decrease Risk",10-10*((IF('Advanced Entry'!T$5="Logarithm",LN(0.001+'Advanced Entry'!T56),IF('Advanced Entry'!T$5="Exponential",EXP('Advanced Entry'!T56),'Advanced Entry'!T56)))-'Advanced Entry'!T$6)/('Advanced Entry'!T$7-'Advanced Entry'!T$6),10*((IF('Advanced Entry'!T$5="Logarithm",LN(0.001+'Advanced Entry'!T56),IF('Advanced Entry'!T$5="Exponential",EXP('Advanced Entry'!T56),'Advanced Entry'!T56)))-'Advanced Entry'!T$6)/('Advanced Entry'!T$7-'Advanced Entry'!T$6)),1))),"No data"))</f>
        <v/>
      </c>
      <c r="U56" s="17">
        <f>IF('Advanced Entry'!U56="","",IFERROR(MAX(0,MIN(10,ROUND(IF('Advanced Entry'!U$8="Decrease Risk",10-10*((IF('Advanced Entry'!U$5="Logarithm",LN(0.001+'Advanced Entry'!U56),IF('Advanced Entry'!U$5="Exponential",EXP('Advanced Entry'!U56),'Advanced Entry'!U56)))-'Advanced Entry'!U$6)/('Advanced Entry'!U$7-'Advanced Entry'!U$6),10*((IF('Advanced Entry'!U$5="Logarithm",LN(0.001+'Advanced Entry'!U56),IF('Advanced Entry'!U$5="Exponential",EXP('Advanced Entry'!U56),'Advanced Entry'!U56)))-'Advanced Entry'!U$6)/('Advanced Entry'!U$7-'Advanced Entry'!U$6)),1))),"No data"))</f>
        <v/>
      </c>
      <c r="V56" s="17">
        <f>IF('Advanced Entry'!V56="","",IFERROR(MAX(0,MIN(10,ROUND(IF('Advanced Entry'!V$8="Decrease Risk",10-10*((IF('Advanced Entry'!V$5="Logarithm",LN(0.001+'Advanced Entry'!V56),IF('Advanced Entry'!V$5="Exponential",EXP('Advanced Entry'!V56),'Advanced Entry'!V56)))-'Advanced Entry'!V$6)/('Advanced Entry'!V$7-'Advanced Entry'!V$6),10*((IF('Advanced Entry'!V$5="Logarithm",LN(0.001+'Advanced Entry'!V56),IF('Advanced Entry'!V$5="Exponential",EXP('Advanced Entry'!V56),'Advanced Entry'!V56)))-'Advanced Entry'!V$6)/('Advanced Entry'!V$7-'Advanced Entry'!V$6)),1))),"No data"))</f>
        <v/>
      </c>
      <c r="W56" s="17">
        <f>IF('Advanced Entry'!W56="","",IFERROR(MAX(0,MIN(10,ROUND(IF('Advanced Entry'!W$8="Decrease Risk",10-10*((IF('Advanced Entry'!W$5="Logarithm",LN(0.001+'Advanced Entry'!W56),IF('Advanced Entry'!W$5="Exponential",EXP('Advanced Entry'!W56),'Advanced Entry'!W56)))-'Advanced Entry'!W$6)/('Advanced Entry'!W$7-'Advanced Entry'!W$6),10*((IF('Advanced Entry'!W$5="Logarithm",LN(0.001+'Advanced Entry'!W56),IF('Advanced Entry'!W$5="Exponential",EXP('Advanced Entry'!W56),'Advanced Entry'!W56)))-'Advanced Entry'!W$6)/('Advanced Entry'!W$7-'Advanced Entry'!W$6)),1))),"No data"))</f>
        <v/>
      </c>
      <c r="X56" s="17">
        <f>IF('Advanced Entry'!X56="","",IFERROR(MAX(0,MIN(10,ROUND(IF('Advanced Entry'!X$8="Decrease Risk",10-10*((IF('Advanced Entry'!X$5="Logarithm",LN(0.001+'Advanced Entry'!X56),IF('Advanced Entry'!X$5="Exponential",EXP('Advanced Entry'!X56),'Advanced Entry'!X56)))-'Advanced Entry'!X$6)/('Advanced Entry'!X$7-'Advanced Entry'!X$6),10*((IF('Advanced Entry'!X$5="Logarithm",LN(0.001+'Advanced Entry'!X56),IF('Advanced Entry'!X$5="Exponential",EXP('Advanced Entry'!X56),'Advanced Entry'!X56)))-'Advanced Entry'!X$6)/('Advanced Entry'!X$7-'Advanced Entry'!X$6)),1))),"No data"))</f>
        <v/>
      </c>
      <c r="Y56" s="17">
        <f>IF('Advanced Entry'!Y56="","",IFERROR(MAX(0,MIN(10,ROUND(IF('Advanced Entry'!Y$8="Decrease Risk",10-10*((IF('Advanced Entry'!Y$5="Logarithm",LN(0.001+'Advanced Entry'!Y56),IF('Advanced Entry'!Y$5="Exponential",EXP('Advanced Entry'!Y56),'Advanced Entry'!Y56)))-'Advanced Entry'!Y$6)/('Advanced Entry'!Y$7-'Advanced Entry'!Y$6),10*((IF('Advanced Entry'!Y$5="Logarithm",LN(0.001+'Advanced Entry'!Y56),IF('Advanced Entry'!Y$5="Exponential",EXP('Advanced Entry'!Y56),'Advanced Entry'!Y56)))-'Advanced Entry'!Y$6)/('Advanced Entry'!Y$7-'Advanced Entry'!Y$6)),1))),"No data"))</f>
        <v/>
      </c>
      <c r="Z56" s="17">
        <f>IF('Advanced Entry'!Z56="","",IFERROR(MAX(0,MIN(10,ROUND(IF('Advanced Entry'!Z$8="Decrease Risk",10-10*((IF('Advanced Entry'!Z$5="Logarithm",LN(0.001+'Advanced Entry'!Z56),IF('Advanced Entry'!Z$5="Exponential",EXP('Advanced Entry'!Z56),'Advanced Entry'!Z56)))-'Advanced Entry'!Z$6)/('Advanced Entry'!Z$7-'Advanced Entry'!Z$6),10*((IF('Advanced Entry'!Z$5="Logarithm",LN(0.001+'Advanced Entry'!Z56),IF('Advanced Entry'!Z$5="Exponential",EXP('Advanced Entry'!Z56),'Advanced Entry'!Z56)))-'Advanced Entry'!Z$6)/('Advanced Entry'!Z$7-'Advanced Entry'!Z$6)),1))),"No data"))</f>
        <v/>
      </c>
      <c r="AA56" s="17">
        <f>IF('Advanced Entry'!AA56="","",IFERROR(MAX(0,MIN(10,ROUND(IF('Advanced Entry'!AA$8="Decrease Risk",10-10*((IF('Advanced Entry'!AA$5="Logarithm",LN(0.001+'Advanced Entry'!AA56),IF('Advanced Entry'!AA$5="Exponential",EXP('Advanced Entry'!AA56),'Advanced Entry'!AA56)))-'Advanced Entry'!AA$6)/('Advanced Entry'!AA$7-'Advanced Entry'!AA$6),10*((IF('Advanced Entry'!AA$5="Logarithm",LN(0.001+'Advanced Entry'!AA56),IF('Advanced Entry'!AA$5="Exponential",EXP('Advanced Entry'!AA56),'Advanced Entry'!AA56)))-'Advanced Entry'!AA$6)/('Advanced Entry'!AA$7-'Advanced Entry'!AA$6)),1))),"No data"))</f>
        <v/>
      </c>
      <c r="AB56" s="17">
        <f>IF('Advanced Entry'!AB56="","",IFERROR(MAX(0,MIN(10,ROUND(IF('Advanced Entry'!AB$8="Decrease Risk",10-10*((IF('Advanced Entry'!AB$5="Logarithm",LN(0.001+'Advanced Entry'!AB56),IF('Advanced Entry'!AB$5="Exponential",EXP('Advanced Entry'!AB56),'Advanced Entry'!AB56)))-'Advanced Entry'!AB$6)/('Advanced Entry'!AB$7-'Advanced Entry'!AB$6),10*((IF('Advanced Entry'!AB$5="Logarithm",LN(0.001+'Advanced Entry'!AB56),IF('Advanced Entry'!AB$5="Exponential",EXP('Advanced Entry'!AB56),'Advanced Entry'!AB56)))-'Advanced Entry'!AB$6)/('Advanced Entry'!AB$7-'Advanced Entry'!AB$6)),1))),"No data"))</f>
        <v/>
      </c>
    </row>
    <row r="57">
      <c r="A57" t="inlineStr">
        <is>
          <t>Katavi</t>
        </is>
      </c>
      <c r="B57" t="inlineStr">
        <is>
          <t>Nsimbo District</t>
        </is>
      </c>
      <c r="C57" t="inlineStr">
        <is>
          <t>C164</t>
        </is>
      </c>
      <c r="D57" s="17">
        <f>IF('Advanced Entry'!D57="","",IFERROR(MAX(0,MIN(10,ROUND(IF('Advanced Entry'!D$8="Decrease Risk",10-10*((IF('Advanced Entry'!D$5="Logarithm",LN(0.001+'Advanced Entry'!D57),IF('Advanced Entry'!D$5="Exponential",EXP('Advanced Entry'!D57),'Advanced Entry'!D57)))-'Advanced Entry'!D$6)/('Advanced Entry'!D$7-'Advanced Entry'!D$6),10*((IF('Advanced Entry'!D$5="Logarithm",LN(0.001+'Advanced Entry'!D57),IF('Advanced Entry'!D$5="Exponential",EXP('Advanced Entry'!D57),'Advanced Entry'!D57)))-'Advanced Entry'!D$6)/('Advanced Entry'!D$7-'Advanced Entry'!D$6)),1))),"No data"))</f>
        <v/>
      </c>
      <c r="E57" s="17">
        <f>IF('Advanced Entry'!E57="","",IFERROR(MAX(0,MIN(10,ROUND(IF('Advanced Entry'!E$8="Decrease Risk",10-10*((IF('Advanced Entry'!E$5="Logarithm",LN(0.001+'Advanced Entry'!E57),IF('Advanced Entry'!E$5="Exponential",EXP('Advanced Entry'!E57),'Advanced Entry'!E57)))-'Advanced Entry'!E$6)/('Advanced Entry'!E$7-'Advanced Entry'!E$6),10*((IF('Advanced Entry'!E$5="Logarithm",LN(0.001+'Advanced Entry'!E57),IF('Advanced Entry'!E$5="Exponential",EXP('Advanced Entry'!E57),'Advanced Entry'!E57)))-'Advanced Entry'!E$6)/('Advanced Entry'!E$7-'Advanced Entry'!E$6)),1))),"No data"))</f>
        <v/>
      </c>
      <c r="F57" s="17">
        <f>IF('Advanced Entry'!F57="","",IFERROR(MAX(0,MIN(10,ROUND(IF('Advanced Entry'!F$8="Decrease Risk",10-10*((IF('Advanced Entry'!F$5="Logarithm",LN(0.001+'Advanced Entry'!F57),IF('Advanced Entry'!F$5="Exponential",EXP('Advanced Entry'!F57),'Advanced Entry'!F57)))-'Advanced Entry'!F$6)/('Advanced Entry'!F$7-'Advanced Entry'!F$6),10*((IF('Advanced Entry'!F$5="Logarithm",LN(0.001+'Advanced Entry'!F57),IF('Advanced Entry'!F$5="Exponential",EXP('Advanced Entry'!F57),'Advanced Entry'!F57)))-'Advanced Entry'!F$6)/('Advanced Entry'!F$7-'Advanced Entry'!F$6)),1))),"No data"))</f>
        <v/>
      </c>
      <c r="G57" s="17">
        <f>IF('Advanced Entry'!G57="","",IFERROR(MAX(0,MIN(10,ROUND(IF('Advanced Entry'!G$8="Decrease Risk",10-10*((IF('Advanced Entry'!G$5="Logarithm",LN(0.001+'Advanced Entry'!G57),IF('Advanced Entry'!G$5="Exponential",EXP('Advanced Entry'!G57),'Advanced Entry'!G57)))-'Advanced Entry'!G$6)/('Advanced Entry'!G$7-'Advanced Entry'!G$6),10*((IF('Advanced Entry'!G$5="Logarithm",LN(0.001+'Advanced Entry'!G57),IF('Advanced Entry'!G$5="Exponential",EXP('Advanced Entry'!G57),'Advanced Entry'!G57)))-'Advanced Entry'!G$6)/('Advanced Entry'!G$7-'Advanced Entry'!G$6)),1))),"No data"))</f>
        <v/>
      </c>
      <c r="H57" s="17">
        <f>IF('Advanced Entry'!H57="","",IFERROR(MAX(0,MIN(10,ROUND(IF('Advanced Entry'!H$8="Decrease Risk",10-10*((IF('Advanced Entry'!H$5="Logarithm",LN(0.001+'Advanced Entry'!H57),IF('Advanced Entry'!H$5="Exponential",EXP('Advanced Entry'!H57),'Advanced Entry'!H57)))-'Advanced Entry'!H$6)/('Advanced Entry'!H$7-'Advanced Entry'!H$6),10*((IF('Advanced Entry'!H$5="Logarithm",LN(0.001+'Advanced Entry'!H57),IF('Advanced Entry'!H$5="Exponential",EXP('Advanced Entry'!H57),'Advanced Entry'!H57)))-'Advanced Entry'!H$6)/('Advanced Entry'!H$7-'Advanced Entry'!H$6)),1))),"No data"))</f>
        <v/>
      </c>
      <c r="I57" s="17">
        <f>IF('Advanced Entry'!I57="","",IFERROR(MAX(0,MIN(10,ROUND(IF('Advanced Entry'!I$8="Decrease Risk",10-10*((IF('Advanced Entry'!I$5="Logarithm",LN(0.001+'Advanced Entry'!I57),IF('Advanced Entry'!I$5="Exponential",EXP('Advanced Entry'!I57),'Advanced Entry'!I57)))-'Advanced Entry'!I$6)/('Advanced Entry'!I$7-'Advanced Entry'!I$6),10*((IF('Advanced Entry'!I$5="Logarithm",LN(0.001+'Advanced Entry'!I57),IF('Advanced Entry'!I$5="Exponential",EXP('Advanced Entry'!I57),'Advanced Entry'!I57)))-'Advanced Entry'!I$6)/('Advanced Entry'!I$7-'Advanced Entry'!I$6)),1))),"No data"))</f>
        <v/>
      </c>
      <c r="J57" s="17">
        <f>IF('Advanced Entry'!J57="","",IFERROR(MAX(0,MIN(10,ROUND(IF('Advanced Entry'!J$8="Decrease Risk",10-10*((IF('Advanced Entry'!J$5="Logarithm",LN(0.001+'Advanced Entry'!J57),IF('Advanced Entry'!J$5="Exponential",EXP('Advanced Entry'!J57),'Advanced Entry'!J57)))-'Advanced Entry'!J$6)/('Advanced Entry'!J$7-'Advanced Entry'!J$6),10*((IF('Advanced Entry'!J$5="Logarithm",LN(0.001+'Advanced Entry'!J57),IF('Advanced Entry'!J$5="Exponential",EXP('Advanced Entry'!J57),'Advanced Entry'!J57)))-'Advanced Entry'!J$6)/('Advanced Entry'!J$7-'Advanced Entry'!J$6)),1))),"No data"))</f>
        <v/>
      </c>
      <c r="K57" s="17">
        <f>IF('Advanced Entry'!K57="","",IFERROR(MAX(0,MIN(10,ROUND(IF('Advanced Entry'!K$8="Decrease Risk",10-10*((IF('Advanced Entry'!K$5="Logarithm",LN(0.001+'Advanced Entry'!K57),IF('Advanced Entry'!K$5="Exponential",EXP('Advanced Entry'!K57),'Advanced Entry'!K57)))-'Advanced Entry'!K$6)/('Advanced Entry'!K$7-'Advanced Entry'!K$6),10*((IF('Advanced Entry'!K$5="Logarithm",LN(0.001+'Advanced Entry'!K57),IF('Advanced Entry'!K$5="Exponential",EXP('Advanced Entry'!K57),'Advanced Entry'!K57)))-'Advanced Entry'!K$6)/('Advanced Entry'!K$7-'Advanced Entry'!K$6)),1))),"No data"))</f>
        <v/>
      </c>
      <c r="L57" s="17">
        <f>IF('Advanced Entry'!L57="","",IFERROR(MAX(0,MIN(10,ROUND(IF('Advanced Entry'!L$8="Decrease Risk",10-10*((IF('Advanced Entry'!L$5="Logarithm",LN(0.001+'Advanced Entry'!L57),IF('Advanced Entry'!L$5="Exponential",EXP('Advanced Entry'!L57),'Advanced Entry'!L57)))-'Advanced Entry'!L$6)/('Advanced Entry'!L$7-'Advanced Entry'!L$6),10*((IF('Advanced Entry'!L$5="Logarithm",LN(0.001+'Advanced Entry'!L57),IF('Advanced Entry'!L$5="Exponential",EXP('Advanced Entry'!L57),'Advanced Entry'!L57)))-'Advanced Entry'!L$6)/('Advanced Entry'!L$7-'Advanced Entry'!L$6)),1))),"No data"))</f>
        <v/>
      </c>
      <c r="M57" s="17">
        <f>IF('Advanced Entry'!M57="","",IFERROR(MAX(0,MIN(10,ROUND(IF('Advanced Entry'!M$8="Decrease Risk",10-10*((IF('Advanced Entry'!M$5="Logarithm",LN(0.001+'Advanced Entry'!M57),IF('Advanced Entry'!M$5="Exponential",EXP('Advanced Entry'!M57),'Advanced Entry'!M57)))-'Advanced Entry'!M$6)/('Advanced Entry'!M$7-'Advanced Entry'!M$6),10*((IF('Advanced Entry'!M$5="Logarithm",LN(0.001+'Advanced Entry'!M57),IF('Advanced Entry'!M$5="Exponential",EXP('Advanced Entry'!M57),'Advanced Entry'!M57)))-'Advanced Entry'!M$6)/('Advanced Entry'!M$7-'Advanced Entry'!M$6)),1))),"No data"))</f>
        <v/>
      </c>
      <c r="N57" s="17">
        <f>IF('Advanced Entry'!N57="","",IFERROR(MAX(0,MIN(10,ROUND(IF('Advanced Entry'!N$8="Decrease Risk",10-10*((IF('Advanced Entry'!N$5="Logarithm",LN(0.001+'Advanced Entry'!N57),IF('Advanced Entry'!N$5="Exponential",EXP('Advanced Entry'!N57),'Advanced Entry'!N57)))-'Advanced Entry'!N$6)/('Advanced Entry'!N$7-'Advanced Entry'!N$6),10*((IF('Advanced Entry'!N$5="Logarithm",LN(0.001+'Advanced Entry'!N57),IF('Advanced Entry'!N$5="Exponential",EXP('Advanced Entry'!N57),'Advanced Entry'!N57)))-'Advanced Entry'!N$6)/('Advanced Entry'!N$7-'Advanced Entry'!N$6)),1))),"No data"))</f>
        <v/>
      </c>
      <c r="O57" s="17">
        <f>IF('Advanced Entry'!O57="","",IFERROR(MAX(0,MIN(10,ROUND(IF('Advanced Entry'!O$8="Decrease Risk",10-10*((IF('Advanced Entry'!O$5="Logarithm",LN(0.001+'Advanced Entry'!O57),IF('Advanced Entry'!O$5="Exponential",EXP('Advanced Entry'!O57),'Advanced Entry'!O57)))-'Advanced Entry'!O$6)/('Advanced Entry'!O$7-'Advanced Entry'!O$6),10*((IF('Advanced Entry'!O$5="Logarithm",LN(0.001+'Advanced Entry'!O57),IF('Advanced Entry'!O$5="Exponential",EXP('Advanced Entry'!O57),'Advanced Entry'!O57)))-'Advanced Entry'!O$6)/('Advanced Entry'!O$7-'Advanced Entry'!O$6)),1))),"No data"))</f>
        <v/>
      </c>
      <c r="P57" s="17">
        <f>IF('Advanced Entry'!P57="","",IFERROR(MAX(0,MIN(10,ROUND(IF('Advanced Entry'!P$8="Decrease Risk",10-10*((IF('Advanced Entry'!P$5="Logarithm",LN(0.001+'Advanced Entry'!P57),IF('Advanced Entry'!P$5="Exponential",EXP('Advanced Entry'!P57),'Advanced Entry'!P57)))-'Advanced Entry'!P$6)/('Advanced Entry'!P$7-'Advanced Entry'!P$6),10*((IF('Advanced Entry'!P$5="Logarithm",LN(0.001+'Advanced Entry'!P57),IF('Advanced Entry'!P$5="Exponential",EXP('Advanced Entry'!P57),'Advanced Entry'!P57)))-'Advanced Entry'!P$6)/('Advanced Entry'!P$7-'Advanced Entry'!P$6)),1))),"No data"))</f>
        <v/>
      </c>
      <c r="Q57" s="17">
        <f>IF('Advanced Entry'!Q57="","",IFERROR(MAX(0,MIN(10,ROUND(IF('Advanced Entry'!Q$8="Decrease Risk",10-10*((IF('Advanced Entry'!Q$5="Logarithm",LN(0.001+'Advanced Entry'!Q57),IF('Advanced Entry'!Q$5="Exponential",EXP('Advanced Entry'!Q57),'Advanced Entry'!Q57)))-'Advanced Entry'!Q$6)/('Advanced Entry'!Q$7-'Advanced Entry'!Q$6),10*((IF('Advanced Entry'!Q$5="Logarithm",LN(0.001+'Advanced Entry'!Q57),IF('Advanced Entry'!Q$5="Exponential",EXP('Advanced Entry'!Q57),'Advanced Entry'!Q57)))-'Advanced Entry'!Q$6)/('Advanced Entry'!Q$7-'Advanced Entry'!Q$6)),1))),"No data"))</f>
        <v/>
      </c>
      <c r="R57" s="17">
        <f>IF('Advanced Entry'!R57="","",IFERROR(MAX(0,MIN(10,ROUND(IF('Advanced Entry'!R$8="Decrease Risk",10-10*((IF('Advanced Entry'!R$5="Logarithm",LN(0.001+'Advanced Entry'!R57),IF('Advanced Entry'!R$5="Exponential",EXP('Advanced Entry'!R57),'Advanced Entry'!R57)))-'Advanced Entry'!R$6)/('Advanced Entry'!R$7-'Advanced Entry'!R$6),10*((IF('Advanced Entry'!R$5="Logarithm",LN(0.001+'Advanced Entry'!R57),IF('Advanced Entry'!R$5="Exponential",EXP('Advanced Entry'!R57),'Advanced Entry'!R57)))-'Advanced Entry'!R$6)/('Advanced Entry'!R$7-'Advanced Entry'!R$6)),1))),"No data"))</f>
        <v/>
      </c>
      <c r="S57" s="17">
        <f>IF('Advanced Entry'!S57="","",IFERROR(MAX(0,MIN(10,ROUND(IF('Advanced Entry'!S$8="Decrease Risk",10-10*((IF('Advanced Entry'!S$5="Logarithm",LN(0.001+'Advanced Entry'!S57),IF('Advanced Entry'!S$5="Exponential",EXP('Advanced Entry'!S57),'Advanced Entry'!S57)))-'Advanced Entry'!S$6)/('Advanced Entry'!S$7-'Advanced Entry'!S$6),10*((IF('Advanced Entry'!S$5="Logarithm",LN(0.001+'Advanced Entry'!S57),IF('Advanced Entry'!S$5="Exponential",EXP('Advanced Entry'!S57),'Advanced Entry'!S57)))-'Advanced Entry'!S$6)/('Advanced Entry'!S$7-'Advanced Entry'!S$6)),1))),"No data"))</f>
        <v/>
      </c>
      <c r="T57" s="17">
        <f>IF('Advanced Entry'!T57="","",IFERROR(MAX(0,MIN(10,ROUND(IF('Advanced Entry'!T$8="Decrease Risk",10-10*((IF('Advanced Entry'!T$5="Logarithm",LN(0.001+'Advanced Entry'!T57),IF('Advanced Entry'!T$5="Exponential",EXP('Advanced Entry'!T57),'Advanced Entry'!T57)))-'Advanced Entry'!T$6)/('Advanced Entry'!T$7-'Advanced Entry'!T$6),10*((IF('Advanced Entry'!T$5="Logarithm",LN(0.001+'Advanced Entry'!T57),IF('Advanced Entry'!T$5="Exponential",EXP('Advanced Entry'!T57),'Advanced Entry'!T57)))-'Advanced Entry'!T$6)/('Advanced Entry'!T$7-'Advanced Entry'!T$6)),1))),"No data"))</f>
        <v/>
      </c>
      <c r="U57" s="17">
        <f>IF('Advanced Entry'!U57="","",IFERROR(MAX(0,MIN(10,ROUND(IF('Advanced Entry'!U$8="Decrease Risk",10-10*((IF('Advanced Entry'!U$5="Logarithm",LN(0.001+'Advanced Entry'!U57),IF('Advanced Entry'!U$5="Exponential",EXP('Advanced Entry'!U57),'Advanced Entry'!U57)))-'Advanced Entry'!U$6)/('Advanced Entry'!U$7-'Advanced Entry'!U$6),10*((IF('Advanced Entry'!U$5="Logarithm",LN(0.001+'Advanced Entry'!U57),IF('Advanced Entry'!U$5="Exponential",EXP('Advanced Entry'!U57),'Advanced Entry'!U57)))-'Advanced Entry'!U$6)/('Advanced Entry'!U$7-'Advanced Entry'!U$6)),1))),"No data"))</f>
        <v/>
      </c>
      <c r="V57" s="17">
        <f>IF('Advanced Entry'!V57="","",IFERROR(MAX(0,MIN(10,ROUND(IF('Advanced Entry'!V$8="Decrease Risk",10-10*((IF('Advanced Entry'!V$5="Logarithm",LN(0.001+'Advanced Entry'!V57),IF('Advanced Entry'!V$5="Exponential",EXP('Advanced Entry'!V57),'Advanced Entry'!V57)))-'Advanced Entry'!V$6)/('Advanced Entry'!V$7-'Advanced Entry'!V$6),10*((IF('Advanced Entry'!V$5="Logarithm",LN(0.001+'Advanced Entry'!V57),IF('Advanced Entry'!V$5="Exponential",EXP('Advanced Entry'!V57),'Advanced Entry'!V57)))-'Advanced Entry'!V$6)/('Advanced Entry'!V$7-'Advanced Entry'!V$6)),1))),"No data"))</f>
        <v/>
      </c>
      <c r="W57" s="17">
        <f>IF('Advanced Entry'!W57="","",IFERROR(MAX(0,MIN(10,ROUND(IF('Advanced Entry'!W$8="Decrease Risk",10-10*((IF('Advanced Entry'!W$5="Logarithm",LN(0.001+'Advanced Entry'!W57),IF('Advanced Entry'!W$5="Exponential",EXP('Advanced Entry'!W57),'Advanced Entry'!W57)))-'Advanced Entry'!W$6)/('Advanced Entry'!W$7-'Advanced Entry'!W$6),10*((IF('Advanced Entry'!W$5="Logarithm",LN(0.001+'Advanced Entry'!W57),IF('Advanced Entry'!W$5="Exponential",EXP('Advanced Entry'!W57),'Advanced Entry'!W57)))-'Advanced Entry'!W$6)/('Advanced Entry'!W$7-'Advanced Entry'!W$6)),1))),"No data"))</f>
        <v/>
      </c>
      <c r="X57" s="17">
        <f>IF('Advanced Entry'!X57="","",IFERROR(MAX(0,MIN(10,ROUND(IF('Advanced Entry'!X$8="Decrease Risk",10-10*((IF('Advanced Entry'!X$5="Logarithm",LN(0.001+'Advanced Entry'!X57),IF('Advanced Entry'!X$5="Exponential",EXP('Advanced Entry'!X57),'Advanced Entry'!X57)))-'Advanced Entry'!X$6)/('Advanced Entry'!X$7-'Advanced Entry'!X$6),10*((IF('Advanced Entry'!X$5="Logarithm",LN(0.001+'Advanced Entry'!X57),IF('Advanced Entry'!X$5="Exponential",EXP('Advanced Entry'!X57),'Advanced Entry'!X57)))-'Advanced Entry'!X$6)/('Advanced Entry'!X$7-'Advanced Entry'!X$6)),1))),"No data"))</f>
        <v/>
      </c>
      <c r="Y57" s="17">
        <f>IF('Advanced Entry'!Y57="","",IFERROR(MAX(0,MIN(10,ROUND(IF('Advanced Entry'!Y$8="Decrease Risk",10-10*((IF('Advanced Entry'!Y$5="Logarithm",LN(0.001+'Advanced Entry'!Y57),IF('Advanced Entry'!Y$5="Exponential",EXP('Advanced Entry'!Y57),'Advanced Entry'!Y57)))-'Advanced Entry'!Y$6)/('Advanced Entry'!Y$7-'Advanced Entry'!Y$6),10*((IF('Advanced Entry'!Y$5="Logarithm",LN(0.001+'Advanced Entry'!Y57),IF('Advanced Entry'!Y$5="Exponential",EXP('Advanced Entry'!Y57),'Advanced Entry'!Y57)))-'Advanced Entry'!Y$6)/('Advanced Entry'!Y$7-'Advanced Entry'!Y$6)),1))),"No data"))</f>
        <v/>
      </c>
      <c r="Z57" s="17">
        <f>IF('Advanced Entry'!Z57="","",IFERROR(MAX(0,MIN(10,ROUND(IF('Advanced Entry'!Z$8="Decrease Risk",10-10*((IF('Advanced Entry'!Z$5="Logarithm",LN(0.001+'Advanced Entry'!Z57),IF('Advanced Entry'!Z$5="Exponential",EXP('Advanced Entry'!Z57),'Advanced Entry'!Z57)))-'Advanced Entry'!Z$6)/('Advanced Entry'!Z$7-'Advanced Entry'!Z$6),10*((IF('Advanced Entry'!Z$5="Logarithm",LN(0.001+'Advanced Entry'!Z57),IF('Advanced Entry'!Z$5="Exponential",EXP('Advanced Entry'!Z57),'Advanced Entry'!Z57)))-'Advanced Entry'!Z$6)/('Advanced Entry'!Z$7-'Advanced Entry'!Z$6)),1))),"No data"))</f>
        <v/>
      </c>
      <c r="AA57" s="17">
        <f>IF('Advanced Entry'!AA57="","",IFERROR(MAX(0,MIN(10,ROUND(IF('Advanced Entry'!AA$8="Decrease Risk",10-10*((IF('Advanced Entry'!AA$5="Logarithm",LN(0.001+'Advanced Entry'!AA57),IF('Advanced Entry'!AA$5="Exponential",EXP('Advanced Entry'!AA57),'Advanced Entry'!AA57)))-'Advanced Entry'!AA$6)/('Advanced Entry'!AA$7-'Advanced Entry'!AA$6),10*((IF('Advanced Entry'!AA$5="Logarithm",LN(0.001+'Advanced Entry'!AA57),IF('Advanced Entry'!AA$5="Exponential",EXP('Advanced Entry'!AA57),'Advanced Entry'!AA57)))-'Advanced Entry'!AA$6)/('Advanced Entry'!AA$7-'Advanced Entry'!AA$6)),1))),"No data"))</f>
        <v/>
      </c>
      <c r="AB57" s="17">
        <f>IF('Advanced Entry'!AB57="","",IFERROR(MAX(0,MIN(10,ROUND(IF('Advanced Entry'!AB$8="Decrease Risk",10-10*((IF('Advanced Entry'!AB$5="Logarithm",LN(0.001+'Advanced Entry'!AB57),IF('Advanced Entry'!AB$5="Exponential",EXP('Advanced Entry'!AB57),'Advanced Entry'!AB57)))-'Advanced Entry'!AB$6)/('Advanced Entry'!AB$7-'Advanced Entry'!AB$6),10*((IF('Advanced Entry'!AB$5="Logarithm",LN(0.001+'Advanced Entry'!AB57),IF('Advanced Entry'!AB$5="Exponential",EXP('Advanced Entry'!AB57),'Advanced Entry'!AB57)))-'Advanced Entry'!AB$6)/('Advanced Entry'!AB$7-'Advanced Entry'!AB$6)),1))),"No data"))</f>
        <v/>
      </c>
    </row>
    <row r="58">
      <c r="A58" t="inlineStr">
        <is>
          <t>Katavi</t>
        </is>
      </c>
      <c r="B58" t="inlineStr">
        <is>
          <t>Tanganyika District</t>
        </is>
      </c>
      <c r="C58" t="inlineStr">
        <is>
          <t>C165</t>
        </is>
      </c>
      <c r="D58" s="17">
        <f>IF('Advanced Entry'!D58="","",IFERROR(MAX(0,MIN(10,ROUND(IF('Advanced Entry'!D$8="Decrease Risk",10-10*((IF('Advanced Entry'!D$5="Logarithm",LN(0.001+'Advanced Entry'!D58),IF('Advanced Entry'!D$5="Exponential",EXP('Advanced Entry'!D58),'Advanced Entry'!D58)))-'Advanced Entry'!D$6)/('Advanced Entry'!D$7-'Advanced Entry'!D$6),10*((IF('Advanced Entry'!D$5="Logarithm",LN(0.001+'Advanced Entry'!D58),IF('Advanced Entry'!D$5="Exponential",EXP('Advanced Entry'!D58),'Advanced Entry'!D58)))-'Advanced Entry'!D$6)/('Advanced Entry'!D$7-'Advanced Entry'!D$6)),1))),"No data"))</f>
        <v/>
      </c>
      <c r="E58" s="17">
        <f>IF('Advanced Entry'!E58="","",IFERROR(MAX(0,MIN(10,ROUND(IF('Advanced Entry'!E$8="Decrease Risk",10-10*((IF('Advanced Entry'!E$5="Logarithm",LN(0.001+'Advanced Entry'!E58),IF('Advanced Entry'!E$5="Exponential",EXP('Advanced Entry'!E58),'Advanced Entry'!E58)))-'Advanced Entry'!E$6)/('Advanced Entry'!E$7-'Advanced Entry'!E$6),10*((IF('Advanced Entry'!E$5="Logarithm",LN(0.001+'Advanced Entry'!E58),IF('Advanced Entry'!E$5="Exponential",EXP('Advanced Entry'!E58),'Advanced Entry'!E58)))-'Advanced Entry'!E$6)/('Advanced Entry'!E$7-'Advanced Entry'!E$6)),1))),"No data"))</f>
        <v/>
      </c>
      <c r="F58" s="17">
        <f>IF('Advanced Entry'!F58="","",IFERROR(MAX(0,MIN(10,ROUND(IF('Advanced Entry'!F$8="Decrease Risk",10-10*((IF('Advanced Entry'!F$5="Logarithm",LN(0.001+'Advanced Entry'!F58),IF('Advanced Entry'!F$5="Exponential",EXP('Advanced Entry'!F58),'Advanced Entry'!F58)))-'Advanced Entry'!F$6)/('Advanced Entry'!F$7-'Advanced Entry'!F$6),10*((IF('Advanced Entry'!F$5="Logarithm",LN(0.001+'Advanced Entry'!F58),IF('Advanced Entry'!F$5="Exponential",EXP('Advanced Entry'!F58),'Advanced Entry'!F58)))-'Advanced Entry'!F$6)/('Advanced Entry'!F$7-'Advanced Entry'!F$6)),1))),"No data"))</f>
        <v/>
      </c>
      <c r="G58" s="17">
        <f>IF('Advanced Entry'!G58="","",IFERROR(MAX(0,MIN(10,ROUND(IF('Advanced Entry'!G$8="Decrease Risk",10-10*((IF('Advanced Entry'!G$5="Logarithm",LN(0.001+'Advanced Entry'!G58),IF('Advanced Entry'!G$5="Exponential",EXP('Advanced Entry'!G58),'Advanced Entry'!G58)))-'Advanced Entry'!G$6)/('Advanced Entry'!G$7-'Advanced Entry'!G$6),10*((IF('Advanced Entry'!G$5="Logarithm",LN(0.001+'Advanced Entry'!G58),IF('Advanced Entry'!G$5="Exponential",EXP('Advanced Entry'!G58),'Advanced Entry'!G58)))-'Advanced Entry'!G$6)/('Advanced Entry'!G$7-'Advanced Entry'!G$6)),1))),"No data"))</f>
        <v/>
      </c>
      <c r="H58" s="17">
        <f>IF('Advanced Entry'!H58="","",IFERROR(MAX(0,MIN(10,ROUND(IF('Advanced Entry'!H$8="Decrease Risk",10-10*((IF('Advanced Entry'!H$5="Logarithm",LN(0.001+'Advanced Entry'!H58),IF('Advanced Entry'!H$5="Exponential",EXP('Advanced Entry'!H58),'Advanced Entry'!H58)))-'Advanced Entry'!H$6)/('Advanced Entry'!H$7-'Advanced Entry'!H$6),10*((IF('Advanced Entry'!H$5="Logarithm",LN(0.001+'Advanced Entry'!H58),IF('Advanced Entry'!H$5="Exponential",EXP('Advanced Entry'!H58),'Advanced Entry'!H58)))-'Advanced Entry'!H$6)/('Advanced Entry'!H$7-'Advanced Entry'!H$6)),1))),"No data"))</f>
        <v/>
      </c>
      <c r="I58" s="17">
        <f>IF('Advanced Entry'!I58="","",IFERROR(MAX(0,MIN(10,ROUND(IF('Advanced Entry'!I$8="Decrease Risk",10-10*((IF('Advanced Entry'!I$5="Logarithm",LN(0.001+'Advanced Entry'!I58),IF('Advanced Entry'!I$5="Exponential",EXP('Advanced Entry'!I58),'Advanced Entry'!I58)))-'Advanced Entry'!I$6)/('Advanced Entry'!I$7-'Advanced Entry'!I$6),10*((IF('Advanced Entry'!I$5="Logarithm",LN(0.001+'Advanced Entry'!I58),IF('Advanced Entry'!I$5="Exponential",EXP('Advanced Entry'!I58),'Advanced Entry'!I58)))-'Advanced Entry'!I$6)/('Advanced Entry'!I$7-'Advanced Entry'!I$6)),1))),"No data"))</f>
        <v/>
      </c>
      <c r="J58" s="17">
        <f>IF('Advanced Entry'!J58="","",IFERROR(MAX(0,MIN(10,ROUND(IF('Advanced Entry'!J$8="Decrease Risk",10-10*((IF('Advanced Entry'!J$5="Logarithm",LN(0.001+'Advanced Entry'!J58),IF('Advanced Entry'!J$5="Exponential",EXP('Advanced Entry'!J58),'Advanced Entry'!J58)))-'Advanced Entry'!J$6)/('Advanced Entry'!J$7-'Advanced Entry'!J$6),10*((IF('Advanced Entry'!J$5="Logarithm",LN(0.001+'Advanced Entry'!J58),IF('Advanced Entry'!J$5="Exponential",EXP('Advanced Entry'!J58),'Advanced Entry'!J58)))-'Advanced Entry'!J$6)/('Advanced Entry'!J$7-'Advanced Entry'!J$6)),1))),"No data"))</f>
        <v/>
      </c>
      <c r="K58" s="17">
        <f>IF('Advanced Entry'!K58="","",IFERROR(MAX(0,MIN(10,ROUND(IF('Advanced Entry'!K$8="Decrease Risk",10-10*((IF('Advanced Entry'!K$5="Logarithm",LN(0.001+'Advanced Entry'!K58),IF('Advanced Entry'!K$5="Exponential",EXP('Advanced Entry'!K58),'Advanced Entry'!K58)))-'Advanced Entry'!K$6)/('Advanced Entry'!K$7-'Advanced Entry'!K$6),10*((IF('Advanced Entry'!K$5="Logarithm",LN(0.001+'Advanced Entry'!K58),IF('Advanced Entry'!K$5="Exponential",EXP('Advanced Entry'!K58),'Advanced Entry'!K58)))-'Advanced Entry'!K$6)/('Advanced Entry'!K$7-'Advanced Entry'!K$6)),1))),"No data"))</f>
        <v/>
      </c>
      <c r="L58" s="17">
        <f>IF('Advanced Entry'!L58="","",IFERROR(MAX(0,MIN(10,ROUND(IF('Advanced Entry'!L$8="Decrease Risk",10-10*((IF('Advanced Entry'!L$5="Logarithm",LN(0.001+'Advanced Entry'!L58),IF('Advanced Entry'!L$5="Exponential",EXP('Advanced Entry'!L58),'Advanced Entry'!L58)))-'Advanced Entry'!L$6)/('Advanced Entry'!L$7-'Advanced Entry'!L$6),10*((IF('Advanced Entry'!L$5="Logarithm",LN(0.001+'Advanced Entry'!L58),IF('Advanced Entry'!L$5="Exponential",EXP('Advanced Entry'!L58),'Advanced Entry'!L58)))-'Advanced Entry'!L$6)/('Advanced Entry'!L$7-'Advanced Entry'!L$6)),1))),"No data"))</f>
        <v/>
      </c>
      <c r="M58" s="17">
        <f>IF('Advanced Entry'!M58="","",IFERROR(MAX(0,MIN(10,ROUND(IF('Advanced Entry'!M$8="Decrease Risk",10-10*((IF('Advanced Entry'!M$5="Logarithm",LN(0.001+'Advanced Entry'!M58),IF('Advanced Entry'!M$5="Exponential",EXP('Advanced Entry'!M58),'Advanced Entry'!M58)))-'Advanced Entry'!M$6)/('Advanced Entry'!M$7-'Advanced Entry'!M$6),10*((IF('Advanced Entry'!M$5="Logarithm",LN(0.001+'Advanced Entry'!M58),IF('Advanced Entry'!M$5="Exponential",EXP('Advanced Entry'!M58),'Advanced Entry'!M58)))-'Advanced Entry'!M$6)/('Advanced Entry'!M$7-'Advanced Entry'!M$6)),1))),"No data"))</f>
        <v/>
      </c>
      <c r="N58" s="17">
        <f>IF('Advanced Entry'!N58="","",IFERROR(MAX(0,MIN(10,ROUND(IF('Advanced Entry'!N$8="Decrease Risk",10-10*((IF('Advanced Entry'!N$5="Logarithm",LN(0.001+'Advanced Entry'!N58),IF('Advanced Entry'!N$5="Exponential",EXP('Advanced Entry'!N58),'Advanced Entry'!N58)))-'Advanced Entry'!N$6)/('Advanced Entry'!N$7-'Advanced Entry'!N$6),10*((IF('Advanced Entry'!N$5="Logarithm",LN(0.001+'Advanced Entry'!N58),IF('Advanced Entry'!N$5="Exponential",EXP('Advanced Entry'!N58),'Advanced Entry'!N58)))-'Advanced Entry'!N$6)/('Advanced Entry'!N$7-'Advanced Entry'!N$6)),1))),"No data"))</f>
        <v/>
      </c>
      <c r="O58" s="17">
        <f>IF('Advanced Entry'!O58="","",IFERROR(MAX(0,MIN(10,ROUND(IF('Advanced Entry'!O$8="Decrease Risk",10-10*((IF('Advanced Entry'!O$5="Logarithm",LN(0.001+'Advanced Entry'!O58),IF('Advanced Entry'!O$5="Exponential",EXP('Advanced Entry'!O58),'Advanced Entry'!O58)))-'Advanced Entry'!O$6)/('Advanced Entry'!O$7-'Advanced Entry'!O$6),10*((IF('Advanced Entry'!O$5="Logarithm",LN(0.001+'Advanced Entry'!O58),IF('Advanced Entry'!O$5="Exponential",EXP('Advanced Entry'!O58),'Advanced Entry'!O58)))-'Advanced Entry'!O$6)/('Advanced Entry'!O$7-'Advanced Entry'!O$6)),1))),"No data"))</f>
        <v/>
      </c>
      <c r="P58" s="17">
        <f>IF('Advanced Entry'!P58="","",IFERROR(MAX(0,MIN(10,ROUND(IF('Advanced Entry'!P$8="Decrease Risk",10-10*((IF('Advanced Entry'!P$5="Logarithm",LN(0.001+'Advanced Entry'!P58),IF('Advanced Entry'!P$5="Exponential",EXP('Advanced Entry'!P58),'Advanced Entry'!P58)))-'Advanced Entry'!P$6)/('Advanced Entry'!P$7-'Advanced Entry'!P$6),10*((IF('Advanced Entry'!P$5="Logarithm",LN(0.001+'Advanced Entry'!P58),IF('Advanced Entry'!P$5="Exponential",EXP('Advanced Entry'!P58),'Advanced Entry'!P58)))-'Advanced Entry'!P$6)/('Advanced Entry'!P$7-'Advanced Entry'!P$6)),1))),"No data"))</f>
        <v/>
      </c>
      <c r="Q58" s="17">
        <f>IF('Advanced Entry'!Q58="","",IFERROR(MAX(0,MIN(10,ROUND(IF('Advanced Entry'!Q$8="Decrease Risk",10-10*((IF('Advanced Entry'!Q$5="Logarithm",LN(0.001+'Advanced Entry'!Q58),IF('Advanced Entry'!Q$5="Exponential",EXP('Advanced Entry'!Q58),'Advanced Entry'!Q58)))-'Advanced Entry'!Q$6)/('Advanced Entry'!Q$7-'Advanced Entry'!Q$6),10*((IF('Advanced Entry'!Q$5="Logarithm",LN(0.001+'Advanced Entry'!Q58),IF('Advanced Entry'!Q$5="Exponential",EXP('Advanced Entry'!Q58),'Advanced Entry'!Q58)))-'Advanced Entry'!Q$6)/('Advanced Entry'!Q$7-'Advanced Entry'!Q$6)),1))),"No data"))</f>
        <v/>
      </c>
      <c r="R58" s="17">
        <f>IF('Advanced Entry'!R58="","",IFERROR(MAX(0,MIN(10,ROUND(IF('Advanced Entry'!R$8="Decrease Risk",10-10*((IF('Advanced Entry'!R$5="Logarithm",LN(0.001+'Advanced Entry'!R58),IF('Advanced Entry'!R$5="Exponential",EXP('Advanced Entry'!R58),'Advanced Entry'!R58)))-'Advanced Entry'!R$6)/('Advanced Entry'!R$7-'Advanced Entry'!R$6),10*((IF('Advanced Entry'!R$5="Logarithm",LN(0.001+'Advanced Entry'!R58),IF('Advanced Entry'!R$5="Exponential",EXP('Advanced Entry'!R58),'Advanced Entry'!R58)))-'Advanced Entry'!R$6)/('Advanced Entry'!R$7-'Advanced Entry'!R$6)),1))),"No data"))</f>
        <v/>
      </c>
      <c r="S58" s="17">
        <f>IF('Advanced Entry'!S58="","",IFERROR(MAX(0,MIN(10,ROUND(IF('Advanced Entry'!S$8="Decrease Risk",10-10*((IF('Advanced Entry'!S$5="Logarithm",LN(0.001+'Advanced Entry'!S58),IF('Advanced Entry'!S$5="Exponential",EXP('Advanced Entry'!S58),'Advanced Entry'!S58)))-'Advanced Entry'!S$6)/('Advanced Entry'!S$7-'Advanced Entry'!S$6),10*((IF('Advanced Entry'!S$5="Logarithm",LN(0.001+'Advanced Entry'!S58),IF('Advanced Entry'!S$5="Exponential",EXP('Advanced Entry'!S58),'Advanced Entry'!S58)))-'Advanced Entry'!S$6)/('Advanced Entry'!S$7-'Advanced Entry'!S$6)),1))),"No data"))</f>
        <v/>
      </c>
      <c r="T58" s="17">
        <f>IF('Advanced Entry'!T58="","",IFERROR(MAX(0,MIN(10,ROUND(IF('Advanced Entry'!T$8="Decrease Risk",10-10*((IF('Advanced Entry'!T$5="Logarithm",LN(0.001+'Advanced Entry'!T58),IF('Advanced Entry'!T$5="Exponential",EXP('Advanced Entry'!T58),'Advanced Entry'!T58)))-'Advanced Entry'!T$6)/('Advanced Entry'!T$7-'Advanced Entry'!T$6),10*((IF('Advanced Entry'!T$5="Logarithm",LN(0.001+'Advanced Entry'!T58),IF('Advanced Entry'!T$5="Exponential",EXP('Advanced Entry'!T58),'Advanced Entry'!T58)))-'Advanced Entry'!T$6)/('Advanced Entry'!T$7-'Advanced Entry'!T$6)),1))),"No data"))</f>
        <v/>
      </c>
      <c r="U58" s="17">
        <f>IF('Advanced Entry'!U58="","",IFERROR(MAX(0,MIN(10,ROUND(IF('Advanced Entry'!U$8="Decrease Risk",10-10*((IF('Advanced Entry'!U$5="Logarithm",LN(0.001+'Advanced Entry'!U58),IF('Advanced Entry'!U$5="Exponential",EXP('Advanced Entry'!U58),'Advanced Entry'!U58)))-'Advanced Entry'!U$6)/('Advanced Entry'!U$7-'Advanced Entry'!U$6),10*((IF('Advanced Entry'!U$5="Logarithm",LN(0.001+'Advanced Entry'!U58),IF('Advanced Entry'!U$5="Exponential",EXP('Advanced Entry'!U58),'Advanced Entry'!U58)))-'Advanced Entry'!U$6)/('Advanced Entry'!U$7-'Advanced Entry'!U$6)),1))),"No data"))</f>
        <v/>
      </c>
      <c r="V58" s="17">
        <f>IF('Advanced Entry'!V58="","",IFERROR(MAX(0,MIN(10,ROUND(IF('Advanced Entry'!V$8="Decrease Risk",10-10*((IF('Advanced Entry'!V$5="Logarithm",LN(0.001+'Advanced Entry'!V58),IF('Advanced Entry'!V$5="Exponential",EXP('Advanced Entry'!V58),'Advanced Entry'!V58)))-'Advanced Entry'!V$6)/('Advanced Entry'!V$7-'Advanced Entry'!V$6),10*((IF('Advanced Entry'!V$5="Logarithm",LN(0.001+'Advanced Entry'!V58),IF('Advanced Entry'!V$5="Exponential",EXP('Advanced Entry'!V58),'Advanced Entry'!V58)))-'Advanced Entry'!V$6)/('Advanced Entry'!V$7-'Advanced Entry'!V$6)),1))),"No data"))</f>
        <v/>
      </c>
      <c r="W58" s="17">
        <f>IF('Advanced Entry'!W58="","",IFERROR(MAX(0,MIN(10,ROUND(IF('Advanced Entry'!W$8="Decrease Risk",10-10*((IF('Advanced Entry'!W$5="Logarithm",LN(0.001+'Advanced Entry'!W58),IF('Advanced Entry'!W$5="Exponential",EXP('Advanced Entry'!W58),'Advanced Entry'!W58)))-'Advanced Entry'!W$6)/('Advanced Entry'!W$7-'Advanced Entry'!W$6),10*((IF('Advanced Entry'!W$5="Logarithm",LN(0.001+'Advanced Entry'!W58),IF('Advanced Entry'!W$5="Exponential",EXP('Advanced Entry'!W58),'Advanced Entry'!W58)))-'Advanced Entry'!W$6)/('Advanced Entry'!W$7-'Advanced Entry'!W$6)),1))),"No data"))</f>
        <v/>
      </c>
      <c r="X58" s="17">
        <f>IF('Advanced Entry'!X58="","",IFERROR(MAX(0,MIN(10,ROUND(IF('Advanced Entry'!X$8="Decrease Risk",10-10*((IF('Advanced Entry'!X$5="Logarithm",LN(0.001+'Advanced Entry'!X58),IF('Advanced Entry'!X$5="Exponential",EXP('Advanced Entry'!X58),'Advanced Entry'!X58)))-'Advanced Entry'!X$6)/('Advanced Entry'!X$7-'Advanced Entry'!X$6),10*((IF('Advanced Entry'!X$5="Logarithm",LN(0.001+'Advanced Entry'!X58),IF('Advanced Entry'!X$5="Exponential",EXP('Advanced Entry'!X58),'Advanced Entry'!X58)))-'Advanced Entry'!X$6)/('Advanced Entry'!X$7-'Advanced Entry'!X$6)),1))),"No data"))</f>
        <v/>
      </c>
      <c r="Y58" s="17">
        <f>IF('Advanced Entry'!Y58="","",IFERROR(MAX(0,MIN(10,ROUND(IF('Advanced Entry'!Y$8="Decrease Risk",10-10*((IF('Advanced Entry'!Y$5="Logarithm",LN(0.001+'Advanced Entry'!Y58),IF('Advanced Entry'!Y$5="Exponential",EXP('Advanced Entry'!Y58),'Advanced Entry'!Y58)))-'Advanced Entry'!Y$6)/('Advanced Entry'!Y$7-'Advanced Entry'!Y$6),10*((IF('Advanced Entry'!Y$5="Logarithm",LN(0.001+'Advanced Entry'!Y58),IF('Advanced Entry'!Y$5="Exponential",EXP('Advanced Entry'!Y58),'Advanced Entry'!Y58)))-'Advanced Entry'!Y$6)/('Advanced Entry'!Y$7-'Advanced Entry'!Y$6)),1))),"No data"))</f>
        <v/>
      </c>
      <c r="Z58" s="17">
        <f>IF('Advanced Entry'!Z58="","",IFERROR(MAX(0,MIN(10,ROUND(IF('Advanced Entry'!Z$8="Decrease Risk",10-10*((IF('Advanced Entry'!Z$5="Logarithm",LN(0.001+'Advanced Entry'!Z58),IF('Advanced Entry'!Z$5="Exponential",EXP('Advanced Entry'!Z58),'Advanced Entry'!Z58)))-'Advanced Entry'!Z$6)/('Advanced Entry'!Z$7-'Advanced Entry'!Z$6),10*((IF('Advanced Entry'!Z$5="Logarithm",LN(0.001+'Advanced Entry'!Z58),IF('Advanced Entry'!Z$5="Exponential",EXP('Advanced Entry'!Z58),'Advanced Entry'!Z58)))-'Advanced Entry'!Z$6)/('Advanced Entry'!Z$7-'Advanced Entry'!Z$6)),1))),"No data"))</f>
        <v/>
      </c>
      <c r="AA58" s="17">
        <f>IF('Advanced Entry'!AA58="","",IFERROR(MAX(0,MIN(10,ROUND(IF('Advanced Entry'!AA$8="Decrease Risk",10-10*((IF('Advanced Entry'!AA$5="Logarithm",LN(0.001+'Advanced Entry'!AA58),IF('Advanced Entry'!AA$5="Exponential",EXP('Advanced Entry'!AA58),'Advanced Entry'!AA58)))-'Advanced Entry'!AA$6)/('Advanced Entry'!AA$7-'Advanced Entry'!AA$6),10*((IF('Advanced Entry'!AA$5="Logarithm",LN(0.001+'Advanced Entry'!AA58),IF('Advanced Entry'!AA$5="Exponential",EXP('Advanced Entry'!AA58),'Advanced Entry'!AA58)))-'Advanced Entry'!AA$6)/('Advanced Entry'!AA$7-'Advanced Entry'!AA$6)),1))),"No data"))</f>
        <v/>
      </c>
      <c r="AB58" s="17">
        <f>IF('Advanced Entry'!AB58="","",IFERROR(MAX(0,MIN(10,ROUND(IF('Advanced Entry'!AB$8="Decrease Risk",10-10*((IF('Advanced Entry'!AB$5="Logarithm",LN(0.001+'Advanced Entry'!AB58),IF('Advanced Entry'!AB$5="Exponential",EXP('Advanced Entry'!AB58),'Advanced Entry'!AB58)))-'Advanced Entry'!AB$6)/('Advanced Entry'!AB$7-'Advanced Entry'!AB$6),10*((IF('Advanced Entry'!AB$5="Logarithm",LN(0.001+'Advanced Entry'!AB58),IF('Advanced Entry'!AB$5="Exponential",EXP('Advanced Entry'!AB58),'Advanced Entry'!AB58)))-'Advanced Entry'!AB$6)/('Advanced Entry'!AB$7-'Advanced Entry'!AB$6)),1))),"No data"))</f>
        <v/>
      </c>
    </row>
    <row r="59">
      <c r="A59" t="inlineStr">
        <is>
          <t>Kigoma</t>
        </is>
      </c>
      <c r="B59" t="inlineStr">
        <is>
          <t>Buhigwe District</t>
        </is>
      </c>
      <c r="C59" t="inlineStr">
        <is>
          <t>C117</t>
        </is>
      </c>
      <c r="D59" s="17">
        <f>IF('Advanced Entry'!D59="","",IFERROR(MAX(0,MIN(10,ROUND(IF('Advanced Entry'!D$8="Decrease Risk",10-10*((IF('Advanced Entry'!D$5="Logarithm",LN(0.001+'Advanced Entry'!D59),IF('Advanced Entry'!D$5="Exponential",EXP('Advanced Entry'!D59),'Advanced Entry'!D59)))-'Advanced Entry'!D$6)/('Advanced Entry'!D$7-'Advanced Entry'!D$6),10*((IF('Advanced Entry'!D$5="Logarithm",LN(0.001+'Advanced Entry'!D59),IF('Advanced Entry'!D$5="Exponential",EXP('Advanced Entry'!D59),'Advanced Entry'!D59)))-'Advanced Entry'!D$6)/('Advanced Entry'!D$7-'Advanced Entry'!D$6)),1))),"No data"))</f>
        <v/>
      </c>
      <c r="E59" s="17">
        <f>IF('Advanced Entry'!E59="","",IFERROR(MAX(0,MIN(10,ROUND(IF('Advanced Entry'!E$8="Decrease Risk",10-10*((IF('Advanced Entry'!E$5="Logarithm",LN(0.001+'Advanced Entry'!E59),IF('Advanced Entry'!E$5="Exponential",EXP('Advanced Entry'!E59),'Advanced Entry'!E59)))-'Advanced Entry'!E$6)/('Advanced Entry'!E$7-'Advanced Entry'!E$6),10*((IF('Advanced Entry'!E$5="Logarithm",LN(0.001+'Advanced Entry'!E59),IF('Advanced Entry'!E$5="Exponential",EXP('Advanced Entry'!E59),'Advanced Entry'!E59)))-'Advanced Entry'!E$6)/('Advanced Entry'!E$7-'Advanced Entry'!E$6)),1))),"No data"))</f>
        <v/>
      </c>
      <c r="F59" s="17">
        <f>IF('Advanced Entry'!F59="","",IFERROR(MAX(0,MIN(10,ROUND(IF('Advanced Entry'!F$8="Decrease Risk",10-10*((IF('Advanced Entry'!F$5="Logarithm",LN(0.001+'Advanced Entry'!F59),IF('Advanced Entry'!F$5="Exponential",EXP('Advanced Entry'!F59),'Advanced Entry'!F59)))-'Advanced Entry'!F$6)/('Advanced Entry'!F$7-'Advanced Entry'!F$6),10*((IF('Advanced Entry'!F$5="Logarithm",LN(0.001+'Advanced Entry'!F59),IF('Advanced Entry'!F$5="Exponential",EXP('Advanced Entry'!F59),'Advanced Entry'!F59)))-'Advanced Entry'!F$6)/('Advanced Entry'!F$7-'Advanced Entry'!F$6)),1))),"No data"))</f>
        <v/>
      </c>
      <c r="G59" s="17">
        <f>IF('Advanced Entry'!G59="","",IFERROR(MAX(0,MIN(10,ROUND(IF('Advanced Entry'!G$8="Decrease Risk",10-10*((IF('Advanced Entry'!G$5="Logarithm",LN(0.001+'Advanced Entry'!G59),IF('Advanced Entry'!G$5="Exponential",EXP('Advanced Entry'!G59),'Advanced Entry'!G59)))-'Advanced Entry'!G$6)/('Advanced Entry'!G$7-'Advanced Entry'!G$6),10*((IF('Advanced Entry'!G$5="Logarithm",LN(0.001+'Advanced Entry'!G59),IF('Advanced Entry'!G$5="Exponential",EXP('Advanced Entry'!G59),'Advanced Entry'!G59)))-'Advanced Entry'!G$6)/('Advanced Entry'!G$7-'Advanced Entry'!G$6)),1))),"No data"))</f>
        <v/>
      </c>
      <c r="H59" s="17">
        <f>IF('Advanced Entry'!H59="","",IFERROR(MAX(0,MIN(10,ROUND(IF('Advanced Entry'!H$8="Decrease Risk",10-10*((IF('Advanced Entry'!H$5="Logarithm",LN(0.001+'Advanced Entry'!H59),IF('Advanced Entry'!H$5="Exponential",EXP('Advanced Entry'!H59),'Advanced Entry'!H59)))-'Advanced Entry'!H$6)/('Advanced Entry'!H$7-'Advanced Entry'!H$6),10*((IF('Advanced Entry'!H$5="Logarithm",LN(0.001+'Advanced Entry'!H59),IF('Advanced Entry'!H$5="Exponential",EXP('Advanced Entry'!H59),'Advanced Entry'!H59)))-'Advanced Entry'!H$6)/('Advanced Entry'!H$7-'Advanced Entry'!H$6)),1))),"No data"))</f>
        <v/>
      </c>
      <c r="I59" s="17">
        <f>IF('Advanced Entry'!I59="","",IFERROR(MAX(0,MIN(10,ROUND(IF('Advanced Entry'!I$8="Decrease Risk",10-10*((IF('Advanced Entry'!I$5="Logarithm",LN(0.001+'Advanced Entry'!I59),IF('Advanced Entry'!I$5="Exponential",EXP('Advanced Entry'!I59),'Advanced Entry'!I59)))-'Advanced Entry'!I$6)/('Advanced Entry'!I$7-'Advanced Entry'!I$6),10*((IF('Advanced Entry'!I$5="Logarithm",LN(0.001+'Advanced Entry'!I59),IF('Advanced Entry'!I$5="Exponential",EXP('Advanced Entry'!I59),'Advanced Entry'!I59)))-'Advanced Entry'!I$6)/('Advanced Entry'!I$7-'Advanced Entry'!I$6)),1))),"No data"))</f>
        <v/>
      </c>
      <c r="J59" s="17">
        <f>IF('Advanced Entry'!J59="","",IFERROR(MAX(0,MIN(10,ROUND(IF('Advanced Entry'!J$8="Decrease Risk",10-10*((IF('Advanced Entry'!J$5="Logarithm",LN(0.001+'Advanced Entry'!J59),IF('Advanced Entry'!J$5="Exponential",EXP('Advanced Entry'!J59),'Advanced Entry'!J59)))-'Advanced Entry'!J$6)/('Advanced Entry'!J$7-'Advanced Entry'!J$6),10*((IF('Advanced Entry'!J$5="Logarithm",LN(0.001+'Advanced Entry'!J59),IF('Advanced Entry'!J$5="Exponential",EXP('Advanced Entry'!J59),'Advanced Entry'!J59)))-'Advanced Entry'!J$6)/('Advanced Entry'!J$7-'Advanced Entry'!J$6)),1))),"No data"))</f>
        <v/>
      </c>
      <c r="K59" s="17">
        <f>IF('Advanced Entry'!K59="","",IFERROR(MAX(0,MIN(10,ROUND(IF('Advanced Entry'!K$8="Decrease Risk",10-10*((IF('Advanced Entry'!K$5="Logarithm",LN(0.001+'Advanced Entry'!K59),IF('Advanced Entry'!K$5="Exponential",EXP('Advanced Entry'!K59),'Advanced Entry'!K59)))-'Advanced Entry'!K$6)/('Advanced Entry'!K$7-'Advanced Entry'!K$6),10*((IF('Advanced Entry'!K$5="Logarithm",LN(0.001+'Advanced Entry'!K59),IF('Advanced Entry'!K$5="Exponential",EXP('Advanced Entry'!K59),'Advanced Entry'!K59)))-'Advanced Entry'!K$6)/('Advanced Entry'!K$7-'Advanced Entry'!K$6)),1))),"No data"))</f>
        <v/>
      </c>
      <c r="L59" s="17">
        <f>IF('Advanced Entry'!L59="","",IFERROR(MAX(0,MIN(10,ROUND(IF('Advanced Entry'!L$8="Decrease Risk",10-10*((IF('Advanced Entry'!L$5="Logarithm",LN(0.001+'Advanced Entry'!L59),IF('Advanced Entry'!L$5="Exponential",EXP('Advanced Entry'!L59),'Advanced Entry'!L59)))-'Advanced Entry'!L$6)/('Advanced Entry'!L$7-'Advanced Entry'!L$6),10*((IF('Advanced Entry'!L$5="Logarithm",LN(0.001+'Advanced Entry'!L59),IF('Advanced Entry'!L$5="Exponential",EXP('Advanced Entry'!L59),'Advanced Entry'!L59)))-'Advanced Entry'!L$6)/('Advanced Entry'!L$7-'Advanced Entry'!L$6)),1))),"No data"))</f>
        <v/>
      </c>
      <c r="M59" s="17">
        <f>IF('Advanced Entry'!M59="","",IFERROR(MAX(0,MIN(10,ROUND(IF('Advanced Entry'!M$8="Decrease Risk",10-10*((IF('Advanced Entry'!M$5="Logarithm",LN(0.001+'Advanced Entry'!M59),IF('Advanced Entry'!M$5="Exponential",EXP('Advanced Entry'!M59),'Advanced Entry'!M59)))-'Advanced Entry'!M$6)/('Advanced Entry'!M$7-'Advanced Entry'!M$6),10*((IF('Advanced Entry'!M$5="Logarithm",LN(0.001+'Advanced Entry'!M59),IF('Advanced Entry'!M$5="Exponential",EXP('Advanced Entry'!M59),'Advanced Entry'!M59)))-'Advanced Entry'!M$6)/('Advanced Entry'!M$7-'Advanced Entry'!M$6)),1))),"No data"))</f>
        <v/>
      </c>
      <c r="N59" s="17">
        <f>IF('Advanced Entry'!N59="","",IFERROR(MAX(0,MIN(10,ROUND(IF('Advanced Entry'!N$8="Decrease Risk",10-10*((IF('Advanced Entry'!N$5="Logarithm",LN(0.001+'Advanced Entry'!N59),IF('Advanced Entry'!N$5="Exponential",EXP('Advanced Entry'!N59),'Advanced Entry'!N59)))-'Advanced Entry'!N$6)/('Advanced Entry'!N$7-'Advanced Entry'!N$6),10*((IF('Advanced Entry'!N$5="Logarithm",LN(0.001+'Advanced Entry'!N59),IF('Advanced Entry'!N$5="Exponential",EXP('Advanced Entry'!N59),'Advanced Entry'!N59)))-'Advanced Entry'!N$6)/('Advanced Entry'!N$7-'Advanced Entry'!N$6)),1))),"No data"))</f>
        <v/>
      </c>
      <c r="O59" s="17">
        <f>IF('Advanced Entry'!O59="","",IFERROR(MAX(0,MIN(10,ROUND(IF('Advanced Entry'!O$8="Decrease Risk",10-10*((IF('Advanced Entry'!O$5="Logarithm",LN(0.001+'Advanced Entry'!O59),IF('Advanced Entry'!O$5="Exponential",EXP('Advanced Entry'!O59),'Advanced Entry'!O59)))-'Advanced Entry'!O$6)/('Advanced Entry'!O$7-'Advanced Entry'!O$6),10*((IF('Advanced Entry'!O$5="Logarithm",LN(0.001+'Advanced Entry'!O59),IF('Advanced Entry'!O$5="Exponential",EXP('Advanced Entry'!O59),'Advanced Entry'!O59)))-'Advanced Entry'!O$6)/('Advanced Entry'!O$7-'Advanced Entry'!O$6)),1))),"No data"))</f>
        <v/>
      </c>
      <c r="P59" s="17">
        <f>IF('Advanced Entry'!P59="","",IFERROR(MAX(0,MIN(10,ROUND(IF('Advanced Entry'!P$8="Decrease Risk",10-10*((IF('Advanced Entry'!P$5="Logarithm",LN(0.001+'Advanced Entry'!P59),IF('Advanced Entry'!P$5="Exponential",EXP('Advanced Entry'!P59),'Advanced Entry'!P59)))-'Advanced Entry'!P$6)/('Advanced Entry'!P$7-'Advanced Entry'!P$6),10*((IF('Advanced Entry'!P$5="Logarithm",LN(0.001+'Advanced Entry'!P59),IF('Advanced Entry'!P$5="Exponential",EXP('Advanced Entry'!P59),'Advanced Entry'!P59)))-'Advanced Entry'!P$6)/('Advanced Entry'!P$7-'Advanced Entry'!P$6)),1))),"No data"))</f>
        <v/>
      </c>
      <c r="Q59" s="17">
        <f>IF('Advanced Entry'!Q59="","",IFERROR(MAX(0,MIN(10,ROUND(IF('Advanced Entry'!Q$8="Decrease Risk",10-10*((IF('Advanced Entry'!Q$5="Logarithm",LN(0.001+'Advanced Entry'!Q59),IF('Advanced Entry'!Q$5="Exponential",EXP('Advanced Entry'!Q59),'Advanced Entry'!Q59)))-'Advanced Entry'!Q$6)/('Advanced Entry'!Q$7-'Advanced Entry'!Q$6),10*((IF('Advanced Entry'!Q$5="Logarithm",LN(0.001+'Advanced Entry'!Q59),IF('Advanced Entry'!Q$5="Exponential",EXP('Advanced Entry'!Q59),'Advanced Entry'!Q59)))-'Advanced Entry'!Q$6)/('Advanced Entry'!Q$7-'Advanced Entry'!Q$6)),1))),"No data"))</f>
        <v/>
      </c>
      <c r="R59" s="17">
        <f>IF('Advanced Entry'!R59="","",IFERROR(MAX(0,MIN(10,ROUND(IF('Advanced Entry'!R$8="Decrease Risk",10-10*((IF('Advanced Entry'!R$5="Logarithm",LN(0.001+'Advanced Entry'!R59),IF('Advanced Entry'!R$5="Exponential",EXP('Advanced Entry'!R59),'Advanced Entry'!R59)))-'Advanced Entry'!R$6)/('Advanced Entry'!R$7-'Advanced Entry'!R$6),10*((IF('Advanced Entry'!R$5="Logarithm",LN(0.001+'Advanced Entry'!R59),IF('Advanced Entry'!R$5="Exponential",EXP('Advanced Entry'!R59),'Advanced Entry'!R59)))-'Advanced Entry'!R$6)/('Advanced Entry'!R$7-'Advanced Entry'!R$6)),1))),"No data"))</f>
        <v/>
      </c>
      <c r="S59" s="17">
        <f>IF('Advanced Entry'!S59="","",IFERROR(MAX(0,MIN(10,ROUND(IF('Advanced Entry'!S$8="Decrease Risk",10-10*((IF('Advanced Entry'!S$5="Logarithm",LN(0.001+'Advanced Entry'!S59),IF('Advanced Entry'!S$5="Exponential",EXP('Advanced Entry'!S59),'Advanced Entry'!S59)))-'Advanced Entry'!S$6)/('Advanced Entry'!S$7-'Advanced Entry'!S$6),10*((IF('Advanced Entry'!S$5="Logarithm",LN(0.001+'Advanced Entry'!S59),IF('Advanced Entry'!S$5="Exponential",EXP('Advanced Entry'!S59),'Advanced Entry'!S59)))-'Advanced Entry'!S$6)/('Advanced Entry'!S$7-'Advanced Entry'!S$6)),1))),"No data"))</f>
        <v/>
      </c>
      <c r="T59" s="17">
        <f>IF('Advanced Entry'!T59="","",IFERROR(MAX(0,MIN(10,ROUND(IF('Advanced Entry'!T$8="Decrease Risk",10-10*((IF('Advanced Entry'!T$5="Logarithm",LN(0.001+'Advanced Entry'!T59),IF('Advanced Entry'!T$5="Exponential",EXP('Advanced Entry'!T59),'Advanced Entry'!T59)))-'Advanced Entry'!T$6)/('Advanced Entry'!T$7-'Advanced Entry'!T$6),10*((IF('Advanced Entry'!T$5="Logarithm",LN(0.001+'Advanced Entry'!T59),IF('Advanced Entry'!T$5="Exponential",EXP('Advanced Entry'!T59),'Advanced Entry'!T59)))-'Advanced Entry'!T$6)/('Advanced Entry'!T$7-'Advanced Entry'!T$6)),1))),"No data"))</f>
        <v/>
      </c>
      <c r="U59" s="17">
        <f>IF('Advanced Entry'!U59="","",IFERROR(MAX(0,MIN(10,ROUND(IF('Advanced Entry'!U$8="Decrease Risk",10-10*((IF('Advanced Entry'!U$5="Logarithm",LN(0.001+'Advanced Entry'!U59),IF('Advanced Entry'!U$5="Exponential",EXP('Advanced Entry'!U59),'Advanced Entry'!U59)))-'Advanced Entry'!U$6)/('Advanced Entry'!U$7-'Advanced Entry'!U$6),10*((IF('Advanced Entry'!U$5="Logarithm",LN(0.001+'Advanced Entry'!U59),IF('Advanced Entry'!U$5="Exponential",EXP('Advanced Entry'!U59),'Advanced Entry'!U59)))-'Advanced Entry'!U$6)/('Advanced Entry'!U$7-'Advanced Entry'!U$6)),1))),"No data"))</f>
        <v/>
      </c>
      <c r="V59" s="17">
        <f>IF('Advanced Entry'!V59="","",IFERROR(MAX(0,MIN(10,ROUND(IF('Advanced Entry'!V$8="Decrease Risk",10-10*((IF('Advanced Entry'!V$5="Logarithm",LN(0.001+'Advanced Entry'!V59),IF('Advanced Entry'!V$5="Exponential",EXP('Advanced Entry'!V59),'Advanced Entry'!V59)))-'Advanced Entry'!V$6)/('Advanced Entry'!V$7-'Advanced Entry'!V$6),10*((IF('Advanced Entry'!V$5="Logarithm",LN(0.001+'Advanced Entry'!V59),IF('Advanced Entry'!V$5="Exponential",EXP('Advanced Entry'!V59),'Advanced Entry'!V59)))-'Advanced Entry'!V$6)/('Advanced Entry'!V$7-'Advanced Entry'!V$6)),1))),"No data"))</f>
        <v/>
      </c>
      <c r="W59" s="17">
        <f>IF('Advanced Entry'!W59="","",IFERROR(MAX(0,MIN(10,ROUND(IF('Advanced Entry'!W$8="Decrease Risk",10-10*((IF('Advanced Entry'!W$5="Logarithm",LN(0.001+'Advanced Entry'!W59),IF('Advanced Entry'!W$5="Exponential",EXP('Advanced Entry'!W59),'Advanced Entry'!W59)))-'Advanced Entry'!W$6)/('Advanced Entry'!W$7-'Advanced Entry'!W$6),10*((IF('Advanced Entry'!W$5="Logarithm",LN(0.001+'Advanced Entry'!W59),IF('Advanced Entry'!W$5="Exponential",EXP('Advanced Entry'!W59),'Advanced Entry'!W59)))-'Advanced Entry'!W$6)/('Advanced Entry'!W$7-'Advanced Entry'!W$6)),1))),"No data"))</f>
        <v/>
      </c>
      <c r="X59" s="17">
        <f>IF('Advanced Entry'!X59="","",IFERROR(MAX(0,MIN(10,ROUND(IF('Advanced Entry'!X$8="Decrease Risk",10-10*((IF('Advanced Entry'!X$5="Logarithm",LN(0.001+'Advanced Entry'!X59),IF('Advanced Entry'!X$5="Exponential",EXP('Advanced Entry'!X59),'Advanced Entry'!X59)))-'Advanced Entry'!X$6)/('Advanced Entry'!X$7-'Advanced Entry'!X$6),10*((IF('Advanced Entry'!X$5="Logarithm",LN(0.001+'Advanced Entry'!X59),IF('Advanced Entry'!X$5="Exponential",EXP('Advanced Entry'!X59),'Advanced Entry'!X59)))-'Advanced Entry'!X$6)/('Advanced Entry'!X$7-'Advanced Entry'!X$6)),1))),"No data"))</f>
        <v/>
      </c>
      <c r="Y59" s="17">
        <f>IF('Advanced Entry'!Y59="","",IFERROR(MAX(0,MIN(10,ROUND(IF('Advanced Entry'!Y$8="Decrease Risk",10-10*((IF('Advanced Entry'!Y$5="Logarithm",LN(0.001+'Advanced Entry'!Y59),IF('Advanced Entry'!Y$5="Exponential",EXP('Advanced Entry'!Y59),'Advanced Entry'!Y59)))-'Advanced Entry'!Y$6)/('Advanced Entry'!Y$7-'Advanced Entry'!Y$6),10*((IF('Advanced Entry'!Y$5="Logarithm",LN(0.001+'Advanced Entry'!Y59),IF('Advanced Entry'!Y$5="Exponential",EXP('Advanced Entry'!Y59),'Advanced Entry'!Y59)))-'Advanced Entry'!Y$6)/('Advanced Entry'!Y$7-'Advanced Entry'!Y$6)),1))),"No data"))</f>
        <v/>
      </c>
      <c r="Z59" s="17">
        <f>IF('Advanced Entry'!Z59="","",IFERROR(MAX(0,MIN(10,ROUND(IF('Advanced Entry'!Z$8="Decrease Risk",10-10*((IF('Advanced Entry'!Z$5="Logarithm",LN(0.001+'Advanced Entry'!Z59),IF('Advanced Entry'!Z$5="Exponential",EXP('Advanced Entry'!Z59),'Advanced Entry'!Z59)))-'Advanced Entry'!Z$6)/('Advanced Entry'!Z$7-'Advanced Entry'!Z$6),10*((IF('Advanced Entry'!Z$5="Logarithm",LN(0.001+'Advanced Entry'!Z59),IF('Advanced Entry'!Z$5="Exponential",EXP('Advanced Entry'!Z59),'Advanced Entry'!Z59)))-'Advanced Entry'!Z$6)/('Advanced Entry'!Z$7-'Advanced Entry'!Z$6)),1))),"No data"))</f>
        <v/>
      </c>
      <c r="AA59" s="17">
        <f>IF('Advanced Entry'!AA59="","",IFERROR(MAX(0,MIN(10,ROUND(IF('Advanced Entry'!AA$8="Decrease Risk",10-10*((IF('Advanced Entry'!AA$5="Logarithm",LN(0.001+'Advanced Entry'!AA59),IF('Advanced Entry'!AA$5="Exponential",EXP('Advanced Entry'!AA59),'Advanced Entry'!AA59)))-'Advanced Entry'!AA$6)/('Advanced Entry'!AA$7-'Advanced Entry'!AA$6),10*((IF('Advanced Entry'!AA$5="Logarithm",LN(0.001+'Advanced Entry'!AA59),IF('Advanced Entry'!AA$5="Exponential",EXP('Advanced Entry'!AA59),'Advanced Entry'!AA59)))-'Advanced Entry'!AA$6)/('Advanced Entry'!AA$7-'Advanced Entry'!AA$6)),1))),"No data"))</f>
        <v/>
      </c>
      <c r="AB59" s="17">
        <f>IF('Advanced Entry'!AB59="","",IFERROR(MAX(0,MIN(10,ROUND(IF('Advanced Entry'!AB$8="Decrease Risk",10-10*((IF('Advanced Entry'!AB$5="Logarithm",LN(0.001+'Advanced Entry'!AB59),IF('Advanced Entry'!AB$5="Exponential",EXP('Advanced Entry'!AB59),'Advanced Entry'!AB59)))-'Advanced Entry'!AB$6)/('Advanced Entry'!AB$7-'Advanced Entry'!AB$6),10*((IF('Advanced Entry'!AB$5="Logarithm",LN(0.001+'Advanced Entry'!AB59),IF('Advanced Entry'!AB$5="Exponential",EXP('Advanced Entry'!AB59),'Advanced Entry'!AB59)))-'Advanced Entry'!AB$6)/('Advanced Entry'!AB$7-'Advanced Entry'!AB$6)),1))),"No data"))</f>
        <v/>
      </c>
    </row>
    <row r="60">
      <c r="A60" t="inlineStr">
        <is>
          <t>Kigoma</t>
        </is>
      </c>
      <c r="B60" t="inlineStr">
        <is>
          <t>Kakonko District</t>
        </is>
      </c>
      <c r="C60" t="inlineStr">
        <is>
          <t>C118</t>
        </is>
      </c>
      <c r="D60" s="17">
        <f>IF('Advanced Entry'!D60="","",IFERROR(MAX(0,MIN(10,ROUND(IF('Advanced Entry'!D$8="Decrease Risk",10-10*((IF('Advanced Entry'!D$5="Logarithm",LN(0.001+'Advanced Entry'!D60),IF('Advanced Entry'!D$5="Exponential",EXP('Advanced Entry'!D60),'Advanced Entry'!D60)))-'Advanced Entry'!D$6)/('Advanced Entry'!D$7-'Advanced Entry'!D$6),10*((IF('Advanced Entry'!D$5="Logarithm",LN(0.001+'Advanced Entry'!D60),IF('Advanced Entry'!D$5="Exponential",EXP('Advanced Entry'!D60),'Advanced Entry'!D60)))-'Advanced Entry'!D$6)/('Advanced Entry'!D$7-'Advanced Entry'!D$6)),1))),"No data"))</f>
        <v/>
      </c>
      <c r="E60" s="17">
        <f>IF('Advanced Entry'!E60="","",IFERROR(MAX(0,MIN(10,ROUND(IF('Advanced Entry'!E$8="Decrease Risk",10-10*((IF('Advanced Entry'!E$5="Logarithm",LN(0.001+'Advanced Entry'!E60),IF('Advanced Entry'!E$5="Exponential",EXP('Advanced Entry'!E60),'Advanced Entry'!E60)))-'Advanced Entry'!E$6)/('Advanced Entry'!E$7-'Advanced Entry'!E$6),10*((IF('Advanced Entry'!E$5="Logarithm",LN(0.001+'Advanced Entry'!E60),IF('Advanced Entry'!E$5="Exponential",EXP('Advanced Entry'!E60),'Advanced Entry'!E60)))-'Advanced Entry'!E$6)/('Advanced Entry'!E$7-'Advanced Entry'!E$6)),1))),"No data"))</f>
        <v/>
      </c>
      <c r="F60" s="17">
        <f>IF('Advanced Entry'!F60="","",IFERROR(MAX(0,MIN(10,ROUND(IF('Advanced Entry'!F$8="Decrease Risk",10-10*((IF('Advanced Entry'!F$5="Logarithm",LN(0.001+'Advanced Entry'!F60),IF('Advanced Entry'!F$5="Exponential",EXP('Advanced Entry'!F60),'Advanced Entry'!F60)))-'Advanced Entry'!F$6)/('Advanced Entry'!F$7-'Advanced Entry'!F$6),10*((IF('Advanced Entry'!F$5="Logarithm",LN(0.001+'Advanced Entry'!F60),IF('Advanced Entry'!F$5="Exponential",EXP('Advanced Entry'!F60),'Advanced Entry'!F60)))-'Advanced Entry'!F$6)/('Advanced Entry'!F$7-'Advanced Entry'!F$6)),1))),"No data"))</f>
        <v/>
      </c>
      <c r="G60" s="17">
        <f>IF('Advanced Entry'!G60="","",IFERROR(MAX(0,MIN(10,ROUND(IF('Advanced Entry'!G$8="Decrease Risk",10-10*((IF('Advanced Entry'!G$5="Logarithm",LN(0.001+'Advanced Entry'!G60),IF('Advanced Entry'!G$5="Exponential",EXP('Advanced Entry'!G60),'Advanced Entry'!G60)))-'Advanced Entry'!G$6)/('Advanced Entry'!G$7-'Advanced Entry'!G$6),10*((IF('Advanced Entry'!G$5="Logarithm",LN(0.001+'Advanced Entry'!G60),IF('Advanced Entry'!G$5="Exponential",EXP('Advanced Entry'!G60),'Advanced Entry'!G60)))-'Advanced Entry'!G$6)/('Advanced Entry'!G$7-'Advanced Entry'!G$6)),1))),"No data"))</f>
        <v/>
      </c>
      <c r="H60" s="17">
        <f>IF('Advanced Entry'!H60="","",IFERROR(MAX(0,MIN(10,ROUND(IF('Advanced Entry'!H$8="Decrease Risk",10-10*((IF('Advanced Entry'!H$5="Logarithm",LN(0.001+'Advanced Entry'!H60),IF('Advanced Entry'!H$5="Exponential",EXP('Advanced Entry'!H60),'Advanced Entry'!H60)))-'Advanced Entry'!H$6)/('Advanced Entry'!H$7-'Advanced Entry'!H$6),10*((IF('Advanced Entry'!H$5="Logarithm",LN(0.001+'Advanced Entry'!H60),IF('Advanced Entry'!H$5="Exponential",EXP('Advanced Entry'!H60),'Advanced Entry'!H60)))-'Advanced Entry'!H$6)/('Advanced Entry'!H$7-'Advanced Entry'!H$6)),1))),"No data"))</f>
        <v/>
      </c>
      <c r="I60" s="17">
        <f>IF('Advanced Entry'!I60="","",IFERROR(MAX(0,MIN(10,ROUND(IF('Advanced Entry'!I$8="Decrease Risk",10-10*((IF('Advanced Entry'!I$5="Logarithm",LN(0.001+'Advanced Entry'!I60),IF('Advanced Entry'!I$5="Exponential",EXP('Advanced Entry'!I60),'Advanced Entry'!I60)))-'Advanced Entry'!I$6)/('Advanced Entry'!I$7-'Advanced Entry'!I$6),10*((IF('Advanced Entry'!I$5="Logarithm",LN(0.001+'Advanced Entry'!I60),IF('Advanced Entry'!I$5="Exponential",EXP('Advanced Entry'!I60),'Advanced Entry'!I60)))-'Advanced Entry'!I$6)/('Advanced Entry'!I$7-'Advanced Entry'!I$6)),1))),"No data"))</f>
        <v/>
      </c>
      <c r="J60" s="17">
        <f>IF('Advanced Entry'!J60="","",IFERROR(MAX(0,MIN(10,ROUND(IF('Advanced Entry'!J$8="Decrease Risk",10-10*((IF('Advanced Entry'!J$5="Logarithm",LN(0.001+'Advanced Entry'!J60),IF('Advanced Entry'!J$5="Exponential",EXP('Advanced Entry'!J60),'Advanced Entry'!J60)))-'Advanced Entry'!J$6)/('Advanced Entry'!J$7-'Advanced Entry'!J$6),10*((IF('Advanced Entry'!J$5="Logarithm",LN(0.001+'Advanced Entry'!J60),IF('Advanced Entry'!J$5="Exponential",EXP('Advanced Entry'!J60),'Advanced Entry'!J60)))-'Advanced Entry'!J$6)/('Advanced Entry'!J$7-'Advanced Entry'!J$6)),1))),"No data"))</f>
        <v/>
      </c>
      <c r="K60" s="17">
        <f>IF('Advanced Entry'!K60="","",IFERROR(MAX(0,MIN(10,ROUND(IF('Advanced Entry'!K$8="Decrease Risk",10-10*((IF('Advanced Entry'!K$5="Logarithm",LN(0.001+'Advanced Entry'!K60),IF('Advanced Entry'!K$5="Exponential",EXP('Advanced Entry'!K60),'Advanced Entry'!K60)))-'Advanced Entry'!K$6)/('Advanced Entry'!K$7-'Advanced Entry'!K$6),10*((IF('Advanced Entry'!K$5="Logarithm",LN(0.001+'Advanced Entry'!K60),IF('Advanced Entry'!K$5="Exponential",EXP('Advanced Entry'!K60),'Advanced Entry'!K60)))-'Advanced Entry'!K$6)/('Advanced Entry'!K$7-'Advanced Entry'!K$6)),1))),"No data"))</f>
        <v/>
      </c>
      <c r="L60" s="17">
        <f>IF('Advanced Entry'!L60="","",IFERROR(MAX(0,MIN(10,ROUND(IF('Advanced Entry'!L$8="Decrease Risk",10-10*((IF('Advanced Entry'!L$5="Logarithm",LN(0.001+'Advanced Entry'!L60),IF('Advanced Entry'!L$5="Exponential",EXP('Advanced Entry'!L60),'Advanced Entry'!L60)))-'Advanced Entry'!L$6)/('Advanced Entry'!L$7-'Advanced Entry'!L$6),10*((IF('Advanced Entry'!L$5="Logarithm",LN(0.001+'Advanced Entry'!L60),IF('Advanced Entry'!L$5="Exponential",EXP('Advanced Entry'!L60),'Advanced Entry'!L60)))-'Advanced Entry'!L$6)/('Advanced Entry'!L$7-'Advanced Entry'!L$6)),1))),"No data"))</f>
        <v/>
      </c>
      <c r="M60" s="17">
        <f>IF('Advanced Entry'!M60="","",IFERROR(MAX(0,MIN(10,ROUND(IF('Advanced Entry'!M$8="Decrease Risk",10-10*((IF('Advanced Entry'!M$5="Logarithm",LN(0.001+'Advanced Entry'!M60),IF('Advanced Entry'!M$5="Exponential",EXP('Advanced Entry'!M60),'Advanced Entry'!M60)))-'Advanced Entry'!M$6)/('Advanced Entry'!M$7-'Advanced Entry'!M$6),10*((IF('Advanced Entry'!M$5="Logarithm",LN(0.001+'Advanced Entry'!M60),IF('Advanced Entry'!M$5="Exponential",EXP('Advanced Entry'!M60),'Advanced Entry'!M60)))-'Advanced Entry'!M$6)/('Advanced Entry'!M$7-'Advanced Entry'!M$6)),1))),"No data"))</f>
        <v/>
      </c>
      <c r="N60" s="17">
        <f>IF('Advanced Entry'!N60="","",IFERROR(MAX(0,MIN(10,ROUND(IF('Advanced Entry'!N$8="Decrease Risk",10-10*((IF('Advanced Entry'!N$5="Logarithm",LN(0.001+'Advanced Entry'!N60),IF('Advanced Entry'!N$5="Exponential",EXP('Advanced Entry'!N60),'Advanced Entry'!N60)))-'Advanced Entry'!N$6)/('Advanced Entry'!N$7-'Advanced Entry'!N$6),10*((IF('Advanced Entry'!N$5="Logarithm",LN(0.001+'Advanced Entry'!N60),IF('Advanced Entry'!N$5="Exponential",EXP('Advanced Entry'!N60),'Advanced Entry'!N60)))-'Advanced Entry'!N$6)/('Advanced Entry'!N$7-'Advanced Entry'!N$6)),1))),"No data"))</f>
        <v/>
      </c>
      <c r="O60" s="17">
        <f>IF('Advanced Entry'!O60="","",IFERROR(MAX(0,MIN(10,ROUND(IF('Advanced Entry'!O$8="Decrease Risk",10-10*((IF('Advanced Entry'!O$5="Logarithm",LN(0.001+'Advanced Entry'!O60),IF('Advanced Entry'!O$5="Exponential",EXP('Advanced Entry'!O60),'Advanced Entry'!O60)))-'Advanced Entry'!O$6)/('Advanced Entry'!O$7-'Advanced Entry'!O$6),10*((IF('Advanced Entry'!O$5="Logarithm",LN(0.001+'Advanced Entry'!O60),IF('Advanced Entry'!O$5="Exponential",EXP('Advanced Entry'!O60),'Advanced Entry'!O60)))-'Advanced Entry'!O$6)/('Advanced Entry'!O$7-'Advanced Entry'!O$6)),1))),"No data"))</f>
        <v/>
      </c>
      <c r="P60" s="17">
        <f>IF('Advanced Entry'!P60="","",IFERROR(MAX(0,MIN(10,ROUND(IF('Advanced Entry'!P$8="Decrease Risk",10-10*((IF('Advanced Entry'!P$5="Logarithm",LN(0.001+'Advanced Entry'!P60),IF('Advanced Entry'!P$5="Exponential",EXP('Advanced Entry'!P60),'Advanced Entry'!P60)))-'Advanced Entry'!P$6)/('Advanced Entry'!P$7-'Advanced Entry'!P$6),10*((IF('Advanced Entry'!P$5="Logarithm",LN(0.001+'Advanced Entry'!P60),IF('Advanced Entry'!P$5="Exponential",EXP('Advanced Entry'!P60),'Advanced Entry'!P60)))-'Advanced Entry'!P$6)/('Advanced Entry'!P$7-'Advanced Entry'!P$6)),1))),"No data"))</f>
        <v/>
      </c>
      <c r="Q60" s="17">
        <f>IF('Advanced Entry'!Q60="","",IFERROR(MAX(0,MIN(10,ROUND(IF('Advanced Entry'!Q$8="Decrease Risk",10-10*((IF('Advanced Entry'!Q$5="Logarithm",LN(0.001+'Advanced Entry'!Q60),IF('Advanced Entry'!Q$5="Exponential",EXP('Advanced Entry'!Q60),'Advanced Entry'!Q60)))-'Advanced Entry'!Q$6)/('Advanced Entry'!Q$7-'Advanced Entry'!Q$6),10*((IF('Advanced Entry'!Q$5="Logarithm",LN(0.001+'Advanced Entry'!Q60),IF('Advanced Entry'!Q$5="Exponential",EXP('Advanced Entry'!Q60),'Advanced Entry'!Q60)))-'Advanced Entry'!Q$6)/('Advanced Entry'!Q$7-'Advanced Entry'!Q$6)),1))),"No data"))</f>
        <v/>
      </c>
      <c r="R60" s="17">
        <f>IF('Advanced Entry'!R60="","",IFERROR(MAX(0,MIN(10,ROUND(IF('Advanced Entry'!R$8="Decrease Risk",10-10*((IF('Advanced Entry'!R$5="Logarithm",LN(0.001+'Advanced Entry'!R60),IF('Advanced Entry'!R$5="Exponential",EXP('Advanced Entry'!R60),'Advanced Entry'!R60)))-'Advanced Entry'!R$6)/('Advanced Entry'!R$7-'Advanced Entry'!R$6),10*((IF('Advanced Entry'!R$5="Logarithm",LN(0.001+'Advanced Entry'!R60),IF('Advanced Entry'!R$5="Exponential",EXP('Advanced Entry'!R60),'Advanced Entry'!R60)))-'Advanced Entry'!R$6)/('Advanced Entry'!R$7-'Advanced Entry'!R$6)),1))),"No data"))</f>
        <v/>
      </c>
      <c r="S60" s="17">
        <f>IF('Advanced Entry'!S60="","",IFERROR(MAX(0,MIN(10,ROUND(IF('Advanced Entry'!S$8="Decrease Risk",10-10*((IF('Advanced Entry'!S$5="Logarithm",LN(0.001+'Advanced Entry'!S60),IF('Advanced Entry'!S$5="Exponential",EXP('Advanced Entry'!S60),'Advanced Entry'!S60)))-'Advanced Entry'!S$6)/('Advanced Entry'!S$7-'Advanced Entry'!S$6),10*((IF('Advanced Entry'!S$5="Logarithm",LN(0.001+'Advanced Entry'!S60),IF('Advanced Entry'!S$5="Exponential",EXP('Advanced Entry'!S60),'Advanced Entry'!S60)))-'Advanced Entry'!S$6)/('Advanced Entry'!S$7-'Advanced Entry'!S$6)),1))),"No data"))</f>
        <v/>
      </c>
      <c r="T60" s="17">
        <f>IF('Advanced Entry'!T60="","",IFERROR(MAX(0,MIN(10,ROUND(IF('Advanced Entry'!T$8="Decrease Risk",10-10*((IF('Advanced Entry'!T$5="Logarithm",LN(0.001+'Advanced Entry'!T60),IF('Advanced Entry'!T$5="Exponential",EXP('Advanced Entry'!T60),'Advanced Entry'!T60)))-'Advanced Entry'!T$6)/('Advanced Entry'!T$7-'Advanced Entry'!T$6),10*((IF('Advanced Entry'!T$5="Logarithm",LN(0.001+'Advanced Entry'!T60),IF('Advanced Entry'!T$5="Exponential",EXP('Advanced Entry'!T60),'Advanced Entry'!T60)))-'Advanced Entry'!T$6)/('Advanced Entry'!T$7-'Advanced Entry'!T$6)),1))),"No data"))</f>
        <v/>
      </c>
      <c r="U60" s="17">
        <f>IF('Advanced Entry'!U60="","",IFERROR(MAX(0,MIN(10,ROUND(IF('Advanced Entry'!U$8="Decrease Risk",10-10*((IF('Advanced Entry'!U$5="Logarithm",LN(0.001+'Advanced Entry'!U60),IF('Advanced Entry'!U$5="Exponential",EXP('Advanced Entry'!U60),'Advanced Entry'!U60)))-'Advanced Entry'!U$6)/('Advanced Entry'!U$7-'Advanced Entry'!U$6),10*((IF('Advanced Entry'!U$5="Logarithm",LN(0.001+'Advanced Entry'!U60),IF('Advanced Entry'!U$5="Exponential",EXP('Advanced Entry'!U60),'Advanced Entry'!U60)))-'Advanced Entry'!U$6)/('Advanced Entry'!U$7-'Advanced Entry'!U$6)),1))),"No data"))</f>
        <v/>
      </c>
      <c r="V60" s="17">
        <f>IF('Advanced Entry'!V60="","",IFERROR(MAX(0,MIN(10,ROUND(IF('Advanced Entry'!V$8="Decrease Risk",10-10*((IF('Advanced Entry'!V$5="Logarithm",LN(0.001+'Advanced Entry'!V60),IF('Advanced Entry'!V$5="Exponential",EXP('Advanced Entry'!V60),'Advanced Entry'!V60)))-'Advanced Entry'!V$6)/('Advanced Entry'!V$7-'Advanced Entry'!V$6),10*((IF('Advanced Entry'!V$5="Logarithm",LN(0.001+'Advanced Entry'!V60),IF('Advanced Entry'!V$5="Exponential",EXP('Advanced Entry'!V60),'Advanced Entry'!V60)))-'Advanced Entry'!V$6)/('Advanced Entry'!V$7-'Advanced Entry'!V$6)),1))),"No data"))</f>
        <v/>
      </c>
      <c r="W60" s="17">
        <f>IF('Advanced Entry'!W60="","",IFERROR(MAX(0,MIN(10,ROUND(IF('Advanced Entry'!W$8="Decrease Risk",10-10*((IF('Advanced Entry'!W$5="Logarithm",LN(0.001+'Advanced Entry'!W60),IF('Advanced Entry'!W$5="Exponential",EXP('Advanced Entry'!W60),'Advanced Entry'!W60)))-'Advanced Entry'!W$6)/('Advanced Entry'!W$7-'Advanced Entry'!W$6),10*((IF('Advanced Entry'!W$5="Logarithm",LN(0.001+'Advanced Entry'!W60),IF('Advanced Entry'!W$5="Exponential",EXP('Advanced Entry'!W60),'Advanced Entry'!W60)))-'Advanced Entry'!W$6)/('Advanced Entry'!W$7-'Advanced Entry'!W$6)),1))),"No data"))</f>
        <v/>
      </c>
      <c r="X60" s="17">
        <f>IF('Advanced Entry'!X60="","",IFERROR(MAX(0,MIN(10,ROUND(IF('Advanced Entry'!X$8="Decrease Risk",10-10*((IF('Advanced Entry'!X$5="Logarithm",LN(0.001+'Advanced Entry'!X60),IF('Advanced Entry'!X$5="Exponential",EXP('Advanced Entry'!X60),'Advanced Entry'!X60)))-'Advanced Entry'!X$6)/('Advanced Entry'!X$7-'Advanced Entry'!X$6),10*((IF('Advanced Entry'!X$5="Logarithm",LN(0.001+'Advanced Entry'!X60),IF('Advanced Entry'!X$5="Exponential",EXP('Advanced Entry'!X60),'Advanced Entry'!X60)))-'Advanced Entry'!X$6)/('Advanced Entry'!X$7-'Advanced Entry'!X$6)),1))),"No data"))</f>
        <v/>
      </c>
      <c r="Y60" s="17">
        <f>IF('Advanced Entry'!Y60="","",IFERROR(MAX(0,MIN(10,ROUND(IF('Advanced Entry'!Y$8="Decrease Risk",10-10*((IF('Advanced Entry'!Y$5="Logarithm",LN(0.001+'Advanced Entry'!Y60),IF('Advanced Entry'!Y$5="Exponential",EXP('Advanced Entry'!Y60),'Advanced Entry'!Y60)))-'Advanced Entry'!Y$6)/('Advanced Entry'!Y$7-'Advanced Entry'!Y$6),10*((IF('Advanced Entry'!Y$5="Logarithm",LN(0.001+'Advanced Entry'!Y60),IF('Advanced Entry'!Y$5="Exponential",EXP('Advanced Entry'!Y60),'Advanced Entry'!Y60)))-'Advanced Entry'!Y$6)/('Advanced Entry'!Y$7-'Advanced Entry'!Y$6)),1))),"No data"))</f>
        <v/>
      </c>
      <c r="Z60" s="17">
        <f>IF('Advanced Entry'!Z60="","",IFERROR(MAX(0,MIN(10,ROUND(IF('Advanced Entry'!Z$8="Decrease Risk",10-10*((IF('Advanced Entry'!Z$5="Logarithm",LN(0.001+'Advanced Entry'!Z60),IF('Advanced Entry'!Z$5="Exponential",EXP('Advanced Entry'!Z60),'Advanced Entry'!Z60)))-'Advanced Entry'!Z$6)/('Advanced Entry'!Z$7-'Advanced Entry'!Z$6),10*((IF('Advanced Entry'!Z$5="Logarithm",LN(0.001+'Advanced Entry'!Z60),IF('Advanced Entry'!Z$5="Exponential",EXP('Advanced Entry'!Z60),'Advanced Entry'!Z60)))-'Advanced Entry'!Z$6)/('Advanced Entry'!Z$7-'Advanced Entry'!Z$6)),1))),"No data"))</f>
        <v/>
      </c>
      <c r="AA60" s="17">
        <f>IF('Advanced Entry'!AA60="","",IFERROR(MAX(0,MIN(10,ROUND(IF('Advanced Entry'!AA$8="Decrease Risk",10-10*((IF('Advanced Entry'!AA$5="Logarithm",LN(0.001+'Advanced Entry'!AA60),IF('Advanced Entry'!AA$5="Exponential",EXP('Advanced Entry'!AA60),'Advanced Entry'!AA60)))-'Advanced Entry'!AA$6)/('Advanced Entry'!AA$7-'Advanced Entry'!AA$6),10*((IF('Advanced Entry'!AA$5="Logarithm",LN(0.001+'Advanced Entry'!AA60),IF('Advanced Entry'!AA$5="Exponential",EXP('Advanced Entry'!AA60),'Advanced Entry'!AA60)))-'Advanced Entry'!AA$6)/('Advanced Entry'!AA$7-'Advanced Entry'!AA$6)),1))),"No data"))</f>
        <v/>
      </c>
      <c r="AB60" s="17">
        <f>IF('Advanced Entry'!AB60="","",IFERROR(MAX(0,MIN(10,ROUND(IF('Advanced Entry'!AB$8="Decrease Risk",10-10*((IF('Advanced Entry'!AB$5="Logarithm",LN(0.001+'Advanced Entry'!AB60),IF('Advanced Entry'!AB$5="Exponential",EXP('Advanced Entry'!AB60),'Advanced Entry'!AB60)))-'Advanced Entry'!AB$6)/('Advanced Entry'!AB$7-'Advanced Entry'!AB$6),10*((IF('Advanced Entry'!AB$5="Logarithm",LN(0.001+'Advanced Entry'!AB60),IF('Advanced Entry'!AB$5="Exponential",EXP('Advanced Entry'!AB60),'Advanced Entry'!AB60)))-'Advanced Entry'!AB$6)/('Advanced Entry'!AB$7-'Advanced Entry'!AB$6)),1))),"No data"))</f>
        <v/>
      </c>
    </row>
    <row r="61">
      <c r="A61" t="inlineStr">
        <is>
          <t>Kigoma</t>
        </is>
      </c>
      <c r="B61" t="inlineStr">
        <is>
          <t>Kasulu District</t>
        </is>
      </c>
      <c r="C61" t="inlineStr">
        <is>
          <t>C112</t>
        </is>
      </c>
      <c r="D61" s="17">
        <f>IF('Advanced Entry'!D61="","",IFERROR(MAX(0,MIN(10,ROUND(IF('Advanced Entry'!D$8="Decrease Risk",10-10*((IF('Advanced Entry'!D$5="Logarithm",LN(0.001+'Advanced Entry'!D61),IF('Advanced Entry'!D$5="Exponential",EXP('Advanced Entry'!D61),'Advanced Entry'!D61)))-'Advanced Entry'!D$6)/('Advanced Entry'!D$7-'Advanced Entry'!D$6),10*((IF('Advanced Entry'!D$5="Logarithm",LN(0.001+'Advanced Entry'!D61),IF('Advanced Entry'!D$5="Exponential",EXP('Advanced Entry'!D61),'Advanced Entry'!D61)))-'Advanced Entry'!D$6)/('Advanced Entry'!D$7-'Advanced Entry'!D$6)),1))),"No data"))</f>
        <v/>
      </c>
      <c r="E61" s="17">
        <f>IF('Advanced Entry'!E61="","",IFERROR(MAX(0,MIN(10,ROUND(IF('Advanced Entry'!E$8="Decrease Risk",10-10*((IF('Advanced Entry'!E$5="Logarithm",LN(0.001+'Advanced Entry'!E61),IF('Advanced Entry'!E$5="Exponential",EXP('Advanced Entry'!E61),'Advanced Entry'!E61)))-'Advanced Entry'!E$6)/('Advanced Entry'!E$7-'Advanced Entry'!E$6),10*((IF('Advanced Entry'!E$5="Logarithm",LN(0.001+'Advanced Entry'!E61),IF('Advanced Entry'!E$5="Exponential",EXP('Advanced Entry'!E61),'Advanced Entry'!E61)))-'Advanced Entry'!E$6)/('Advanced Entry'!E$7-'Advanced Entry'!E$6)),1))),"No data"))</f>
        <v/>
      </c>
      <c r="F61" s="17">
        <f>IF('Advanced Entry'!F61="","",IFERROR(MAX(0,MIN(10,ROUND(IF('Advanced Entry'!F$8="Decrease Risk",10-10*((IF('Advanced Entry'!F$5="Logarithm",LN(0.001+'Advanced Entry'!F61),IF('Advanced Entry'!F$5="Exponential",EXP('Advanced Entry'!F61),'Advanced Entry'!F61)))-'Advanced Entry'!F$6)/('Advanced Entry'!F$7-'Advanced Entry'!F$6),10*((IF('Advanced Entry'!F$5="Logarithm",LN(0.001+'Advanced Entry'!F61),IF('Advanced Entry'!F$5="Exponential",EXP('Advanced Entry'!F61),'Advanced Entry'!F61)))-'Advanced Entry'!F$6)/('Advanced Entry'!F$7-'Advanced Entry'!F$6)),1))),"No data"))</f>
        <v/>
      </c>
      <c r="G61" s="17">
        <f>IF('Advanced Entry'!G61="","",IFERROR(MAX(0,MIN(10,ROUND(IF('Advanced Entry'!G$8="Decrease Risk",10-10*((IF('Advanced Entry'!G$5="Logarithm",LN(0.001+'Advanced Entry'!G61),IF('Advanced Entry'!G$5="Exponential",EXP('Advanced Entry'!G61),'Advanced Entry'!G61)))-'Advanced Entry'!G$6)/('Advanced Entry'!G$7-'Advanced Entry'!G$6),10*((IF('Advanced Entry'!G$5="Logarithm",LN(0.001+'Advanced Entry'!G61),IF('Advanced Entry'!G$5="Exponential",EXP('Advanced Entry'!G61),'Advanced Entry'!G61)))-'Advanced Entry'!G$6)/('Advanced Entry'!G$7-'Advanced Entry'!G$6)),1))),"No data"))</f>
        <v/>
      </c>
      <c r="H61" s="17">
        <f>IF('Advanced Entry'!H61="","",IFERROR(MAX(0,MIN(10,ROUND(IF('Advanced Entry'!H$8="Decrease Risk",10-10*((IF('Advanced Entry'!H$5="Logarithm",LN(0.001+'Advanced Entry'!H61),IF('Advanced Entry'!H$5="Exponential",EXP('Advanced Entry'!H61),'Advanced Entry'!H61)))-'Advanced Entry'!H$6)/('Advanced Entry'!H$7-'Advanced Entry'!H$6),10*((IF('Advanced Entry'!H$5="Logarithm",LN(0.001+'Advanced Entry'!H61),IF('Advanced Entry'!H$5="Exponential",EXP('Advanced Entry'!H61),'Advanced Entry'!H61)))-'Advanced Entry'!H$6)/('Advanced Entry'!H$7-'Advanced Entry'!H$6)),1))),"No data"))</f>
        <v/>
      </c>
      <c r="I61" s="17">
        <f>IF('Advanced Entry'!I61="","",IFERROR(MAX(0,MIN(10,ROUND(IF('Advanced Entry'!I$8="Decrease Risk",10-10*((IF('Advanced Entry'!I$5="Logarithm",LN(0.001+'Advanced Entry'!I61),IF('Advanced Entry'!I$5="Exponential",EXP('Advanced Entry'!I61),'Advanced Entry'!I61)))-'Advanced Entry'!I$6)/('Advanced Entry'!I$7-'Advanced Entry'!I$6),10*((IF('Advanced Entry'!I$5="Logarithm",LN(0.001+'Advanced Entry'!I61),IF('Advanced Entry'!I$5="Exponential",EXP('Advanced Entry'!I61),'Advanced Entry'!I61)))-'Advanced Entry'!I$6)/('Advanced Entry'!I$7-'Advanced Entry'!I$6)),1))),"No data"))</f>
        <v/>
      </c>
      <c r="J61" s="17">
        <f>IF('Advanced Entry'!J61="","",IFERROR(MAX(0,MIN(10,ROUND(IF('Advanced Entry'!J$8="Decrease Risk",10-10*((IF('Advanced Entry'!J$5="Logarithm",LN(0.001+'Advanced Entry'!J61),IF('Advanced Entry'!J$5="Exponential",EXP('Advanced Entry'!J61),'Advanced Entry'!J61)))-'Advanced Entry'!J$6)/('Advanced Entry'!J$7-'Advanced Entry'!J$6),10*((IF('Advanced Entry'!J$5="Logarithm",LN(0.001+'Advanced Entry'!J61),IF('Advanced Entry'!J$5="Exponential",EXP('Advanced Entry'!J61),'Advanced Entry'!J61)))-'Advanced Entry'!J$6)/('Advanced Entry'!J$7-'Advanced Entry'!J$6)),1))),"No data"))</f>
        <v/>
      </c>
      <c r="K61" s="17">
        <f>IF('Advanced Entry'!K61="","",IFERROR(MAX(0,MIN(10,ROUND(IF('Advanced Entry'!K$8="Decrease Risk",10-10*((IF('Advanced Entry'!K$5="Logarithm",LN(0.001+'Advanced Entry'!K61),IF('Advanced Entry'!K$5="Exponential",EXP('Advanced Entry'!K61),'Advanced Entry'!K61)))-'Advanced Entry'!K$6)/('Advanced Entry'!K$7-'Advanced Entry'!K$6),10*((IF('Advanced Entry'!K$5="Logarithm",LN(0.001+'Advanced Entry'!K61),IF('Advanced Entry'!K$5="Exponential",EXP('Advanced Entry'!K61),'Advanced Entry'!K61)))-'Advanced Entry'!K$6)/('Advanced Entry'!K$7-'Advanced Entry'!K$6)),1))),"No data"))</f>
        <v/>
      </c>
      <c r="L61" s="17">
        <f>IF('Advanced Entry'!L61="","",IFERROR(MAX(0,MIN(10,ROUND(IF('Advanced Entry'!L$8="Decrease Risk",10-10*((IF('Advanced Entry'!L$5="Logarithm",LN(0.001+'Advanced Entry'!L61),IF('Advanced Entry'!L$5="Exponential",EXP('Advanced Entry'!L61),'Advanced Entry'!L61)))-'Advanced Entry'!L$6)/('Advanced Entry'!L$7-'Advanced Entry'!L$6),10*((IF('Advanced Entry'!L$5="Logarithm",LN(0.001+'Advanced Entry'!L61),IF('Advanced Entry'!L$5="Exponential",EXP('Advanced Entry'!L61),'Advanced Entry'!L61)))-'Advanced Entry'!L$6)/('Advanced Entry'!L$7-'Advanced Entry'!L$6)),1))),"No data"))</f>
        <v/>
      </c>
      <c r="M61" s="17">
        <f>IF('Advanced Entry'!M61="","",IFERROR(MAX(0,MIN(10,ROUND(IF('Advanced Entry'!M$8="Decrease Risk",10-10*((IF('Advanced Entry'!M$5="Logarithm",LN(0.001+'Advanced Entry'!M61),IF('Advanced Entry'!M$5="Exponential",EXP('Advanced Entry'!M61),'Advanced Entry'!M61)))-'Advanced Entry'!M$6)/('Advanced Entry'!M$7-'Advanced Entry'!M$6),10*((IF('Advanced Entry'!M$5="Logarithm",LN(0.001+'Advanced Entry'!M61),IF('Advanced Entry'!M$5="Exponential",EXP('Advanced Entry'!M61),'Advanced Entry'!M61)))-'Advanced Entry'!M$6)/('Advanced Entry'!M$7-'Advanced Entry'!M$6)),1))),"No data"))</f>
        <v/>
      </c>
      <c r="N61" s="17">
        <f>IF('Advanced Entry'!N61="","",IFERROR(MAX(0,MIN(10,ROUND(IF('Advanced Entry'!N$8="Decrease Risk",10-10*((IF('Advanced Entry'!N$5="Logarithm",LN(0.001+'Advanced Entry'!N61),IF('Advanced Entry'!N$5="Exponential",EXP('Advanced Entry'!N61),'Advanced Entry'!N61)))-'Advanced Entry'!N$6)/('Advanced Entry'!N$7-'Advanced Entry'!N$6),10*((IF('Advanced Entry'!N$5="Logarithm",LN(0.001+'Advanced Entry'!N61),IF('Advanced Entry'!N$5="Exponential",EXP('Advanced Entry'!N61),'Advanced Entry'!N61)))-'Advanced Entry'!N$6)/('Advanced Entry'!N$7-'Advanced Entry'!N$6)),1))),"No data"))</f>
        <v/>
      </c>
      <c r="O61" s="17">
        <f>IF('Advanced Entry'!O61="","",IFERROR(MAX(0,MIN(10,ROUND(IF('Advanced Entry'!O$8="Decrease Risk",10-10*((IF('Advanced Entry'!O$5="Logarithm",LN(0.001+'Advanced Entry'!O61),IF('Advanced Entry'!O$5="Exponential",EXP('Advanced Entry'!O61),'Advanced Entry'!O61)))-'Advanced Entry'!O$6)/('Advanced Entry'!O$7-'Advanced Entry'!O$6),10*((IF('Advanced Entry'!O$5="Logarithm",LN(0.001+'Advanced Entry'!O61),IF('Advanced Entry'!O$5="Exponential",EXP('Advanced Entry'!O61),'Advanced Entry'!O61)))-'Advanced Entry'!O$6)/('Advanced Entry'!O$7-'Advanced Entry'!O$6)),1))),"No data"))</f>
        <v/>
      </c>
      <c r="P61" s="17">
        <f>IF('Advanced Entry'!P61="","",IFERROR(MAX(0,MIN(10,ROUND(IF('Advanced Entry'!P$8="Decrease Risk",10-10*((IF('Advanced Entry'!P$5="Logarithm",LN(0.001+'Advanced Entry'!P61),IF('Advanced Entry'!P$5="Exponential",EXP('Advanced Entry'!P61),'Advanced Entry'!P61)))-'Advanced Entry'!P$6)/('Advanced Entry'!P$7-'Advanced Entry'!P$6),10*((IF('Advanced Entry'!P$5="Logarithm",LN(0.001+'Advanced Entry'!P61),IF('Advanced Entry'!P$5="Exponential",EXP('Advanced Entry'!P61),'Advanced Entry'!P61)))-'Advanced Entry'!P$6)/('Advanced Entry'!P$7-'Advanced Entry'!P$6)),1))),"No data"))</f>
        <v/>
      </c>
      <c r="Q61" s="17">
        <f>IF('Advanced Entry'!Q61="","",IFERROR(MAX(0,MIN(10,ROUND(IF('Advanced Entry'!Q$8="Decrease Risk",10-10*((IF('Advanced Entry'!Q$5="Logarithm",LN(0.001+'Advanced Entry'!Q61),IF('Advanced Entry'!Q$5="Exponential",EXP('Advanced Entry'!Q61),'Advanced Entry'!Q61)))-'Advanced Entry'!Q$6)/('Advanced Entry'!Q$7-'Advanced Entry'!Q$6),10*((IF('Advanced Entry'!Q$5="Logarithm",LN(0.001+'Advanced Entry'!Q61),IF('Advanced Entry'!Q$5="Exponential",EXP('Advanced Entry'!Q61),'Advanced Entry'!Q61)))-'Advanced Entry'!Q$6)/('Advanced Entry'!Q$7-'Advanced Entry'!Q$6)),1))),"No data"))</f>
        <v/>
      </c>
      <c r="R61" s="17">
        <f>IF('Advanced Entry'!R61="","",IFERROR(MAX(0,MIN(10,ROUND(IF('Advanced Entry'!R$8="Decrease Risk",10-10*((IF('Advanced Entry'!R$5="Logarithm",LN(0.001+'Advanced Entry'!R61),IF('Advanced Entry'!R$5="Exponential",EXP('Advanced Entry'!R61),'Advanced Entry'!R61)))-'Advanced Entry'!R$6)/('Advanced Entry'!R$7-'Advanced Entry'!R$6),10*((IF('Advanced Entry'!R$5="Logarithm",LN(0.001+'Advanced Entry'!R61),IF('Advanced Entry'!R$5="Exponential",EXP('Advanced Entry'!R61),'Advanced Entry'!R61)))-'Advanced Entry'!R$6)/('Advanced Entry'!R$7-'Advanced Entry'!R$6)),1))),"No data"))</f>
        <v/>
      </c>
      <c r="S61" s="17">
        <f>IF('Advanced Entry'!S61="","",IFERROR(MAX(0,MIN(10,ROUND(IF('Advanced Entry'!S$8="Decrease Risk",10-10*((IF('Advanced Entry'!S$5="Logarithm",LN(0.001+'Advanced Entry'!S61),IF('Advanced Entry'!S$5="Exponential",EXP('Advanced Entry'!S61),'Advanced Entry'!S61)))-'Advanced Entry'!S$6)/('Advanced Entry'!S$7-'Advanced Entry'!S$6),10*((IF('Advanced Entry'!S$5="Logarithm",LN(0.001+'Advanced Entry'!S61),IF('Advanced Entry'!S$5="Exponential",EXP('Advanced Entry'!S61),'Advanced Entry'!S61)))-'Advanced Entry'!S$6)/('Advanced Entry'!S$7-'Advanced Entry'!S$6)),1))),"No data"))</f>
        <v/>
      </c>
      <c r="T61" s="17">
        <f>IF('Advanced Entry'!T61="","",IFERROR(MAX(0,MIN(10,ROUND(IF('Advanced Entry'!T$8="Decrease Risk",10-10*((IF('Advanced Entry'!T$5="Logarithm",LN(0.001+'Advanced Entry'!T61),IF('Advanced Entry'!T$5="Exponential",EXP('Advanced Entry'!T61),'Advanced Entry'!T61)))-'Advanced Entry'!T$6)/('Advanced Entry'!T$7-'Advanced Entry'!T$6),10*((IF('Advanced Entry'!T$5="Logarithm",LN(0.001+'Advanced Entry'!T61),IF('Advanced Entry'!T$5="Exponential",EXP('Advanced Entry'!T61),'Advanced Entry'!T61)))-'Advanced Entry'!T$6)/('Advanced Entry'!T$7-'Advanced Entry'!T$6)),1))),"No data"))</f>
        <v/>
      </c>
      <c r="U61" s="17">
        <f>IF('Advanced Entry'!U61="","",IFERROR(MAX(0,MIN(10,ROUND(IF('Advanced Entry'!U$8="Decrease Risk",10-10*((IF('Advanced Entry'!U$5="Logarithm",LN(0.001+'Advanced Entry'!U61),IF('Advanced Entry'!U$5="Exponential",EXP('Advanced Entry'!U61),'Advanced Entry'!U61)))-'Advanced Entry'!U$6)/('Advanced Entry'!U$7-'Advanced Entry'!U$6),10*((IF('Advanced Entry'!U$5="Logarithm",LN(0.001+'Advanced Entry'!U61),IF('Advanced Entry'!U$5="Exponential",EXP('Advanced Entry'!U61),'Advanced Entry'!U61)))-'Advanced Entry'!U$6)/('Advanced Entry'!U$7-'Advanced Entry'!U$6)),1))),"No data"))</f>
        <v/>
      </c>
      <c r="V61" s="17">
        <f>IF('Advanced Entry'!V61="","",IFERROR(MAX(0,MIN(10,ROUND(IF('Advanced Entry'!V$8="Decrease Risk",10-10*((IF('Advanced Entry'!V$5="Logarithm",LN(0.001+'Advanced Entry'!V61),IF('Advanced Entry'!V$5="Exponential",EXP('Advanced Entry'!V61),'Advanced Entry'!V61)))-'Advanced Entry'!V$6)/('Advanced Entry'!V$7-'Advanced Entry'!V$6),10*((IF('Advanced Entry'!V$5="Logarithm",LN(0.001+'Advanced Entry'!V61),IF('Advanced Entry'!V$5="Exponential",EXP('Advanced Entry'!V61),'Advanced Entry'!V61)))-'Advanced Entry'!V$6)/('Advanced Entry'!V$7-'Advanced Entry'!V$6)),1))),"No data"))</f>
        <v/>
      </c>
      <c r="W61" s="17">
        <f>IF('Advanced Entry'!W61="","",IFERROR(MAX(0,MIN(10,ROUND(IF('Advanced Entry'!W$8="Decrease Risk",10-10*((IF('Advanced Entry'!W$5="Logarithm",LN(0.001+'Advanced Entry'!W61),IF('Advanced Entry'!W$5="Exponential",EXP('Advanced Entry'!W61),'Advanced Entry'!W61)))-'Advanced Entry'!W$6)/('Advanced Entry'!W$7-'Advanced Entry'!W$6),10*((IF('Advanced Entry'!W$5="Logarithm",LN(0.001+'Advanced Entry'!W61),IF('Advanced Entry'!W$5="Exponential",EXP('Advanced Entry'!W61),'Advanced Entry'!W61)))-'Advanced Entry'!W$6)/('Advanced Entry'!W$7-'Advanced Entry'!W$6)),1))),"No data"))</f>
        <v/>
      </c>
      <c r="X61" s="17">
        <f>IF('Advanced Entry'!X61="","",IFERROR(MAX(0,MIN(10,ROUND(IF('Advanced Entry'!X$8="Decrease Risk",10-10*((IF('Advanced Entry'!X$5="Logarithm",LN(0.001+'Advanced Entry'!X61),IF('Advanced Entry'!X$5="Exponential",EXP('Advanced Entry'!X61),'Advanced Entry'!X61)))-'Advanced Entry'!X$6)/('Advanced Entry'!X$7-'Advanced Entry'!X$6),10*((IF('Advanced Entry'!X$5="Logarithm",LN(0.001+'Advanced Entry'!X61),IF('Advanced Entry'!X$5="Exponential",EXP('Advanced Entry'!X61),'Advanced Entry'!X61)))-'Advanced Entry'!X$6)/('Advanced Entry'!X$7-'Advanced Entry'!X$6)),1))),"No data"))</f>
        <v/>
      </c>
      <c r="Y61" s="17">
        <f>IF('Advanced Entry'!Y61="","",IFERROR(MAX(0,MIN(10,ROUND(IF('Advanced Entry'!Y$8="Decrease Risk",10-10*((IF('Advanced Entry'!Y$5="Logarithm",LN(0.001+'Advanced Entry'!Y61),IF('Advanced Entry'!Y$5="Exponential",EXP('Advanced Entry'!Y61),'Advanced Entry'!Y61)))-'Advanced Entry'!Y$6)/('Advanced Entry'!Y$7-'Advanced Entry'!Y$6),10*((IF('Advanced Entry'!Y$5="Logarithm",LN(0.001+'Advanced Entry'!Y61),IF('Advanced Entry'!Y$5="Exponential",EXP('Advanced Entry'!Y61),'Advanced Entry'!Y61)))-'Advanced Entry'!Y$6)/('Advanced Entry'!Y$7-'Advanced Entry'!Y$6)),1))),"No data"))</f>
        <v/>
      </c>
      <c r="Z61" s="17">
        <f>IF('Advanced Entry'!Z61="","",IFERROR(MAX(0,MIN(10,ROUND(IF('Advanced Entry'!Z$8="Decrease Risk",10-10*((IF('Advanced Entry'!Z$5="Logarithm",LN(0.001+'Advanced Entry'!Z61),IF('Advanced Entry'!Z$5="Exponential",EXP('Advanced Entry'!Z61),'Advanced Entry'!Z61)))-'Advanced Entry'!Z$6)/('Advanced Entry'!Z$7-'Advanced Entry'!Z$6),10*((IF('Advanced Entry'!Z$5="Logarithm",LN(0.001+'Advanced Entry'!Z61),IF('Advanced Entry'!Z$5="Exponential",EXP('Advanced Entry'!Z61),'Advanced Entry'!Z61)))-'Advanced Entry'!Z$6)/('Advanced Entry'!Z$7-'Advanced Entry'!Z$6)),1))),"No data"))</f>
        <v/>
      </c>
      <c r="AA61" s="17">
        <f>IF('Advanced Entry'!AA61="","",IFERROR(MAX(0,MIN(10,ROUND(IF('Advanced Entry'!AA$8="Decrease Risk",10-10*((IF('Advanced Entry'!AA$5="Logarithm",LN(0.001+'Advanced Entry'!AA61),IF('Advanced Entry'!AA$5="Exponential",EXP('Advanced Entry'!AA61),'Advanced Entry'!AA61)))-'Advanced Entry'!AA$6)/('Advanced Entry'!AA$7-'Advanced Entry'!AA$6),10*((IF('Advanced Entry'!AA$5="Logarithm",LN(0.001+'Advanced Entry'!AA61),IF('Advanced Entry'!AA$5="Exponential",EXP('Advanced Entry'!AA61),'Advanced Entry'!AA61)))-'Advanced Entry'!AA$6)/('Advanced Entry'!AA$7-'Advanced Entry'!AA$6)),1))),"No data"))</f>
        <v/>
      </c>
      <c r="AB61" s="17">
        <f>IF('Advanced Entry'!AB61="","",IFERROR(MAX(0,MIN(10,ROUND(IF('Advanced Entry'!AB$8="Decrease Risk",10-10*((IF('Advanced Entry'!AB$5="Logarithm",LN(0.001+'Advanced Entry'!AB61),IF('Advanced Entry'!AB$5="Exponential",EXP('Advanced Entry'!AB61),'Advanced Entry'!AB61)))-'Advanced Entry'!AB$6)/('Advanced Entry'!AB$7-'Advanced Entry'!AB$6),10*((IF('Advanced Entry'!AB$5="Logarithm",LN(0.001+'Advanced Entry'!AB61),IF('Advanced Entry'!AB$5="Exponential",EXP('Advanced Entry'!AB61),'Advanced Entry'!AB61)))-'Advanced Entry'!AB$6)/('Advanced Entry'!AB$7-'Advanced Entry'!AB$6)),1))),"No data"))</f>
        <v/>
      </c>
    </row>
    <row r="62">
      <c r="A62" t="inlineStr">
        <is>
          <t>Kigoma</t>
        </is>
      </c>
      <c r="B62" t="inlineStr">
        <is>
          <t>Kasulu Town</t>
        </is>
      </c>
      <c r="C62" t="inlineStr">
        <is>
          <t>C113</t>
        </is>
      </c>
      <c r="D62" s="17">
        <f>IF('Advanced Entry'!D62="","",IFERROR(MAX(0,MIN(10,ROUND(IF('Advanced Entry'!D$8="Decrease Risk",10-10*((IF('Advanced Entry'!D$5="Logarithm",LN(0.001+'Advanced Entry'!D62),IF('Advanced Entry'!D$5="Exponential",EXP('Advanced Entry'!D62),'Advanced Entry'!D62)))-'Advanced Entry'!D$6)/('Advanced Entry'!D$7-'Advanced Entry'!D$6),10*((IF('Advanced Entry'!D$5="Logarithm",LN(0.001+'Advanced Entry'!D62),IF('Advanced Entry'!D$5="Exponential",EXP('Advanced Entry'!D62),'Advanced Entry'!D62)))-'Advanced Entry'!D$6)/('Advanced Entry'!D$7-'Advanced Entry'!D$6)),1))),"No data"))</f>
        <v/>
      </c>
      <c r="E62" s="17">
        <f>IF('Advanced Entry'!E62="","",IFERROR(MAX(0,MIN(10,ROUND(IF('Advanced Entry'!E$8="Decrease Risk",10-10*((IF('Advanced Entry'!E$5="Logarithm",LN(0.001+'Advanced Entry'!E62),IF('Advanced Entry'!E$5="Exponential",EXP('Advanced Entry'!E62),'Advanced Entry'!E62)))-'Advanced Entry'!E$6)/('Advanced Entry'!E$7-'Advanced Entry'!E$6),10*((IF('Advanced Entry'!E$5="Logarithm",LN(0.001+'Advanced Entry'!E62),IF('Advanced Entry'!E$5="Exponential",EXP('Advanced Entry'!E62),'Advanced Entry'!E62)))-'Advanced Entry'!E$6)/('Advanced Entry'!E$7-'Advanced Entry'!E$6)),1))),"No data"))</f>
        <v/>
      </c>
      <c r="F62" s="17">
        <f>IF('Advanced Entry'!F62="","",IFERROR(MAX(0,MIN(10,ROUND(IF('Advanced Entry'!F$8="Decrease Risk",10-10*((IF('Advanced Entry'!F$5="Logarithm",LN(0.001+'Advanced Entry'!F62),IF('Advanced Entry'!F$5="Exponential",EXP('Advanced Entry'!F62),'Advanced Entry'!F62)))-'Advanced Entry'!F$6)/('Advanced Entry'!F$7-'Advanced Entry'!F$6),10*((IF('Advanced Entry'!F$5="Logarithm",LN(0.001+'Advanced Entry'!F62),IF('Advanced Entry'!F$5="Exponential",EXP('Advanced Entry'!F62),'Advanced Entry'!F62)))-'Advanced Entry'!F$6)/('Advanced Entry'!F$7-'Advanced Entry'!F$6)),1))),"No data"))</f>
        <v/>
      </c>
      <c r="G62" s="17">
        <f>IF('Advanced Entry'!G62="","",IFERROR(MAX(0,MIN(10,ROUND(IF('Advanced Entry'!G$8="Decrease Risk",10-10*((IF('Advanced Entry'!G$5="Logarithm",LN(0.001+'Advanced Entry'!G62),IF('Advanced Entry'!G$5="Exponential",EXP('Advanced Entry'!G62),'Advanced Entry'!G62)))-'Advanced Entry'!G$6)/('Advanced Entry'!G$7-'Advanced Entry'!G$6),10*((IF('Advanced Entry'!G$5="Logarithm",LN(0.001+'Advanced Entry'!G62),IF('Advanced Entry'!G$5="Exponential",EXP('Advanced Entry'!G62),'Advanced Entry'!G62)))-'Advanced Entry'!G$6)/('Advanced Entry'!G$7-'Advanced Entry'!G$6)),1))),"No data"))</f>
        <v/>
      </c>
      <c r="H62" s="17">
        <f>IF('Advanced Entry'!H62="","",IFERROR(MAX(0,MIN(10,ROUND(IF('Advanced Entry'!H$8="Decrease Risk",10-10*((IF('Advanced Entry'!H$5="Logarithm",LN(0.001+'Advanced Entry'!H62),IF('Advanced Entry'!H$5="Exponential",EXP('Advanced Entry'!H62),'Advanced Entry'!H62)))-'Advanced Entry'!H$6)/('Advanced Entry'!H$7-'Advanced Entry'!H$6),10*((IF('Advanced Entry'!H$5="Logarithm",LN(0.001+'Advanced Entry'!H62),IF('Advanced Entry'!H$5="Exponential",EXP('Advanced Entry'!H62),'Advanced Entry'!H62)))-'Advanced Entry'!H$6)/('Advanced Entry'!H$7-'Advanced Entry'!H$6)),1))),"No data"))</f>
        <v/>
      </c>
      <c r="I62" s="17">
        <f>IF('Advanced Entry'!I62="","",IFERROR(MAX(0,MIN(10,ROUND(IF('Advanced Entry'!I$8="Decrease Risk",10-10*((IF('Advanced Entry'!I$5="Logarithm",LN(0.001+'Advanced Entry'!I62),IF('Advanced Entry'!I$5="Exponential",EXP('Advanced Entry'!I62),'Advanced Entry'!I62)))-'Advanced Entry'!I$6)/('Advanced Entry'!I$7-'Advanced Entry'!I$6),10*((IF('Advanced Entry'!I$5="Logarithm",LN(0.001+'Advanced Entry'!I62),IF('Advanced Entry'!I$5="Exponential",EXP('Advanced Entry'!I62),'Advanced Entry'!I62)))-'Advanced Entry'!I$6)/('Advanced Entry'!I$7-'Advanced Entry'!I$6)),1))),"No data"))</f>
        <v/>
      </c>
      <c r="J62" s="17">
        <f>IF('Advanced Entry'!J62="","",IFERROR(MAX(0,MIN(10,ROUND(IF('Advanced Entry'!J$8="Decrease Risk",10-10*((IF('Advanced Entry'!J$5="Logarithm",LN(0.001+'Advanced Entry'!J62),IF('Advanced Entry'!J$5="Exponential",EXP('Advanced Entry'!J62),'Advanced Entry'!J62)))-'Advanced Entry'!J$6)/('Advanced Entry'!J$7-'Advanced Entry'!J$6),10*((IF('Advanced Entry'!J$5="Logarithm",LN(0.001+'Advanced Entry'!J62),IF('Advanced Entry'!J$5="Exponential",EXP('Advanced Entry'!J62),'Advanced Entry'!J62)))-'Advanced Entry'!J$6)/('Advanced Entry'!J$7-'Advanced Entry'!J$6)),1))),"No data"))</f>
        <v/>
      </c>
      <c r="K62" s="17">
        <f>IF('Advanced Entry'!K62="","",IFERROR(MAX(0,MIN(10,ROUND(IF('Advanced Entry'!K$8="Decrease Risk",10-10*((IF('Advanced Entry'!K$5="Logarithm",LN(0.001+'Advanced Entry'!K62),IF('Advanced Entry'!K$5="Exponential",EXP('Advanced Entry'!K62),'Advanced Entry'!K62)))-'Advanced Entry'!K$6)/('Advanced Entry'!K$7-'Advanced Entry'!K$6),10*((IF('Advanced Entry'!K$5="Logarithm",LN(0.001+'Advanced Entry'!K62),IF('Advanced Entry'!K$5="Exponential",EXP('Advanced Entry'!K62),'Advanced Entry'!K62)))-'Advanced Entry'!K$6)/('Advanced Entry'!K$7-'Advanced Entry'!K$6)),1))),"No data"))</f>
        <v/>
      </c>
      <c r="L62" s="17">
        <f>IF('Advanced Entry'!L62="","",IFERROR(MAX(0,MIN(10,ROUND(IF('Advanced Entry'!L$8="Decrease Risk",10-10*((IF('Advanced Entry'!L$5="Logarithm",LN(0.001+'Advanced Entry'!L62),IF('Advanced Entry'!L$5="Exponential",EXP('Advanced Entry'!L62),'Advanced Entry'!L62)))-'Advanced Entry'!L$6)/('Advanced Entry'!L$7-'Advanced Entry'!L$6),10*((IF('Advanced Entry'!L$5="Logarithm",LN(0.001+'Advanced Entry'!L62),IF('Advanced Entry'!L$5="Exponential",EXP('Advanced Entry'!L62),'Advanced Entry'!L62)))-'Advanced Entry'!L$6)/('Advanced Entry'!L$7-'Advanced Entry'!L$6)),1))),"No data"))</f>
        <v/>
      </c>
      <c r="M62" s="17">
        <f>IF('Advanced Entry'!M62="","",IFERROR(MAX(0,MIN(10,ROUND(IF('Advanced Entry'!M$8="Decrease Risk",10-10*((IF('Advanced Entry'!M$5="Logarithm",LN(0.001+'Advanced Entry'!M62),IF('Advanced Entry'!M$5="Exponential",EXP('Advanced Entry'!M62),'Advanced Entry'!M62)))-'Advanced Entry'!M$6)/('Advanced Entry'!M$7-'Advanced Entry'!M$6),10*((IF('Advanced Entry'!M$5="Logarithm",LN(0.001+'Advanced Entry'!M62),IF('Advanced Entry'!M$5="Exponential",EXP('Advanced Entry'!M62),'Advanced Entry'!M62)))-'Advanced Entry'!M$6)/('Advanced Entry'!M$7-'Advanced Entry'!M$6)),1))),"No data"))</f>
        <v/>
      </c>
      <c r="N62" s="17">
        <f>IF('Advanced Entry'!N62="","",IFERROR(MAX(0,MIN(10,ROUND(IF('Advanced Entry'!N$8="Decrease Risk",10-10*((IF('Advanced Entry'!N$5="Logarithm",LN(0.001+'Advanced Entry'!N62),IF('Advanced Entry'!N$5="Exponential",EXP('Advanced Entry'!N62),'Advanced Entry'!N62)))-'Advanced Entry'!N$6)/('Advanced Entry'!N$7-'Advanced Entry'!N$6),10*((IF('Advanced Entry'!N$5="Logarithm",LN(0.001+'Advanced Entry'!N62),IF('Advanced Entry'!N$5="Exponential",EXP('Advanced Entry'!N62),'Advanced Entry'!N62)))-'Advanced Entry'!N$6)/('Advanced Entry'!N$7-'Advanced Entry'!N$6)),1))),"No data"))</f>
        <v/>
      </c>
      <c r="O62" s="17">
        <f>IF('Advanced Entry'!O62="","",IFERROR(MAX(0,MIN(10,ROUND(IF('Advanced Entry'!O$8="Decrease Risk",10-10*((IF('Advanced Entry'!O$5="Logarithm",LN(0.001+'Advanced Entry'!O62),IF('Advanced Entry'!O$5="Exponential",EXP('Advanced Entry'!O62),'Advanced Entry'!O62)))-'Advanced Entry'!O$6)/('Advanced Entry'!O$7-'Advanced Entry'!O$6),10*((IF('Advanced Entry'!O$5="Logarithm",LN(0.001+'Advanced Entry'!O62),IF('Advanced Entry'!O$5="Exponential",EXP('Advanced Entry'!O62),'Advanced Entry'!O62)))-'Advanced Entry'!O$6)/('Advanced Entry'!O$7-'Advanced Entry'!O$6)),1))),"No data"))</f>
        <v/>
      </c>
      <c r="P62" s="17">
        <f>IF('Advanced Entry'!P62="","",IFERROR(MAX(0,MIN(10,ROUND(IF('Advanced Entry'!P$8="Decrease Risk",10-10*((IF('Advanced Entry'!P$5="Logarithm",LN(0.001+'Advanced Entry'!P62),IF('Advanced Entry'!P$5="Exponential",EXP('Advanced Entry'!P62),'Advanced Entry'!P62)))-'Advanced Entry'!P$6)/('Advanced Entry'!P$7-'Advanced Entry'!P$6),10*((IF('Advanced Entry'!P$5="Logarithm",LN(0.001+'Advanced Entry'!P62),IF('Advanced Entry'!P$5="Exponential",EXP('Advanced Entry'!P62),'Advanced Entry'!P62)))-'Advanced Entry'!P$6)/('Advanced Entry'!P$7-'Advanced Entry'!P$6)),1))),"No data"))</f>
        <v/>
      </c>
      <c r="Q62" s="17">
        <f>IF('Advanced Entry'!Q62="","",IFERROR(MAX(0,MIN(10,ROUND(IF('Advanced Entry'!Q$8="Decrease Risk",10-10*((IF('Advanced Entry'!Q$5="Logarithm",LN(0.001+'Advanced Entry'!Q62),IF('Advanced Entry'!Q$5="Exponential",EXP('Advanced Entry'!Q62),'Advanced Entry'!Q62)))-'Advanced Entry'!Q$6)/('Advanced Entry'!Q$7-'Advanced Entry'!Q$6),10*((IF('Advanced Entry'!Q$5="Logarithm",LN(0.001+'Advanced Entry'!Q62),IF('Advanced Entry'!Q$5="Exponential",EXP('Advanced Entry'!Q62),'Advanced Entry'!Q62)))-'Advanced Entry'!Q$6)/('Advanced Entry'!Q$7-'Advanced Entry'!Q$6)),1))),"No data"))</f>
        <v/>
      </c>
      <c r="R62" s="17">
        <f>IF('Advanced Entry'!R62="","",IFERROR(MAX(0,MIN(10,ROUND(IF('Advanced Entry'!R$8="Decrease Risk",10-10*((IF('Advanced Entry'!R$5="Logarithm",LN(0.001+'Advanced Entry'!R62),IF('Advanced Entry'!R$5="Exponential",EXP('Advanced Entry'!R62),'Advanced Entry'!R62)))-'Advanced Entry'!R$6)/('Advanced Entry'!R$7-'Advanced Entry'!R$6),10*((IF('Advanced Entry'!R$5="Logarithm",LN(0.001+'Advanced Entry'!R62),IF('Advanced Entry'!R$5="Exponential",EXP('Advanced Entry'!R62),'Advanced Entry'!R62)))-'Advanced Entry'!R$6)/('Advanced Entry'!R$7-'Advanced Entry'!R$6)),1))),"No data"))</f>
        <v/>
      </c>
      <c r="S62" s="17">
        <f>IF('Advanced Entry'!S62="","",IFERROR(MAX(0,MIN(10,ROUND(IF('Advanced Entry'!S$8="Decrease Risk",10-10*((IF('Advanced Entry'!S$5="Logarithm",LN(0.001+'Advanced Entry'!S62),IF('Advanced Entry'!S$5="Exponential",EXP('Advanced Entry'!S62),'Advanced Entry'!S62)))-'Advanced Entry'!S$6)/('Advanced Entry'!S$7-'Advanced Entry'!S$6),10*((IF('Advanced Entry'!S$5="Logarithm",LN(0.001+'Advanced Entry'!S62),IF('Advanced Entry'!S$5="Exponential",EXP('Advanced Entry'!S62),'Advanced Entry'!S62)))-'Advanced Entry'!S$6)/('Advanced Entry'!S$7-'Advanced Entry'!S$6)),1))),"No data"))</f>
        <v/>
      </c>
      <c r="T62" s="17">
        <f>IF('Advanced Entry'!T62="","",IFERROR(MAX(0,MIN(10,ROUND(IF('Advanced Entry'!T$8="Decrease Risk",10-10*((IF('Advanced Entry'!T$5="Logarithm",LN(0.001+'Advanced Entry'!T62),IF('Advanced Entry'!T$5="Exponential",EXP('Advanced Entry'!T62),'Advanced Entry'!T62)))-'Advanced Entry'!T$6)/('Advanced Entry'!T$7-'Advanced Entry'!T$6),10*((IF('Advanced Entry'!T$5="Logarithm",LN(0.001+'Advanced Entry'!T62),IF('Advanced Entry'!T$5="Exponential",EXP('Advanced Entry'!T62),'Advanced Entry'!T62)))-'Advanced Entry'!T$6)/('Advanced Entry'!T$7-'Advanced Entry'!T$6)),1))),"No data"))</f>
        <v/>
      </c>
      <c r="U62" s="17">
        <f>IF('Advanced Entry'!U62="","",IFERROR(MAX(0,MIN(10,ROUND(IF('Advanced Entry'!U$8="Decrease Risk",10-10*((IF('Advanced Entry'!U$5="Logarithm",LN(0.001+'Advanced Entry'!U62),IF('Advanced Entry'!U$5="Exponential",EXP('Advanced Entry'!U62),'Advanced Entry'!U62)))-'Advanced Entry'!U$6)/('Advanced Entry'!U$7-'Advanced Entry'!U$6),10*((IF('Advanced Entry'!U$5="Logarithm",LN(0.001+'Advanced Entry'!U62),IF('Advanced Entry'!U$5="Exponential",EXP('Advanced Entry'!U62),'Advanced Entry'!U62)))-'Advanced Entry'!U$6)/('Advanced Entry'!U$7-'Advanced Entry'!U$6)),1))),"No data"))</f>
        <v/>
      </c>
      <c r="V62" s="17">
        <f>IF('Advanced Entry'!V62="","",IFERROR(MAX(0,MIN(10,ROUND(IF('Advanced Entry'!V$8="Decrease Risk",10-10*((IF('Advanced Entry'!V$5="Logarithm",LN(0.001+'Advanced Entry'!V62),IF('Advanced Entry'!V$5="Exponential",EXP('Advanced Entry'!V62),'Advanced Entry'!V62)))-'Advanced Entry'!V$6)/('Advanced Entry'!V$7-'Advanced Entry'!V$6),10*((IF('Advanced Entry'!V$5="Logarithm",LN(0.001+'Advanced Entry'!V62),IF('Advanced Entry'!V$5="Exponential",EXP('Advanced Entry'!V62),'Advanced Entry'!V62)))-'Advanced Entry'!V$6)/('Advanced Entry'!V$7-'Advanced Entry'!V$6)),1))),"No data"))</f>
        <v/>
      </c>
      <c r="W62" s="17">
        <f>IF('Advanced Entry'!W62="","",IFERROR(MAX(0,MIN(10,ROUND(IF('Advanced Entry'!W$8="Decrease Risk",10-10*((IF('Advanced Entry'!W$5="Logarithm",LN(0.001+'Advanced Entry'!W62),IF('Advanced Entry'!W$5="Exponential",EXP('Advanced Entry'!W62),'Advanced Entry'!W62)))-'Advanced Entry'!W$6)/('Advanced Entry'!W$7-'Advanced Entry'!W$6),10*((IF('Advanced Entry'!W$5="Logarithm",LN(0.001+'Advanced Entry'!W62),IF('Advanced Entry'!W$5="Exponential",EXP('Advanced Entry'!W62),'Advanced Entry'!W62)))-'Advanced Entry'!W$6)/('Advanced Entry'!W$7-'Advanced Entry'!W$6)),1))),"No data"))</f>
        <v/>
      </c>
      <c r="X62" s="17">
        <f>IF('Advanced Entry'!X62="","",IFERROR(MAX(0,MIN(10,ROUND(IF('Advanced Entry'!X$8="Decrease Risk",10-10*((IF('Advanced Entry'!X$5="Logarithm",LN(0.001+'Advanced Entry'!X62),IF('Advanced Entry'!X$5="Exponential",EXP('Advanced Entry'!X62),'Advanced Entry'!X62)))-'Advanced Entry'!X$6)/('Advanced Entry'!X$7-'Advanced Entry'!X$6),10*((IF('Advanced Entry'!X$5="Logarithm",LN(0.001+'Advanced Entry'!X62),IF('Advanced Entry'!X$5="Exponential",EXP('Advanced Entry'!X62),'Advanced Entry'!X62)))-'Advanced Entry'!X$6)/('Advanced Entry'!X$7-'Advanced Entry'!X$6)),1))),"No data"))</f>
        <v/>
      </c>
      <c r="Y62" s="17">
        <f>IF('Advanced Entry'!Y62="","",IFERROR(MAX(0,MIN(10,ROUND(IF('Advanced Entry'!Y$8="Decrease Risk",10-10*((IF('Advanced Entry'!Y$5="Logarithm",LN(0.001+'Advanced Entry'!Y62),IF('Advanced Entry'!Y$5="Exponential",EXP('Advanced Entry'!Y62),'Advanced Entry'!Y62)))-'Advanced Entry'!Y$6)/('Advanced Entry'!Y$7-'Advanced Entry'!Y$6),10*((IF('Advanced Entry'!Y$5="Logarithm",LN(0.001+'Advanced Entry'!Y62),IF('Advanced Entry'!Y$5="Exponential",EXP('Advanced Entry'!Y62),'Advanced Entry'!Y62)))-'Advanced Entry'!Y$6)/('Advanced Entry'!Y$7-'Advanced Entry'!Y$6)),1))),"No data"))</f>
        <v/>
      </c>
      <c r="Z62" s="17">
        <f>IF('Advanced Entry'!Z62="","",IFERROR(MAX(0,MIN(10,ROUND(IF('Advanced Entry'!Z$8="Decrease Risk",10-10*((IF('Advanced Entry'!Z$5="Logarithm",LN(0.001+'Advanced Entry'!Z62),IF('Advanced Entry'!Z$5="Exponential",EXP('Advanced Entry'!Z62),'Advanced Entry'!Z62)))-'Advanced Entry'!Z$6)/('Advanced Entry'!Z$7-'Advanced Entry'!Z$6),10*((IF('Advanced Entry'!Z$5="Logarithm",LN(0.001+'Advanced Entry'!Z62),IF('Advanced Entry'!Z$5="Exponential",EXP('Advanced Entry'!Z62),'Advanced Entry'!Z62)))-'Advanced Entry'!Z$6)/('Advanced Entry'!Z$7-'Advanced Entry'!Z$6)),1))),"No data"))</f>
        <v/>
      </c>
      <c r="AA62" s="17">
        <f>IF('Advanced Entry'!AA62="","",IFERROR(MAX(0,MIN(10,ROUND(IF('Advanced Entry'!AA$8="Decrease Risk",10-10*((IF('Advanced Entry'!AA$5="Logarithm",LN(0.001+'Advanced Entry'!AA62),IF('Advanced Entry'!AA$5="Exponential",EXP('Advanced Entry'!AA62),'Advanced Entry'!AA62)))-'Advanced Entry'!AA$6)/('Advanced Entry'!AA$7-'Advanced Entry'!AA$6),10*((IF('Advanced Entry'!AA$5="Logarithm",LN(0.001+'Advanced Entry'!AA62),IF('Advanced Entry'!AA$5="Exponential",EXP('Advanced Entry'!AA62),'Advanced Entry'!AA62)))-'Advanced Entry'!AA$6)/('Advanced Entry'!AA$7-'Advanced Entry'!AA$6)),1))),"No data"))</f>
        <v/>
      </c>
      <c r="AB62" s="17">
        <f>IF('Advanced Entry'!AB62="","",IFERROR(MAX(0,MIN(10,ROUND(IF('Advanced Entry'!AB$8="Decrease Risk",10-10*((IF('Advanced Entry'!AB$5="Logarithm",LN(0.001+'Advanced Entry'!AB62),IF('Advanced Entry'!AB$5="Exponential",EXP('Advanced Entry'!AB62),'Advanced Entry'!AB62)))-'Advanced Entry'!AB$6)/('Advanced Entry'!AB$7-'Advanced Entry'!AB$6),10*((IF('Advanced Entry'!AB$5="Logarithm",LN(0.001+'Advanced Entry'!AB62),IF('Advanced Entry'!AB$5="Exponential",EXP('Advanced Entry'!AB62),'Advanced Entry'!AB62)))-'Advanced Entry'!AB$6)/('Advanced Entry'!AB$7-'Advanced Entry'!AB$6)),1))),"No data"))</f>
        <v/>
      </c>
    </row>
    <row r="63">
      <c r="A63" t="inlineStr">
        <is>
          <t>Kigoma</t>
        </is>
      </c>
      <c r="B63" t="inlineStr">
        <is>
          <t>Kibondo District</t>
        </is>
      </c>
      <c r="C63" t="inlineStr">
        <is>
          <t>C111</t>
        </is>
      </c>
      <c r="D63" s="17">
        <f>IF('Advanced Entry'!D63="","",IFERROR(MAX(0,MIN(10,ROUND(IF('Advanced Entry'!D$8="Decrease Risk",10-10*((IF('Advanced Entry'!D$5="Logarithm",LN(0.001+'Advanced Entry'!D63),IF('Advanced Entry'!D$5="Exponential",EXP('Advanced Entry'!D63),'Advanced Entry'!D63)))-'Advanced Entry'!D$6)/('Advanced Entry'!D$7-'Advanced Entry'!D$6),10*((IF('Advanced Entry'!D$5="Logarithm",LN(0.001+'Advanced Entry'!D63),IF('Advanced Entry'!D$5="Exponential",EXP('Advanced Entry'!D63),'Advanced Entry'!D63)))-'Advanced Entry'!D$6)/('Advanced Entry'!D$7-'Advanced Entry'!D$6)),1))),"No data"))</f>
        <v/>
      </c>
      <c r="E63" s="17">
        <f>IF('Advanced Entry'!E63="","",IFERROR(MAX(0,MIN(10,ROUND(IF('Advanced Entry'!E$8="Decrease Risk",10-10*((IF('Advanced Entry'!E$5="Logarithm",LN(0.001+'Advanced Entry'!E63),IF('Advanced Entry'!E$5="Exponential",EXP('Advanced Entry'!E63),'Advanced Entry'!E63)))-'Advanced Entry'!E$6)/('Advanced Entry'!E$7-'Advanced Entry'!E$6),10*((IF('Advanced Entry'!E$5="Logarithm",LN(0.001+'Advanced Entry'!E63),IF('Advanced Entry'!E$5="Exponential",EXP('Advanced Entry'!E63),'Advanced Entry'!E63)))-'Advanced Entry'!E$6)/('Advanced Entry'!E$7-'Advanced Entry'!E$6)),1))),"No data"))</f>
        <v/>
      </c>
      <c r="F63" s="17">
        <f>IF('Advanced Entry'!F63="","",IFERROR(MAX(0,MIN(10,ROUND(IF('Advanced Entry'!F$8="Decrease Risk",10-10*((IF('Advanced Entry'!F$5="Logarithm",LN(0.001+'Advanced Entry'!F63),IF('Advanced Entry'!F$5="Exponential",EXP('Advanced Entry'!F63),'Advanced Entry'!F63)))-'Advanced Entry'!F$6)/('Advanced Entry'!F$7-'Advanced Entry'!F$6),10*((IF('Advanced Entry'!F$5="Logarithm",LN(0.001+'Advanced Entry'!F63),IF('Advanced Entry'!F$5="Exponential",EXP('Advanced Entry'!F63),'Advanced Entry'!F63)))-'Advanced Entry'!F$6)/('Advanced Entry'!F$7-'Advanced Entry'!F$6)),1))),"No data"))</f>
        <v/>
      </c>
      <c r="G63" s="17">
        <f>IF('Advanced Entry'!G63="","",IFERROR(MAX(0,MIN(10,ROUND(IF('Advanced Entry'!G$8="Decrease Risk",10-10*((IF('Advanced Entry'!G$5="Logarithm",LN(0.001+'Advanced Entry'!G63),IF('Advanced Entry'!G$5="Exponential",EXP('Advanced Entry'!G63),'Advanced Entry'!G63)))-'Advanced Entry'!G$6)/('Advanced Entry'!G$7-'Advanced Entry'!G$6),10*((IF('Advanced Entry'!G$5="Logarithm",LN(0.001+'Advanced Entry'!G63),IF('Advanced Entry'!G$5="Exponential",EXP('Advanced Entry'!G63),'Advanced Entry'!G63)))-'Advanced Entry'!G$6)/('Advanced Entry'!G$7-'Advanced Entry'!G$6)),1))),"No data"))</f>
        <v/>
      </c>
      <c r="H63" s="17">
        <f>IF('Advanced Entry'!H63="","",IFERROR(MAX(0,MIN(10,ROUND(IF('Advanced Entry'!H$8="Decrease Risk",10-10*((IF('Advanced Entry'!H$5="Logarithm",LN(0.001+'Advanced Entry'!H63),IF('Advanced Entry'!H$5="Exponential",EXP('Advanced Entry'!H63),'Advanced Entry'!H63)))-'Advanced Entry'!H$6)/('Advanced Entry'!H$7-'Advanced Entry'!H$6),10*((IF('Advanced Entry'!H$5="Logarithm",LN(0.001+'Advanced Entry'!H63),IF('Advanced Entry'!H$5="Exponential",EXP('Advanced Entry'!H63),'Advanced Entry'!H63)))-'Advanced Entry'!H$6)/('Advanced Entry'!H$7-'Advanced Entry'!H$6)),1))),"No data"))</f>
        <v/>
      </c>
      <c r="I63" s="17">
        <f>IF('Advanced Entry'!I63="","",IFERROR(MAX(0,MIN(10,ROUND(IF('Advanced Entry'!I$8="Decrease Risk",10-10*((IF('Advanced Entry'!I$5="Logarithm",LN(0.001+'Advanced Entry'!I63),IF('Advanced Entry'!I$5="Exponential",EXP('Advanced Entry'!I63),'Advanced Entry'!I63)))-'Advanced Entry'!I$6)/('Advanced Entry'!I$7-'Advanced Entry'!I$6),10*((IF('Advanced Entry'!I$5="Logarithm",LN(0.001+'Advanced Entry'!I63),IF('Advanced Entry'!I$5="Exponential",EXP('Advanced Entry'!I63),'Advanced Entry'!I63)))-'Advanced Entry'!I$6)/('Advanced Entry'!I$7-'Advanced Entry'!I$6)),1))),"No data"))</f>
        <v/>
      </c>
      <c r="J63" s="17">
        <f>IF('Advanced Entry'!J63="","",IFERROR(MAX(0,MIN(10,ROUND(IF('Advanced Entry'!J$8="Decrease Risk",10-10*((IF('Advanced Entry'!J$5="Logarithm",LN(0.001+'Advanced Entry'!J63),IF('Advanced Entry'!J$5="Exponential",EXP('Advanced Entry'!J63),'Advanced Entry'!J63)))-'Advanced Entry'!J$6)/('Advanced Entry'!J$7-'Advanced Entry'!J$6),10*((IF('Advanced Entry'!J$5="Logarithm",LN(0.001+'Advanced Entry'!J63),IF('Advanced Entry'!J$5="Exponential",EXP('Advanced Entry'!J63),'Advanced Entry'!J63)))-'Advanced Entry'!J$6)/('Advanced Entry'!J$7-'Advanced Entry'!J$6)),1))),"No data"))</f>
        <v/>
      </c>
      <c r="K63" s="17">
        <f>IF('Advanced Entry'!K63="","",IFERROR(MAX(0,MIN(10,ROUND(IF('Advanced Entry'!K$8="Decrease Risk",10-10*((IF('Advanced Entry'!K$5="Logarithm",LN(0.001+'Advanced Entry'!K63),IF('Advanced Entry'!K$5="Exponential",EXP('Advanced Entry'!K63),'Advanced Entry'!K63)))-'Advanced Entry'!K$6)/('Advanced Entry'!K$7-'Advanced Entry'!K$6),10*((IF('Advanced Entry'!K$5="Logarithm",LN(0.001+'Advanced Entry'!K63),IF('Advanced Entry'!K$5="Exponential",EXP('Advanced Entry'!K63),'Advanced Entry'!K63)))-'Advanced Entry'!K$6)/('Advanced Entry'!K$7-'Advanced Entry'!K$6)),1))),"No data"))</f>
        <v/>
      </c>
      <c r="L63" s="17">
        <f>IF('Advanced Entry'!L63="","",IFERROR(MAX(0,MIN(10,ROUND(IF('Advanced Entry'!L$8="Decrease Risk",10-10*((IF('Advanced Entry'!L$5="Logarithm",LN(0.001+'Advanced Entry'!L63),IF('Advanced Entry'!L$5="Exponential",EXP('Advanced Entry'!L63),'Advanced Entry'!L63)))-'Advanced Entry'!L$6)/('Advanced Entry'!L$7-'Advanced Entry'!L$6),10*((IF('Advanced Entry'!L$5="Logarithm",LN(0.001+'Advanced Entry'!L63),IF('Advanced Entry'!L$5="Exponential",EXP('Advanced Entry'!L63),'Advanced Entry'!L63)))-'Advanced Entry'!L$6)/('Advanced Entry'!L$7-'Advanced Entry'!L$6)),1))),"No data"))</f>
        <v/>
      </c>
      <c r="M63" s="17">
        <f>IF('Advanced Entry'!M63="","",IFERROR(MAX(0,MIN(10,ROUND(IF('Advanced Entry'!M$8="Decrease Risk",10-10*((IF('Advanced Entry'!M$5="Logarithm",LN(0.001+'Advanced Entry'!M63),IF('Advanced Entry'!M$5="Exponential",EXP('Advanced Entry'!M63),'Advanced Entry'!M63)))-'Advanced Entry'!M$6)/('Advanced Entry'!M$7-'Advanced Entry'!M$6),10*((IF('Advanced Entry'!M$5="Logarithm",LN(0.001+'Advanced Entry'!M63),IF('Advanced Entry'!M$5="Exponential",EXP('Advanced Entry'!M63),'Advanced Entry'!M63)))-'Advanced Entry'!M$6)/('Advanced Entry'!M$7-'Advanced Entry'!M$6)),1))),"No data"))</f>
        <v/>
      </c>
      <c r="N63" s="17">
        <f>IF('Advanced Entry'!N63="","",IFERROR(MAX(0,MIN(10,ROUND(IF('Advanced Entry'!N$8="Decrease Risk",10-10*((IF('Advanced Entry'!N$5="Logarithm",LN(0.001+'Advanced Entry'!N63),IF('Advanced Entry'!N$5="Exponential",EXP('Advanced Entry'!N63),'Advanced Entry'!N63)))-'Advanced Entry'!N$6)/('Advanced Entry'!N$7-'Advanced Entry'!N$6),10*((IF('Advanced Entry'!N$5="Logarithm",LN(0.001+'Advanced Entry'!N63),IF('Advanced Entry'!N$5="Exponential",EXP('Advanced Entry'!N63),'Advanced Entry'!N63)))-'Advanced Entry'!N$6)/('Advanced Entry'!N$7-'Advanced Entry'!N$6)),1))),"No data"))</f>
        <v/>
      </c>
      <c r="O63" s="17">
        <f>IF('Advanced Entry'!O63="","",IFERROR(MAX(0,MIN(10,ROUND(IF('Advanced Entry'!O$8="Decrease Risk",10-10*((IF('Advanced Entry'!O$5="Logarithm",LN(0.001+'Advanced Entry'!O63),IF('Advanced Entry'!O$5="Exponential",EXP('Advanced Entry'!O63),'Advanced Entry'!O63)))-'Advanced Entry'!O$6)/('Advanced Entry'!O$7-'Advanced Entry'!O$6),10*((IF('Advanced Entry'!O$5="Logarithm",LN(0.001+'Advanced Entry'!O63),IF('Advanced Entry'!O$5="Exponential",EXP('Advanced Entry'!O63),'Advanced Entry'!O63)))-'Advanced Entry'!O$6)/('Advanced Entry'!O$7-'Advanced Entry'!O$6)),1))),"No data"))</f>
        <v/>
      </c>
      <c r="P63" s="17">
        <f>IF('Advanced Entry'!P63="","",IFERROR(MAX(0,MIN(10,ROUND(IF('Advanced Entry'!P$8="Decrease Risk",10-10*((IF('Advanced Entry'!P$5="Logarithm",LN(0.001+'Advanced Entry'!P63),IF('Advanced Entry'!P$5="Exponential",EXP('Advanced Entry'!P63),'Advanced Entry'!P63)))-'Advanced Entry'!P$6)/('Advanced Entry'!P$7-'Advanced Entry'!P$6),10*((IF('Advanced Entry'!P$5="Logarithm",LN(0.001+'Advanced Entry'!P63),IF('Advanced Entry'!P$5="Exponential",EXP('Advanced Entry'!P63),'Advanced Entry'!P63)))-'Advanced Entry'!P$6)/('Advanced Entry'!P$7-'Advanced Entry'!P$6)),1))),"No data"))</f>
        <v/>
      </c>
      <c r="Q63" s="17">
        <f>IF('Advanced Entry'!Q63="","",IFERROR(MAX(0,MIN(10,ROUND(IF('Advanced Entry'!Q$8="Decrease Risk",10-10*((IF('Advanced Entry'!Q$5="Logarithm",LN(0.001+'Advanced Entry'!Q63),IF('Advanced Entry'!Q$5="Exponential",EXP('Advanced Entry'!Q63),'Advanced Entry'!Q63)))-'Advanced Entry'!Q$6)/('Advanced Entry'!Q$7-'Advanced Entry'!Q$6),10*((IF('Advanced Entry'!Q$5="Logarithm",LN(0.001+'Advanced Entry'!Q63),IF('Advanced Entry'!Q$5="Exponential",EXP('Advanced Entry'!Q63),'Advanced Entry'!Q63)))-'Advanced Entry'!Q$6)/('Advanced Entry'!Q$7-'Advanced Entry'!Q$6)),1))),"No data"))</f>
        <v/>
      </c>
      <c r="R63" s="17">
        <f>IF('Advanced Entry'!R63="","",IFERROR(MAX(0,MIN(10,ROUND(IF('Advanced Entry'!R$8="Decrease Risk",10-10*((IF('Advanced Entry'!R$5="Logarithm",LN(0.001+'Advanced Entry'!R63),IF('Advanced Entry'!R$5="Exponential",EXP('Advanced Entry'!R63),'Advanced Entry'!R63)))-'Advanced Entry'!R$6)/('Advanced Entry'!R$7-'Advanced Entry'!R$6),10*((IF('Advanced Entry'!R$5="Logarithm",LN(0.001+'Advanced Entry'!R63),IF('Advanced Entry'!R$5="Exponential",EXP('Advanced Entry'!R63),'Advanced Entry'!R63)))-'Advanced Entry'!R$6)/('Advanced Entry'!R$7-'Advanced Entry'!R$6)),1))),"No data"))</f>
        <v/>
      </c>
      <c r="S63" s="17">
        <f>IF('Advanced Entry'!S63="","",IFERROR(MAX(0,MIN(10,ROUND(IF('Advanced Entry'!S$8="Decrease Risk",10-10*((IF('Advanced Entry'!S$5="Logarithm",LN(0.001+'Advanced Entry'!S63),IF('Advanced Entry'!S$5="Exponential",EXP('Advanced Entry'!S63),'Advanced Entry'!S63)))-'Advanced Entry'!S$6)/('Advanced Entry'!S$7-'Advanced Entry'!S$6),10*((IF('Advanced Entry'!S$5="Logarithm",LN(0.001+'Advanced Entry'!S63),IF('Advanced Entry'!S$5="Exponential",EXP('Advanced Entry'!S63),'Advanced Entry'!S63)))-'Advanced Entry'!S$6)/('Advanced Entry'!S$7-'Advanced Entry'!S$6)),1))),"No data"))</f>
        <v/>
      </c>
      <c r="T63" s="17">
        <f>IF('Advanced Entry'!T63="","",IFERROR(MAX(0,MIN(10,ROUND(IF('Advanced Entry'!T$8="Decrease Risk",10-10*((IF('Advanced Entry'!T$5="Logarithm",LN(0.001+'Advanced Entry'!T63),IF('Advanced Entry'!T$5="Exponential",EXP('Advanced Entry'!T63),'Advanced Entry'!T63)))-'Advanced Entry'!T$6)/('Advanced Entry'!T$7-'Advanced Entry'!T$6),10*((IF('Advanced Entry'!T$5="Logarithm",LN(0.001+'Advanced Entry'!T63),IF('Advanced Entry'!T$5="Exponential",EXP('Advanced Entry'!T63),'Advanced Entry'!T63)))-'Advanced Entry'!T$6)/('Advanced Entry'!T$7-'Advanced Entry'!T$6)),1))),"No data"))</f>
        <v/>
      </c>
      <c r="U63" s="17">
        <f>IF('Advanced Entry'!U63="","",IFERROR(MAX(0,MIN(10,ROUND(IF('Advanced Entry'!U$8="Decrease Risk",10-10*((IF('Advanced Entry'!U$5="Logarithm",LN(0.001+'Advanced Entry'!U63),IF('Advanced Entry'!U$5="Exponential",EXP('Advanced Entry'!U63),'Advanced Entry'!U63)))-'Advanced Entry'!U$6)/('Advanced Entry'!U$7-'Advanced Entry'!U$6),10*((IF('Advanced Entry'!U$5="Logarithm",LN(0.001+'Advanced Entry'!U63),IF('Advanced Entry'!U$5="Exponential",EXP('Advanced Entry'!U63),'Advanced Entry'!U63)))-'Advanced Entry'!U$6)/('Advanced Entry'!U$7-'Advanced Entry'!U$6)),1))),"No data"))</f>
        <v/>
      </c>
      <c r="V63" s="17">
        <f>IF('Advanced Entry'!V63="","",IFERROR(MAX(0,MIN(10,ROUND(IF('Advanced Entry'!V$8="Decrease Risk",10-10*((IF('Advanced Entry'!V$5="Logarithm",LN(0.001+'Advanced Entry'!V63),IF('Advanced Entry'!V$5="Exponential",EXP('Advanced Entry'!V63),'Advanced Entry'!V63)))-'Advanced Entry'!V$6)/('Advanced Entry'!V$7-'Advanced Entry'!V$6),10*((IF('Advanced Entry'!V$5="Logarithm",LN(0.001+'Advanced Entry'!V63),IF('Advanced Entry'!V$5="Exponential",EXP('Advanced Entry'!V63),'Advanced Entry'!V63)))-'Advanced Entry'!V$6)/('Advanced Entry'!V$7-'Advanced Entry'!V$6)),1))),"No data"))</f>
        <v/>
      </c>
      <c r="W63" s="17">
        <f>IF('Advanced Entry'!W63="","",IFERROR(MAX(0,MIN(10,ROUND(IF('Advanced Entry'!W$8="Decrease Risk",10-10*((IF('Advanced Entry'!W$5="Logarithm",LN(0.001+'Advanced Entry'!W63),IF('Advanced Entry'!W$5="Exponential",EXP('Advanced Entry'!W63),'Advanced Entry'!W63)))-'Advanced Entry'!W$6)/('Advanced Entry'!W$7-'Advanced Entry'!W$6),10*((IF('Advanced Entry'!W$5="Logarithm",LN(0.001+'Advanced Entry'!W63),IF('Advanced Entry'!W$5="Exponential",EXP('Advanced Entry'!W63),'Advanced Entry'!W63)))-'Advanced Entry'!W$6)/('Advanced Entry'!W$7-'Advanced Entry'!W$6)),1))),"No data"))</f>
        <v/>
      </c>
      <c r="X63" s="17">
        <f>IF('Advanced Entry'!X63="","",IFERROR(MAX(0,MIN(10,ROUND(IF('Advanced Entry'!X$8="Decrease Risk",10-10*((IF('Advanced Entry'!X$5="Logarithm",LN(0.001+'Advanced Entry'!X63),IF('Advanced Entry'!X$5="Exponential",EXP('Advanced Entry'!X63),'Advanced Entry'!X63)))-'Advanced Entry'!X$6)/('Advanced Entry'!X$7-'Advanced Entry'!X$6),10*((IF('Advanced Entry'!X$5="Logarithm",LN(0.001+'Advanced Entry'!X63),IF('Advanced Entry'!X$5="Exponential",EXP('Advanced Entry'!X63),'Advanced Entry'!X63)))-'Advanced Entry'!X$6)/('Advanced Entry'!X$7-'Advanced Entry'!X$6)),1))),"No data"))</f>
        <v/>
      </c>
      <c r="Y63" s="17">
        <f>IF('Advanced Entry'!Y63="","",IFERROR(MAX(0,MIN(10,ROUND(IF('Advanced Entry'!Y$8="Decrease Risk",10-10*((IF('Advanced Entry'!Y$5="Logarithm",LN(0.001+'Advanced Entry'!Y63),IF('Advanced Entry'!Y$5="Exponential",EXP('Advanced Entry'!Y63),'Advanced Entry'!Y63)))-'Advanced Entry'!Y$6)/('Advanced Entry'!Y$7-'Advanced Entry'!Y$6),10*((IF('Advanced Entry'!Y$5="Logarithm",LN(0.001+'Advanced Entry'!Y63),IF('Advanced Entry'!Y$5="Exponential",EXP('Advanced Entry'!Y63),'Advanced Entry'!Y63)))-'Advanced Entry'!Y$6)/('Advanced Entry'!Y$7-'Advanced Entry'!Y$6)),1))),"No data"))</f>
        <v/>
      </c>
      <c r="Z63" s="17">
        <f>IF('Advanced Entry'!Z63="","",IFERROR(MAX(0,MIN(10,ROUND(IF('Advanced Entry'!Z$8="Decrease Risk",10-10*((IF('Advanced Entry'!Z$5="Logarithm",LN(0.001+'Advanced Entry'!Z63),IF('Advanced Entry'!Z$5="Exponential",EXP('Advanced Entry'!Z63),'Advanced Entry'!Z63)))-'Advanced Entry'!Z$6)/('Advanced Entry'!Z$7-'Advanced Entry'!Z$6),10*((IF('Advanced Entry'!Z$5="Logarithm",LN(0.001+'Advanced Entry'!Z63),IF('Advanced Entry'!Z$5="Exponential",EXP('Advanced Entry'!Z63),'Advanced Entry'!Z63)))-'Advanced Entry'!Z$6)/('Advanced Entry'!Z$7-'Advanced Entry'!Z$6)),1))),"No data"))</f>
        <v/>
      </c>
      <c r="AA63" s="17">
        <f>IF('Advanced Entry'!AA63="","",IFERROR(MAX(0,MIN(10,ROUND(IF('Advanced Entry'!AA$8="Decrease Risk",10-10*((IF('Advanced Entry'!AA$5="Logarithm",LN(0.001+'Advanced Entry'!AA63),IF('Advanced Entry'!AA$5="Exponential",EXP('Advanced Entry'!AA63),'Advanced Entry'!AA63)))-'Advanced Entry'!AA$6)/('Advanced Entry'!AA$7-'Advanced Entry'!AA$6),10*((IF('Advanced Entry'!AA$5="Logarithm",LN(0.001+'Advanced Entry'!AA63),IF('Advanced Entry'!AA$5="Exponential",EXP('Advanced Entry'!AA63),'Advanced Entry'!AA63)))-'Advanced Entry'!AA$6)/('Advanced Entry'!AA$7-'Advanced Entry'!AA$6)),1))),"No data"))</f>
        <v/>
      </c>
      <c r="AB63" s="17">
        <f>IF('Advanced Entry'!AB63="","",IFERROR(MAX(0,MIN(10,ROUND(IF('Advanced Entry'!AB$8="Decrease Risk",10-10*((IF('Advanced Entry'!AB$5="Logarithm",LN(0.001+'Advanced Entry'!AB63),IF('Advanced Entry'!AB$5="Exponential",EXP('Advanced Entry'!AB63),'Advanced Entry'!AB63)))-'Advanced Entry'!AB$6)/('Advanced Entry'!AB$7-'Advanced Entry'!AB$6),10*((IF('Advanced Entry'!AB$5="Logarithm",LN(0.001+'Advanced Entry'!AB63),IF('Advanced Entry'!AB$5="Exponential",EXP('Advanced Entry'!AB63),'Advanced Entry'!AB63)))-'Advanced Entry'!AB$6)/('Advanced Entry'!AB$7-'Advanced Entry'!AB$6)),1))),"No data"))</f>
        <v/>
      </c>
    </row>
    <row r="64">
      <c r="A64" t="inlineStr">
        <is>
          <t>Kigoma</t>
        </is>
      </c>
      <c r="B64" t="inlineStr">
        <is>
          <t>Kigoma District</t>
        </is>
      </c>
      <c r="C64" t="inlineStr">
        <is>
          <t>C114</t>
        </is>
      </c>
      <c r="D64" s="17">
        <f>IF('Advanced Entry'!D64="","",IFERROR(MAX(0,MIN(10,ROUND(IF('Advanced Entry'!D$8="Decrease Risk",10-10*((IF('Advanced Entry'!D$5="Logarithm",LN(0.001+'Advanced Entry'!D64),IF('Advanced Entry'!D$5="Exponential",EXP('Advanced Entry'!D64),'Advanced Entry'!D64)))-'Advanced Entry'!D$6)/('Advanced Entry'!D$7-'Advanced Entry'!D$6),10*((IF('Advanced Entry'!D$5="Logarithm",LN(0.001+'Advanced Entry'!D64),IF('Advanced Entry'!D$5="Exponential",EXP('Advanced Entry'!D64),'Advanced Entry'!D64)))-'Advanced Entry'!D$6)/('Advanced Entry'!D$7-'Advanced Entry'!D$6)),1))),"No data"))</f>
        <v/>
      </c>
      <c r="E64" s="17">
        <f>IF('Advanced Entry'!E64="","",IFERROR(MAX(0,MIN(10,ROUND(IF('Advanced Entry'!E$8="Decrease Risk",10-10*((IF('Advanced Entry'!E$5="Logarithm",LN(0.001+'Advanced Entry'!E64),IF('Advanced Entry'!E$5="Exponential",EXP('Advanced Entry'!E64),'Advanced Entry'!E64)))-'Advanced Entry'!E$6)/('Advanced Entry'!E$7-'Advanced Entry'!E$6),10*((IF('Advanced Entry'!E$5="Logarithm",LN(0.001+'Advanced Entry'!E64),IF('Advanced Entry'!E$5="Exponential",EXP('Advanced Entry'!E64),'Advanced Entry'!E64)))-'Advanced Entry'!E$6)/('Advanced Entry'!E$7-'Advanced Entry'!E$6)),1))),"No data"))</f>
        <v/>
      </c>
      <c r="F64" s="17">
        <f>IF('Advanced Entry'!F64="","",IFERROR(MAX(0,MIN(10,ROUND(IF('Advanced Entry'!F$8="Decrease Risk",10-10*((IF('Advanced Entry'!F$5="Logarithm",LN(0.001+'Advanced Entry'!F64),IF('Advanced Entry'!F$5="Exponential",EXP('Advanced Entry'!F64),'Advanced Entry'!F64)))-'Advanced Entry'!F$6)/('Advanced Entry'!F$7-'Advanced Entry'!F$6),10*((IF('Advanced Entry'!F$5="Logarithm",LN(0.001+'Advanced Entry'!F64),IF('Advanced Entry'!F$5="Exponential",EXP('Advanced Entry'!F64),'Advanced Entry'!F64)))-'Advanced Entry'!F$6)/('Advanced Entry'!F$7-'Advanced Entry'!F$6)),1))),"No data"))</f>
        <v/>
      </c>
      <c r="G64" s="17">
        <f>IF('Advanced Entry'!G64="","",IFERROR(MAX(0,MIN(10,ROUND(IF('Advanced Entry'!G$8="Decrease Risk",10-10*((IF('Advanced Entry'!G$5="Logarithm",LN(0.001+'Advanced Entry'!G64),IF('Advanced Entry'!G$5="Exponential",EXP('Advanced Entry'!G64),'Advanced Entry'!G64)))-'Advanced Entry'!G$6)/('Advanced Entry'!G$7-'Advanced Entry'!G$6),10*((IF('Advanced Entry'!G$5="Logarithm",LN(0.001+'Advanced Entry'!G64),IF('Advanced Entry'!G$5="Exponential",EXP('Advanced Entry'!G64),'Advanced Entry'!G64)))-'Advanced Entry'!G$6)/('Advanced Entry'!G$7-'Advanced Entry'!G$6)),1))),"No data"))</f>
        <v/>
      </c>
      <c r="H64" s="17">
        <f>IF('Advanced Entry'!H64="","",IFERROR(MAX(0,MIN(10,ROUND(IF('Advanced Entry'!H$8="Decrease Risk",10-10*((IF('Advanced Entry'!H$5="Logarithm",LN(0.001+'Advanced Entry'!H64),IF('Advanced Entry'!H$5="Exponential",EXP('Advanced Entry'!H64),'Advanced Entry'!H64)))-'Advanced Entry'!H$6)/('Advanced Entry'!H$7-'Advanced Entry'!H$6),10*((IF('Advanced Entry'!H$5="Logarithm",LN(0.001+'Advanced Entry'!H64),IF('Advanced Entry'!H$5="Exponential",EXP('Advanced Entry'!H64),'Advanced Entry'!H64)))-'Advanced Entry'!H$6)/('Advanced Entry'!H$7-'Advanced Entry'!H$6)),1))),"No data"))</f>
        <v/>
      </c>
      <c r="I64" s="17">
        <f>IF('Advanced Entry'!I64="","",IFERROR(MAX(0,MIN(10,ROUND(IF('Advanced Entry'!I$8="Decrease Risk",10-10*((IF('Advanced Entry'!I$5="Logarithm",LN(0.001+'Advanced Entry'!I64),IF('Advanced Entry'!I$5="Exponential",EXP('Advanced Entry'!I64),'Advanced Entry'!I64)))-'Advanced Entry'!I$6)/('Advanced Entry'!I$7-'Advanced Entry'!I$6),10*((IF('Advanced Entry'!I$5="Logarithm",LN(0.001+'Advanced Entry'!I64),IF('Advanced Entry'!I$5="Exponential",EXP('Advanced Entry'!I64),'Advanced Entry'!I64)))-'Advanced Entry'!I$6)/('Advanced Entry'!I$7-'Advanced Entry'!I$6)),1))),"No data"))</f>
        <v/>
      </c>
      <c r="J64" s="17">
        <f>IF('Advanced Entry'!J64="","",IFERROR(MAX(0,MIN(10,ROUND(IF('Advanced Entry'!J$8="Decrease Risk",10-10*((IF('Advanced Entry'!J$5="Logarithm",LN(0.001+'Advanced Entry'!J64),IF('Advanced Entry'!J$5="Exponential",EXP('Advanced Entry'!J64),'Advanced Entry'!J64)))-'Advanced Entry'!J$6)/('Advanced Entry'!J$7-'Advanced Entry'!J$6),10*((IF('Advanced Entry'!J$5="Logarithm",LN(0.001+'Advanced Entry'!J64),IF('Advanced Entry'!J$5="Exponential",EXP('Advanced Entry'!J64),'Advanced Entry'!J64)))-'Advanced Entry'!J$6)/('Advanced Entry'!J$7-'Advanced Entry'!J$6)),1))),"No data"))</f>
        <v/>
      </c>
      <c r="K64" s="17">
        <f>IF('Advanced Entry'!K64="","",IFERROR(MAX(0,MIN(10,ROUND(IF('Advanced Entry'!K$8="Decrease Risk",10-10*((IF('Advanced Entry'!K$5="Logarithm",LN(0.001+'Advanced Entry'!K64),IF('Advanced Entry'!K$5="Exponential",EXP('Advanced Entry'!K64),'Advanced Entry'!K64)))-'Advanced Entry'!K$6)/('Advanced Entry'!K$7-'Advanced Entry'!K$6),10*((IF('Advanced Entry'!K$5="Logarithm",LN(0.001+'Advanced Entry'!K64),IF('Advanced Entry'!K$5="Exponential",EXP('Advanced Entry'!K64),'Advanced Entry'!K64)))-'Advanced Entry'!K$6)/('Advanced Entry'!K$7-'Advanced Entry'!K$6)),1))),"No data"))</f>
        <v/>
      </c>
      <c r="L64" s="17">
        <f>IF('Advanced Entry'!L64="","",IFERROR(MAX(0,MIN(10,ROUND(IF('Advanced Entry'!L$8="Decrease Risk",10-10*((IF('Advanced Entry'!L$5="Logarithm",LN(0.001+'Advanced Entry'!L64),IF('Advanced Entry'!L$5="Exponential",EXP('Advanced Entry'!L64),'Advanced Entry'!L64)))-'Advanced Entry'!L$6)/('Advanced Entry'!L$7-'Advanced Entry'!L$6),10*((IF('Advanced Entry'!L$5="Logarithm",LN(0.001+'Advanced Entry'!L64),IF('Advanced Entry'!L$5="Exponential",EXP('Advanced Entry'!L64),'Advanced Entry'!L64)))-'Advanced Entry'!L$6)/('Advanced Entry'!L$7-'Advanced Entry'!L$6)),1))),"No data"))</f>
        <v/>
      </c>
      <c r="M64" s="17">
        <f>IF('Advanced Entry'!M64="","",IFERROR(MAX(0,MIN(10,ROUND(IF('Advanced Entry'!M$8="Decrease Risk",10-10*((IF('Advanced Entry'!M$5="Logarithm",LN(0.001+'Advanced Entry'!M64),IF('Advanced Entry'!M$5="Exponential",EXP('Advanced Entry'!M64),'Advanced Entry'!M64)))-'Advanced Entry'!M$6)/('Advanced Entry'!M$7-'Advanced Entry'!M$6),10*((IF('Advanced Entry'!M$5="Logarithm",LN(0.001+'Advanced Entry'!M64),IF('Advanced Entry'!M$5="Exponential",EXP('Advanced Entry'!M64),'Advanced Entry'!M64)))-'Advanced Entry'!M$6)/('Advanced Entry'!M$7-'Advanced Entry'!M$6)),1))),"No data"))</f>
        <v/>
      </c>
      <c r="N64" s="17">
        <f>IF('Advanced Entry'!N64="","",IFERROR(MAX(0,MIN(10,ROUND(IF('Advanced Entry'!N$8="Decrease Risk",10-10*((IF('Advanced Entry'!N$5="Logarithm",LN(0.001+'Advanced Entry'!N64),IF('Advanced Entry'!N$5="Exponential",EXP('Advanced Entry'!N64),'Advanced Entry'!N64)))-'Advanced Entry'!N$6)/('Advanced Entry'!N$7-'Advanced Entry'!N$6),10*((IF('Advanced Entry'!N$5="Logarithm",LN(0.001+'Advanced Entry'!N64),IF('Advanced Entry'!N$5="Exponential",EXP('Advanced Entry'!N64),'Advanced Entry'!N64)))-'Advanced Entry'!N$6)/('Advanced Entry'!N$7-'Advanced Entry'!N$6)),1))),"No data"))</f>
        <v/>
      </c>
      <c r="O64" s="17">
        <f>IF('Advanced Entry'!O64="","",IFERROR(MAX(0,MIN(10,ROUND(IF('Advanced Entry'!O$8="Decrease Risk",10-10*((IF('Advanced Entry'!O$5="Logarithm",LN(0.001+'Advanced Entry'!O64),IF('Advanced Entry'!O$5="Exponential",EXP('Advanced Entry'!O64),'Advanced Entry'!O64)))-'Advanced Entry'!O$6)/('Advanced Entry'!O$7-'Advanced Entry'!O$6),10*((IF('Advanced Entry'!O$5="Logarithm",LN(0.001+'Advanced Entry'!O64),IF('Advanced Entry'!O$5="Exponential",EXP('Advanced Entry'!O64),'Advanced Entry'!O64)))-'Advanced Entry'!O$6)/('Advanced Entry'!O$7-'Advanced Entry'!O$6)),1))),"No data"))</f>
        <v/>
      </c>
      <c r="P64" s="17">
        <f>IF('Advanced Entry'!P64="","",IFERROR(MAX(0,MIN(10,ROUND(IF('Advanced Entry'!P$8="Decrease Risk",10-10*((IF('Advanced Entry'!P$5="Logarithm",LN(0.001+'Advanced Entry'!P64),IF('Advanced Entry'!P$5="Exponential",EXP('Advanced Entry'!P64),'Advanced Entry'!P64)))-'Advanced Entry'!P$6)/('Advanced Entry'!P$7-'Advanced Entry'!P$6),10*((IF('Advanced Entry'!P$5="Logarithm",LN(0.001+'Advanced Entry'!P64),IF('Advanced Entry'!P$5="Exponential",EXP('Advanced Entry'!P64),'Advanced Entry'!P64)))-'Advanced Entry'!P$6)/('Advanced Entry'!P$7-'Advanced Entry'!P$6)),1))),"No data"))</f>
        <v/>
      </c>
      <c r="Q64" s="17">
        <f>IF('Advanced Entry'!Q64="","",IFERROR(MAX(0,MIN(10,ROUND(IF('Advanced Entry'!Q$8="Decrease Risk",10-10*((IF('Advanced Entry'!Q$5="Logarithm",LN(0.001+'Advanced Entry'!Q64),IF('Advanced Entry'!Q$5="Exponential",EXP('Advanced Entry'!Q64),'Advanced Entry'!Q64)))-'Advanced Entry'!Q$6)/('Advanced Entry'!Q$7-'Advanced Entry'!Q$6),10*((IF('Advanced Entry'!Q$5="Logarithm",LN(0.001+'Advanced Entry'!Q64),IF('Advanced Entry'!Q$5="Exponential",EXP('Advanced Entry'!Q64),'Advanced Entry'!Q64)))-'Advanced Entry'!Q$6)/('Advanced Entry'!Q$7-'Advanced Entry'!Q$6)),1))),"No data"))</f>
        <v/>
      </c>
      <c r="R64" s="17">
        <f>IF('Advanced Entry'!R64="","",IFERROR(MAX(0,MIN(10,ROUND(IF('Advanced Entry'!R$8="Decrease Risk",10-10*((IF('Advanced Entry'!R$5="Logarithm",LN(0.001+'Advanced Entry'!R64),IF('Advanced Entry'!R$5="Exponential",EXP('Advanced Entry'!R64),'Advanced Entry'!R64)))-'Advanced Entry'!R$6)/('Advanced Entry'!R$7-'Advanced Entry'!R$6),10*((IF('Advanced Entry'!R$5="Logarithm",LN(0.001+'Advanced Entry'!R64),IF('Advanced Entry'!R$5="Exponential",EXP('Advanced Entry'!R64),'Advanced Entry'!R64)))-'Advanced Entry'!R$6)/('Advanced Entry'!R$7-'Advanced Entry'!R$6)),1))),"No data"))</f>
        <v/>
      </c>
      <c r="S64" s="17">
        <f>IF('Advanced Entry'!S64="","",IFERROR(MAX(0,MIN(10,ROUND(IF('Advanced Entry'!S$8="Decrease Risk",10-10*((IF('Advanced Entry'!S$5="Logarithm",LN(0.001+'Advanced Entry'!S64),IF('Advanced Entry'!S$5="Exponential",EXP('Advanced Entry'!S64),'Advanced Entry'!S64)))-'Advanced Entry'!S$6)/('Advanced Entry'!S$7-'Advanced Entry'!S$6),10*((IF('Advanced Entry'!S$5="Logarithm",LN(0.001+'Advanced Entry'!S64),IF('Advanced Entry'!S$5="Exponential",EXP('Advanced Entry'!S64),'Advanced Entry'!S64)))-'Advanced Entry'!S$6)/('Advanced Entry'!S$7-'Advanced Entry'!S$6)),1))),"No data"))</f>
        <v/>
      </c>
      <c r="T64" s="17">
        <f>IF('Advanced Entry'!T64="","",IFERROR(MAX(0,MIN(10,ROUND(IF('Advanced Entry'!T$8="Decrease Risk",10-10*((IF('Advanced Entry'!T$5="Logarithm",LN(0.001+'Advanced Entry'!T64),IF('Advanced Entry'!T$5="Exponential",EXP('Advanced Entry'!T64),'Advanced Entry'!T64)))-'Advanced Entry'!T$6)/('Advanced Entry'!T$7-'Advanced Entry'!T$6),10*((IF('Advanced Entry'!T$5="Logarithm",LN(0.001+'Advanced Entry'!T64),IF('Advanced Entry'!T$5="Exponential",EXP('Advanced Entry'!T64),'Advanced Entry'!T64)))-'Advanced Entry'!T$6)/('Advanced Entry'!T$7-'Advanced Entry'!T$6)),1))),"No data"))</f>
        <v/>
      </c>
      <c r="U64" s="17">
        <f>IF('Advanced Entry'!U64="","",IFERROR(MAX(0,MIN(10,ROUND(IF('Advanced Entry'!U$8="Decrease Risk",10-10*((IF('Advanced Entry'!U$5="Logarithm",LN(0.001+'Advanced Entry'!U64),IF('Advanced Entry'!U$5="Exponential",EXP('Advanced Entry'!U64),'Advanced Entry'!U64)))-'Advanced Entry'!U$6)/('Advanced Entry'!U$7-'Advanced Entry'!U$6),10*((IF('Advanced Entry'!U$5="Logarithm",LN(0.001+'Advanced Entry'!U64),IF('Advanced Entry'!U$5="Exponential",EXP('Advanced Entry'!U64),'Advanced Entry'!U64)))-'Advanced Entry'!U$6)/('Advanced Entry'!U$7-'Advanced Entry'!U$6)),1))),"No data"))</f>
        <v/>
      </c>
      <c r="V64" s="17">
        <f>IF('Advanced Entry'!V64="","",IFERROR(MAX(0,MIN(10,ROUND(IF('Advanced Entry'!V$8="Decrease Risk",10-10*((IF('Advanced Entry'!V$5="Logarithm",LN(0.001+'Advanced Entry'!V64),IF('Advanced Entry'!V$5="Exponential",EXP('Advanced Entry'!V64),'Advanced Entry'!V64)))-'Advanced Entry'!V$6)/('Advanced Entry'!V$7-'Advanced Entry'!V$6),10*((IF('Advanced Entry'!V$5="Logarithm",LN(0.001+'Advanced Entry'!V64),IF('Advanced Entry'!V$5="Exponential",EXP('Advanced Entry'!V64),'Advanced Entry'!V64)))-'Advanced Entry'!V$6)/('Advanced Entry'!V$7-'Advanced Entry'!V$6)),1))),"No data"))</f>
        <v/>
      </c>
      <c r="W64" s="17">
        <f>IF('Advanced Entry'!W64="","",IFERROR(MAX(0,MIN(10,ROUND(IF('Advanced Entry'!W$8="Decrease Risk",10-10*((IF('Advanced Entry'!W$5="Logarithm",LN(0.001+'Advanced Entry'!W64),IF('Advanced Entry'!W$5="Exponential",EXP('Advanced Entry'!W64),'Advanced Entry'!W64)))-'Advanced Entry'!W$6)/('Advanced Entry'!W$7-'Advanced Entry'!W$6),10*((IF('Advanced Entry'!W$5="Logarithm",LN(0.001+'Advanced Entry'!W64),IF('Advanced Entry'!W$5="Exponential",EXP('Advanced Entry'!W64),'Advanced Entry'!W64)))-'Advanced Entry'!W$6)/('Advanced Entry'!W$7-'Advanced Entry'!W$6)),1))),"No data"))</f>
        <v/>
      </c>
      <c r="X64" s="17">
        <f>IF('Advanced Entry'!X64="","",IFERROR(MAX(0,MIN(10,ROUND(IF('Advanced Entry'!X$8="Decrease Risk",10-10*((IF('Advanced Entry'!X$5="Logarithm",LN(0.001+'Advanced Entry'!X64),IF('Advanced Entry'!X$5="Exponential",EXP('Advanced Entry'!X64),'Advanced Entry'!X64)))-'Advanced Entry'!X$6)/('Advanced Entry'!X$7-'Advanced Entry'!X$6),10*((IF('Advanced Entry'!X$5="Logarithm",LN(0.001+'Advanced Entry'!X64),IF('Advanced Entry'!X$5="Exponential",EXP('Advanced Entry'!X64),'Advanced Entry'!X64)))-'Advanced Entry'!X$6)/('Advanced Entry'!X$7-'Advanced Entry'!X$6)),1))),"No data"))</f>
        <v/>
      </c>
      <c r="Y64" s="17">
        <f>IF('Advanced Entry'!Y64="","",IFERROR(MAX(0,MIN(10,ROUND(IF('Advanced Entry'!Y$8="Decrease Risk",10-10*((IF('Advanced Entry'!Y$5="Logarithm",LN(0.001+'Advanced Entry'!Y64),IF('Advanced Entry'!Y$5="Exponential",EXP('Advanced Entry'!Y64),'Advanced Entry'!Y64)))-'Advanced Entry'!Y$6)/('Advanced Entry'!Y$7-'Advanced Entry'!Y$6),10*((IF('Advanced Entry'!Y$5="Logarithm",LN(0.001+'Advanced Entry'!Y64),IF('Advanced Entry'!Y$5="Exponential",EXP('Advanced Entry'!Y64),'Advanced Entry'!Y64)))-'Advanced Entry'!Y$6)/('Advanced Entry'!Y$7-'Advanced Entry'!Y$6)),1))),"No data"))</f>
        <v/>
      </c>
      <c r="Z64" s="17">
        <f>IF('Advanced Entry'!Z64="","",IFERROR(MAX(0,MIN(10,ROUND(IF('Advanced Entry'!Z$8="Decrease Risk",10-10*((IF('Advanced Entry'!Z$5="Logarithm",LN(0.001+'Advanced Entry'!Z64),IF('Advanced Entry'!Z$5="Exponential",EXP('Advanced Entry'!Z64),'Advanced Entry'!Z64)))-'Advanced Entry'!Z$6)/('Advanced Entry'!Z$7-'Advanced Entry'!Z$6),10*((IF('Advanced Entry'!Z$5="Logarithm",LN(0.001+'Advanced Entry'!Z64),IF('Advanced Entry'!Z$5="Exponential",EXP('Advanced Entry'!Z64),'Advanced Entry'!Z64)))-'Advanced Entry'!Z$6)/('Advanced Entry'!Z$7-'Advanced Entry'!Z$6)),1))),"No data"))</f>
        <v/>
      </c>
      <c r="AA64" s="17">
        <f>IF('Advanced Entry'!AA64="","",IFERROR(MAX(0,MIN(10,ROUND(IF('Advanced Entry'!AA$8="Decrease Risk",10-10*((IF('Advanced Entry'!AA$5="Logarithm",LN(0.001+'Advanced Entry'!AA64),IF('Advanced Entry'!AA$5="Exponential",EXP('Advanced Entry'!AA64),'Advanced Entry'!AA64)))-'Advanced Entry'!AA$6)/('Advanced Entry'!AA$7-'Advanced Entry'!AA$6),10*((IF('Advanced Entry'!AA$5="Logarithm",LN(0.001+'Advanced Entry'!AA64),IF('Advanced Entry'!AA$5="Exponential",EXP('Advanced Entry'!AA64),'Advanced Entry'!AA64)))-'Advanced Entry'!AA$6)/('Advanced Entry'!AA$7-'Advanced Entry'!AA$6)),1))),"No data"))</f>
        <v/>
      </c>
      <c r="AB64" s="17">
        <f>IF('Advanced Entry'!AB64="","",IFERROR(MAX(0,MIN(10,ROUND(IF('Advanced Entry'!AB$8="Decrease Risk",10-10*((IF('Advanced Entry'!AB$5="Logarithm",LN(0.001+'Advanced Entry'!AB64),IF('Advanced Entry'!AB$5="Exponential",EXP('Advanced Entry'!AB64),'Advanced Entry'!AB64)))-'Advanced Entry'!AB$6)/('Advanced Entry'!AB$7-'Advanced Entry'!AB$6),10*((IF('Advanced Entry'!AB$5="Logarithm",LN(0.001+'Advanced Entry'!AB64),IF('Advanced Entry'!AB$5="Exponential",EXP('Advanced Entry'!AB64),'Advanced Entry'!AB64)))-'Advanced Entry'!AB$6)/('Advanced Entry'!AB$7-'Advanced Entry'!AB$6)),1))),"No data"))</f>
        <v/>
      </c>
    </row>
    <row r="65">
      <c r="A65" t="inlineStr">
        <is>
          <t>Kigoma</t>
        </is>
      </c>
      <c r="B65" t="inlineStr">
        <is>
          <t>Kigoma Ujiji City</t>
        </is>
      </c>
      <c r="C65" t="inlineStr">
        <is>
          <t>C115</t>
        </is>
      </c>
      <c r="D65" s="17">
        <f>IF('Advanced Entry'!D65="","",IFERROR(MAX(0,MIN(10,ROUND(IF('Advanced Entry'!D$8="Decrease Risk",10-10*((IF('Advanced Entry'!D$5="Logarithm",LN(0.001+'Advanced Entry'!D65),IF('Advanced Entry'!D$5="Exponential",EXP('Advanced Entry'!D65),'Advanced Entry'!D65)))-'Advanced Entry'!D$6)/('Advanced Entry'!D$7-'Advanced Entry'!D$6),10*((IF('Advanced Entry'!D$5="Logarithm",LN(0.001+'Advanced Entry'!D65),IF('Advanced Entry'!D$5="Exponential",EXP('Advanced Entry'!D65),'Advanced Entry'!D65)))-'Advanced Entry'!D$6)/('Advanced Entry'!D$7-'Advanced Entry'!D$6)),1))),"No data"))</f>
        <v/>
      </c>
      <c r="E65" s="17">
        <f>IF('Advanced Entry'!E65="","",IFERROR(MAX(0,MIN(10,ROUND(IF('Advanced Entry'!E$8="Decrease Risk",10-10*((IF('Advanced Entry'!E$5="Logarithm",LN(0.001+'Advanced Entry'!E65),IF('Advanced Entry'!E$5="Exponential",EXP('Advanced Entry'!E65),'Advanced Entry'!E65)))-'Advanced Entry'!E$6)/('Advanced Entry'!E$7-'Advanced Entry'!E$6),10*((IF('Advanced Entry'!E$5="Logarithm",LN(0.001+'Advanced Entry'!E65),IF('Advanced Entry'!E$5="Exponential",EXP('Advanced Entry'!E65),'Advanced Entry'!E65)))-'Advanced Entry'!E$6)/('Advanced Entry'!E$7-'Advanced Entry'!E$6)),1))),"No data"))</f>
        <v/>
      </c>
      <c r="F65" s="17">
        <f>IF('Advanced Entry'!F65="","",IFERROR(MAX(0,MIN(10,ROUND(IF('Advanced Entry'!F$8="Decrease Risk",10-10*((IF('Advanced Entry'!F$5="Logarithm",LN(0.001+'Advanced Entry'!F65),IF('Advanced Entry'!F$5="Exponential",EXP('Advanced Entry'!F65),'Advanced Entry'!F65)))-'Advanced Entry'!F$6)/('Advanced Entry'!F$7-'Advanced Entry'!F$6),10*((IF('Advanced Entry'!F$5="Logarithm",LN(0.001+'Advanced Entry'!F65),IF('Advanced Entry'!F$5="Exponential",EXP('Advanced Entry'!F65),'Advanced Entry'!F65)))-'Advanced Entry'!F$6)/('Advanced Entry'!F$7-'Advanced Entry'!F$6)),1))),"No data"))</f>
        <v/>
      </c>
      <c r="G65" s="17">
        <f>IF('Advanced Entry'!G65="","",IFERROR(MAX(0,MIN(10,ROUND(IF('Advanced Entry'!G$8="Decrease Risk",10-10*((IF('Advanced Entry'!G$5="Logarithm",LN(0.001+'Advanced Entry'!G65),IF('Advanced Entry'!G$5="Exponential",EXP('Advanced Entry'!G65),'Advanced Entry'!G65)))-'Advanced Entry'!G$6)/('Advanced Entry'!G$7-'Advanced Entry'!G$6),10*((IF('Advanced Entry'!G$5="Logarithm",LN(0.001+'Advanced Entry'!G65),IF('Advanced Entry'!G$5="Exponential",EXP('Advanced Entry'!G65),'Advanced Entry'!G65)))-'Advanced Entry'!G$6)/('Advanced Entry'!G$7-'Advanced Entry'!G$6)),1))),"No data"))</f>
        <v/>
      </c>
      <c r="H65" s="17">
        <f>IF('Advanced Entry'!H65="","",IFERROR(MAX(0,MIN(10,ROUND(IF('Advanced Entry'!H$8="Decrease Risk",10-10*((IF('Advanced Entry'!H$5="Logarithm",LN(0.001+'Advanced Entry'!H65),IF('Advanced Entry'!H$5="Exponential",EXP('Advanced Entry'!H65),'Advanced Entry'!H65)))-'Advanced Entry'!H$6)/('Advanced Entry'!H$7-'Advanced Entry'!H$6),10*((IF('Advanced Entry'!H$5="Logarithm",LN(0.001+'Advanced Entry'!H65),IF('Advanced Entry'!H$5="Exponential",EXP('Advanced Entry'!H65),'Advanced Entry'!H65)))-'Advanced Entry'!H$6)/('Advanced Entry'!H$7-'Advanced Entry'!H$6)),1))),"No data"))</f>
        <v/>
      </c>
      <c r="I65" s="17">
        <f>IF('Advanced Entry'!I65="","",IFERROR(MAX(0,MIN(10,ROUND(IF('Advanced Entry'!I$8="Decrease Risk",10-10*((IF('Advanced Entry'!I$5="Logarithm",LN(0.001+'Advanced Entry'!I65),IF('Advanced Entry'!I$5="Exponential",EXP('Advanced Entry'!I65),'Advanced Entry'!I65)))-'Advanced Entry'!I$6)/('Advanced Entry'!I$7-'Advanced Entry'!I$6),10*((IF('Advanced Entry'!I$5="Logarithm",LN(0.001+'Advanced Entry'!I65),IF('Advanced Entry'!I$5="Exponential",EXP('Advanced Entry'!I65),'Advanced Entry'!I65)))-'Advanced Entry'!I$6)/('Advanced Entry'!I$7-'Advanced Entry'!I$6)),1))),"No data"))</f>
        <v/>
      </c>
      <c r="J65" s="17">
        <f>IF('Advanced Entry'!J65="","",IFERROR(MAX(0,MIN(10,ROUND(IF('Advanced Entry'!J$8="Decrease Risk",10-10*((IF('Advanced Entry'!J$5="Logarithm",LN(0.001+'Advanced Entry'!J65),IF('Advanced Entry'!J$5="Exponential",EXP('Advanced Entry'!J65),'Advanced Entry'!J65)))-'Advanced Entry'!J$6)/('Advanced Entry'!J$7-'Advanced Entry'!J$6),10*((IF('Advanced Entry'!J$5="Logarithm",LN(0.001+'Advanced Entry'!J65),IF('Advanced Entry'!J$5="Exponential",EXP('Advanced Entry'!J65),'Advanced Entry'!J65)))-'Advanced Entry'!J$6)/('Advanced Entry'!J$7-'Advanced Entry'!J$6)),1))),"No data"))</f>
        <v/>
      </c>
      <c r="K65" s="17">
        <f>IF('Advanced Entry'!K65="","",IFERROR(MAX(0,MIN(10,ROUND(IF('Advanced Entry'!K$8="Decrease Risk",10-10*((IF('Advanced Entry'!K$5="Logarithm",LN(0.001+'Advanced Entry'!K65),IF('Advanced Entry'!K$5="Exponential",EXP('Advanced Entry'!K65),'Advanced Entry'!K65)))-'Advanced Entry'!K$6)/('Advanced Entry'!K$7-'Advanced Entry'!K$6),10*((IF('Advanced Entry'!K$5="Logarithm",LN(0.001+'Advanced Entry'!K65),IF('Advanced Entry'!K$5="Exponential",EXP('Advanced Entry'!K65),'Advanced Entry'!K65)))-'Advanced Entry'!K$6)/('Advanced Entry'!K$7-'Advanced Entry'!K$6)),1))),"No data"))</f>
        <v/>
      </c>
      <c r="L65" s="17">
        <f>IF('Advanced Entry'!L65="","",IFERROR(MAX(0,MIN(10,ROUND(IF('Advanced Entry'!L$8="Decrease Risk",10-10*((IF('Advanced Entry'!L$5="Logarithm",LN(0.001+'Advanced Entry'!L65),IF('Advanced Entry'!L$5="Exponential",EXP('Advanced Entry'!L65),'Advanced Entry'!L65)))-'Advanced Entry'!L$6)/('Advanced Entry'!L$7-'Advanced Entry'!L$6),10*((IF('Advanced Entry'!L$5="Logarithm",LN(0.001+'Advanced Entry'!L65),IF('Advanced Entry'!L$5="Exponential",EXP('Advanced Entry'!L65),'Advanced Entry'!L65)))-'Advanced Entry'!L$6)/('Advanced Entry'!L$7-'Advanced Entry'!L$6)),1))),"No data"))</f>
        <v/>
      </c>
      <c r="M65" s="17">
        <f>IF('Advanced Entry'!M65="","",IFERROR(MAX(0,MIN(10,ROUND(IF('Advanced Entry'!M$8="Decrease Risk",10-10*((IF('Advanced Entry'!M$5="Logarithm",LN(0.001+'Advanced Entry'!M65),IF('Advanced Entry'!M$5="Exponential",EXP('Advanced Entry'!M65),'Advanced Entry'!M65)))-'Advanced Entry'!M$6)/('Advanced Entry'!M$7-'Advanced Entry'!M$6),10*((IF('Advanced Entry'!M$5="Logarithm",LN(0.001+'Advanced Entry'!M65),IF('Advanced Entry'!M$5="Exponential",EXP('Advanced Entry'!M65),'Advanced Entry'!M65)))-'Advanced Entry'!M$6)/('Advanced Entry'!M$7-'Advanced Entry'!M$6)),1))),"No data"))</f>
        <v/>
      </c>
      <c r="N65" s="17">
        <f>IF('Advanced Entry'!N65="","",IFERROR(MAX(0,MIN(10,ROUND(IF('Advanced Entry'!N$8="Decrease Risk",10-10*((IF('Advanced Entry'!N$5="Logarithm",LN(0.001+'Advanced Entry'!N65),IF('Advanced Entry'!N$5="Exponential",EXP('Advanced Entry'!N65),'Advanced Entry'!N65)))-'Advanced Entry'!N$6)/('Advanced Entry'!N$7-'Advanced Entry'!N$6),10*((IF('Advanced Entry'!N$5="Logarithm",LN(0.001+'Advanced Entry'!N65),IF('Advanced Entry'!N$5="Exponential",EXP('Advanced Entry'!N65),'Advanced Entry'!N65)))-'Advanced Entry'!N$6)/('Advanced Entry'!N$7-'Advanced Entry'!N$6)),1))),"No data"))</f>
        <v/>
      </c>
      <c r="O65" s="17">
        <f>IF('Advanced Entry'!O65="","",IFERROR(MAX(0,MIN(10,ROUND(IF('Advanced Entry'!O$8="Decrease Risk",10-10*((IF('Advanced Entry'!O$5="Logarithm",LN(0.001+'Advanced Entry'!O65),IF('Advanced Entry'!O$5="Exponential",EXP('Advanced Entry'!O65),'Advanced Entry'!O65)))-'Advanced Entry'!O$6)/('Advanced Entry'!O$7-'Advanced Entry'!O$6),10*((IF('Advanced Entry'!O$5="Logarithm",LN(0.001+'Advanced Entry'!O65),IF('Advanced Entry'!O$5="Exponential",EXP('Advanced Entry'!O65),'Advanced Entry'!O65)))-'Advanced Entry'!O$6)/('Advanced Entry'!O$7-'Advanced Entry'!O$6)),1))),"No data"))</f>
        <v/>
      </c>
      <c r="P65" s="17">
        <f>IF('Advanced Entry'!P65="","",IFERROR(MAX(0,MIN(10,ROUND(IF('Advanced Entry'!P$8="Decrease Risk",10-10*((IF('Advanced Entry'!P$5="Logarithm",LN(0.001+'Advanced Entry'!P65),IF('Advanced Entry'!P$5="Exponential",EXP('Advanced Entry'!P65),'Advanced Entry'!P65)))-'Advanced Entry'!P$6)/('Advanced Entry'!P$7-'Advanced Entry'!P$6),10*((IF('Advanced Entry'!P$5="Logarithm",LN(0.001+'Advanced Entry'!P65),IF('Advanced Entry'!P$5="Exponential",EXP('Advanced Entry'!P65),'Advanced Entry'!P65)))-'Advanced Entry'!P$6)/('Advanced Entry'!P$7-'Advanced Entry'!P$6)),1))),"No data"))</f>
        <v/>
      </c>
      <c r="Q65" s="17">
        <f>IF('Advanced Entry'!Q65="","",IFERROR(MAX(0,MIN(10,ROUND(IF('Advanced Entry'!Q$8="Decrease Risk",10-10*((IF('Advanced Entry'!Q$5="Logarithm",LN(0.001+'Advanced Entry'!Q65),IF('Advanced Entry'!Q$5="Exponential",EXP('Advanced Entry'!Q65),'Advanced Entry'!Q65)))-'Advanced Entry'!Q$6)/('Advanced Entry'!Q$7-'Advanced Entry'!Q$6),10*((IF('Advanced Entry'!Q$5="Logarithm",LN(0.001+'Advanced Entry'!Q65),IF('Advanced Entry'!Q$5="Exponential",EXP('Advanced Entry'!Q65),'Advanced Entry'!Q65)))-'Advanced Entry'!Q$6)/('Advanced Entry'!Q$7-'Advanced Entry'!Q$6)),1))),"No data"))</f>
        <v/>
      </c>
      <c r="R65" s="17">
        <f>IF('Advanced Entry'!R65="","",IFERROR(MAX(0,MIN(10,ROUND(IF('Advanced Entry'!R$8="Decrease Risk",10-10*((IF('Advanced Entry'!R$5="Logarithm",LN(0.001+'Advanced Entry'!R65),IF('Advanced Entry'!R$5="Exponential",EXP('Advanced Entry'!R65),'Advanced Entry'!R65)))-'Advanced Entry'!R$6)/('Advanced Entry'!R$7-'Advanced Entry'!R$6),10*((IF('Advanced Entry'!R$5="Logarithm",LN(0.001+'Advanced Entry'!R65),IF('Advanced Entry'!R$5="Exponential",EXP('Advanced Entry'!R65),'Advanced Entry'!R65)))-'Advanced Entry'!R$6)/('Advanced Entry'!R$7-'Advanced Entry'!R$6)),1))),"No data"))</f>
        <v/>
      </c>
      <c r="S65" s="17">
        <f>IF('Advanced Entry'!S65="","",IFERROR(MAX(0,MIN(10,ROUND(IF('Advanced Entry'!S$8="Decrease Risk",10-10*((IF('Advanced Entry'!S$5="Logarithm",LN(0.001+'Advanced Entry'!S65),IF('Advanced Entry'!S$5="Exponential",EXP('Advanced Entry'!S65),'Advanced Entry'!S65)))-'Advanced Entry'!S$6)/('Advanced Entry'!S$7-'Advanced Entry'!S$6),10*((IF('Advanced Entry'!S$5="Logarithm",LN(0.001+'Advanced Entry'!S65),IF('Advanced Entry'!S$5="Exponential",EXP('Advanced Entry'!S65),'Advanced Entry'!S65)))-'Advanced Entry'!S$6)/('Advanced Entry'!S$7-'Advanced Entry'!S$6)),1))),"No data"))</f>
        <v/>
      </c>
      <c r="T65" s="17">
        <f>IF('Advanced Entry'!T65="","",IFERROR(MAX(0,MIN(10,ROUND(IF('Advanced Entry'!T$8="Decrease Risk",10-10*((IF('Advanced Entry'!T$5="Logarithm",LN(0.001+'Advanced Entry'!T65),IF('Advanced Entry'!T$5="Exponential",EXP('Advanced Entry'!T65),'Advanced Entry'!T65)))-'Advanced Entry'!T$6)/('Advanced Entry'!T$7-'Advanced Entry'!T$6),10*((IF('Advanced Entry'!T$5="Logarithm",LN(0.001+'Advanced Entry'!T65),IF('Advanced Entry'!T$5="Exponential",EXP('Advanced Entry'!T65),'Advanced Entry'!T65)))-'Advanced Entry'!T$6)/('Advanced Entry'!T$7-'Advanced Entry'!T$6)),1))),"No data"))</f>
        <v/>
      </c>
      <c r="U65" s="17">
        <f>IF('Advanced Entry'!U65="","",IFERROR(MAX(0,MIN(10,ROUND(IF('Advanced Entry'!U$8="Decrease Risk",10-10*((IF('Advanced Entry'!U$5="Logarithm",LN(0.001+'Advanced Entry'!U65),IF('Advanced Entry'!U$5="Exponential",EXP('Advanced Entry'!U65),'Advanced Entry'!U65)))-'Advanced Entry'!U$6)/('Advanced Entry'!U$7-'Advanced Entry'!U$6),10*((IF('Advanced Entry'!U$5="Logarithm",LN(0.001+'Advanced Entry'!U65),IF('Advanced Entry'!U$5="Exponential",EXP('Advanced Entry'!U65),'Advanced Entry'!U65)))-'Advanced Entry'!U$6)/('Advanced Entry'!U$7-'Advanced Entry'!U$6)),1))),"No data"))</f>
        <v/>
      </c>
      <c r="V65" s="17">
        <f>IF('Advanced Entry'!V65="","",IFERROR(MAX(0,MIN(10,ROUND(IF('Advanced Entry'!V$8="Decrease Risk",10-10*((IF('Advanced Entry'!V$5="Logarithm",LN(0.001+'Advanced Entry'!V65),IF('Advanced Entry'!V$5="Exponential",EXP('Advanced Entry'!V65),'Advanced Entry'!V65)))-'Advanced Entry'!V$6)/('Advanced Entry'!V$7-'Advanced Entry'!V$6),10*((IF('Advanced Entry'!V$5="Logarithm",LN(0.001+'Advanced Entry'!V65),IF('Advanced Entry'!V$5="Exponential",EXP('Advanced Entry'!V65),'Advanced Entry'!V65)))-'Advanced Entry'!V$6)/('Advanced Entry'!V$7-'Advanced Entry'!V$6)),1))),"No data"))</f>
        <v/>
      </c>
      <c r="W65" s="17">
        <f>IF('Advanced Entry'!W65="","",IFERROR(MAX(0,MIN(10,ROUND(IF('Advanced Entry'!W$8="Decrease Risk",10-10*((IF('Advanced Entry'!W$5="Logarithm",LN(0.001+'Advanced Entry'!W65),IF('Advanced Entry'!W$5="Exponential",EXP('Advanced Entry'!W65),'Advanced Entry'!W65)))-'Advanced Entry'!W$6)/('Advanced Entry'!W$7-'Advanced Entry'!W$6),10*((IF('Advanced Entry'!W$5="Logarithm",LN(0.001+'Advanced Entry'!W65),IF('Advanced Entry'!W$5="Exponential",EXP('Advanced Entry'!W65),'Advanced Entry'!W65)))-'Advanced Entry'!W$6)/('Advanced Entry'!W$7-'Advanced Entry'!W$6)),1))),"No data"))</f>
        <v/>
      </c>
      <c r="X65" s="17">
        <f>IF('Advanced Entry'!X65="","",IFERROR(MAX(0,MIN(10,ROUND(IF('Advanced Entry'!X$8="Decrease Risk",10-10*((IF('Advanced Entry'!X$5="Logarithm",LN(0.001+'Advanced Entry'!X65),IF('Advanced Entry'!X$5="Exponential",EXP('Advanced Entry'!X65),'Advanced Entry'!X65)))-'Advanced Entry'!X$6)/('Advanced Entry'!X$7-'Advanced Entry'!X$6),10*((IF('Advanced Entry'!X$5="Logarithm",LN(0.001+'Advanced Entry'!X65),IF('Advanced Entry'!X$5="Exponential",EXP('Advanced Entry'!X65),'Advanced Entry'!X65)))-'Advanced Entry'!X$6)/('Advanced Entry'!X$7-'Advanced Entry'!X$6)),1))),"No data"))</f>
        <v/>
      </c>
      <c r="Y65" s="17">
        <f>IF('Advanced Entry'!Y65="","",IFERROR(MAX(0,MIN(10,ROUND(IF('Advanced Entry'!Y$8="Decrease Risk",10-10*((IF('Advanced Entry'!Y$5="Logarithm",LN(0.001+'Advanced Entry'!Y65),IF('Advanced Entry'!Y$5="Exponential",EXP('Advanced Entry'!Y65),'Advanced Entry'!Y65)))-'Advanced Entry'!Y$6)/('Advanced Entry'!Y$7-'Advanced Entry'!Y$6),10*((IF('Advanced Entry'!Y$5="Logarithm",LN(0.001+'Advanced Entry'!Y65),IF('Advanced Entry'!Y$5="Exponential",EXP('Advanced Entry'!Y65),'Advanced Entry'!Y65)))-'Advanced Entry'!Y$6)/('Advanced Entry'!Y$7-'Advanced Entry'!Y$6)),1))),"No data"))</f>
        <v/>
      </c>
      <c r="Z65" s="17">
        <f>IF('Advanced Entry'!Z65="","",IFERROR(MAX(0,MIN(10,ROUND(IF('Advanced Entry'!Z$8="Decrease Risk",10-10*((IF('Advanced Entry'!Z$5="Logarithm",LN(0.001+'Advanced Entry'!Z65),IF('Advanced Entry'!Z$5="Exponential",EXP('Advanced Entry'!Z65),'Advanced Entry'!Z65)))-'Advanced Entry'!Z$6)/('Advanced Entry'!Z$7-'Advanced Entry'!Z$6),10*((IF('Advanced Entry'!Z$5="Logarithm",LN(0.001+'Advanced Entry'!Z65),IF('Advanced Entry'!Z$5="Exponential",EXP('Advanced Entry'!Z65),'Advanced Entry'!Z65)))-'Advanced Entry'!Z$6)/('Advanced Entry'!Z$7-'Advanced Entry'!Z$6)),1))),"No data"))</f>
        <v/>
      </c>
      <c r="AA65" s="17">
        <f>IF('Advanced Entry'!AA65="","",IFERROR(MAX(0,MIN(10,ROUND(IF('Advanced Entry'!AA$8="Decrease Risk",10-10*((IF('Advanced Entry'!AA$5="Logarithm",LN(0.001+'Advanced Entry'!AA65),IF('Advanced Entry'!AA$5="Exponential",EXP('Advanced Entry'!AA65),'Advanced Entry'!AA65)))-'Advanced Entry'!AA$6)/('Advanced Entry'!AA$7-'Advanced Entry'!AA$6),10*((IF('Advanced Entry'!AA$5="Logarithm",LN(0.001+'Advanced Entry'!AA65),IF('Advanced Entry'!AA$5="Exponential",EXP('Advanced Entry'!AA65),'Advanced Entry'!AA65)))-'Advanced Entry'!AA$6)/('Advanced Entry'!AA$7-'Advanced Entry'!AA$6)),1))),"No data"))</f>
        <v/>
      </c>
      <c r="AB65" s="17">
        <f>IF('Advanced Entry'!AB65="","",IFERROR(MAX(0,MIN(10,ROUND(IF('Advanced Entry'!AB$8="Decrease Risk",10-10*((IF('Advanced Entry'!AB$5="Logarithm",LN(0.001+'Advanced Entry'!AB65),IF('Advanced Entry'!AB$5="Exponential",EXP('Advanced Entry'!AB65),'Advanced Entry'!AB65)))-'Advanced Entry'!AB$6)/('Advanced Entry'!AB$7-'Advanced Entry'!AB$6),10*((IF('Advanced Entry'!AB$5="Logarithm",LN(0.001+'Advanced Entry'!AB65),IF('Advanced Entry'!AB$5="Exponential",EXP('Advanced Entry'!AB65),'Advanced Entry'!AB65)))-'Advanced Entry'!AB$6)/('Advanced Entry'!AB$7-'Advanced Entry'!AB$6)),1))),"No data"))</f>
        <v/>
      </c>
    </row>
    <row r="66">
      <c r="A66" t="inlineStr">
        <is>
          <t>Kigoma</t>
        </is>
      </c>
      <c r="B66" t="inlineStr">
        <is>
          <t>Uvinza District</t>
        </is>
      </c>
      <c r="C66" t="inlineStr">
        <is>
          <t>C116</t>
        </is>
      </c>
      <c r="D66" s="17">
        <f>IF('Advanced Entry'!D66="","",IFERROR(MAX(0,MIN(10,ROUND(IF('Advanced Entry'!D$8="Decrease Risk",10-10*((IF('Advanced Entry'!D$5="Logarithm",LN(0.001+'Advanced Entry'!D66),IF('Advanced Entry'!D$5="Exponential",EXP('Advanced Entry'!D66),'Advanced Entry'!D66)))-'Advanced Entry'!D$6)/('Advanced Entry'!D$7-'Advanced Entry'!D$6),10*((IF('Advanced Entry'!D$5="Logarithm",LN(0.001+'Advanced Entry'!D66),IF('Advanced Entry'!D$5="Exponential",EXP('Advanced Entry'!D66),'Advanced Entry'!D66)))-'Advanced Entry'!D$6)/('Advanced Entry'!D$7-'Advanced Entry'!D$6)),1))),"No data"))</f>
        <v/>
      </c>
      <c r="E66" s="17">
        <f>IF('Advanced Entry'!E66="","",IFERROR(MAX(0,MIN(10,ROUND(IF('Advanced Entry'!E$8="Decrease Risk",10-10*((IF('Advanced Entry'!E$5="Logarithm",LN(0.001+'Advanced Entry'!E66),IF('Advanced Entry'!E$5="Exponential",EXP('Advanced Entry'!E66),'Advanced Entry'!E66)))-'Advanced Entry'!E$6)/('Advanced Entry'!E$7-'Advanced Entry'!E$6),10*((IF('Advanced Entry'!E$5="Logarithm",LN(0.001+'Advanced Entry'!E66),IF('Advanced Entry'!E$5="Exponential",EXP('Advanced Entry'!E66),'Advanced Entry'!E66)))-'Advanced Entry'!E$6)/('Advanced Entry'!E$7-'Advanced Entry'!E$6)),1))),"No data"))</f>
        <v/>
      </c>
      <c r="F66" s="17">
        <f>IF('Advanced Entry'!F66="","",IFERROR(MAX(0,MIN(10,ROUND(IF('Advanced Entry'!F$8="Decrease Risk",10-10*((IF('Advanced Entry'!F$5="Logarithm",LN(0.001+'Advanced Entry'!F66),IF('Advanced Entry'!F$5="Exponential",EXP('Advanced Entry'!F66),'Advanced Entry'!F66)))-'Advanced Entry'!F$6)/('Advanced Entry'!F$7-'Advanced Entry'!F$6),10*((IF('Advanced Entry'!F$5="Logarithm",LN(0.001+'Advanced Entry'!F66),IF('Advanced Entry'!F$5="Exponential",EXP('Advanced Entry'!F66),'Advanced Entry'!F66)))-'Advanced Entry'!F$6)/('Advanced Entry'!F$7-'Advanced Entry'!F$6)),1))),"No data"))</f>
        <v/>
      </c>
      <c r="G66" s="17">
        <f>IF('Advanced Entry'!G66="","",IFERROR(MAX(0,MIN(10,ROUND(IF('Advanced Entry'!G$8="Decrease Risk",10-10*((IF('Advanced Entry'!G$5="Logarithm",LN(0.001+'Advanced Entry'!G66),IF('Advanced Entry'!G$5="Exponential",EXP('Advanced Entry'!G66),'Advanced Entry'!G66)))-'Advanced Entry'!G$6)/('Advanced Entry'!G$7-'Advanced Entry'!G$6),10*((IF('Advanced Entry'!G$5="Logarithm",LN(0.001+'Advanced Entry'!G66),IF('Advanced Entry'!G$5="Exponential",EXP('Advanced Entry'!G66),'Advanced Entry'!G66)))-'Advanced Entry'!G$6)/('Advanced Entry'!G$7-'Advanced Entry'!G$6)),1))),"No data"))</f>
        <v/>
      </c>
      <c r="H66" s="17">
        <f>IF('Advanced Entry'!H66="","",IFERROR(MAX(0,MIN(10,ROUND(IF('Advanced Entry'!H$8="Decrease Risk",10-10*((IF('Advanced Entry'!H$5="Logarithm",LN(0.001+'Advanced Entry'!H66),IF('Advanced Entry'!H$5="Exponential",EXP('Advanced Entry'!H66),'Advanced Entry'!H66)))-'Advanced Entry'!H$6)/('Advanced Entry'!H$7-'Advanced Entry'!H$6),10*((IF('Advanced Entry'!H$5="Logarithm",LN(0.001+'Advanced Entry'!H66),IF('Advanced Entry'!H$5="Exponential",EXP('Advanced Entry'!H66),'Advanced Entry'!H66)))-'Advanced Entry'!H$6)/('Advanced Entry'!H$7-'Advanced Entry'!H$6)),1))),"No data"))</f>
        <v/>
      </c>
      <c r="I66" s="17">
        <f>IF('Advanced Entry'!I66="","",IFERROR(MAX(0,MIN(10,ROUND(IF('Advanced Entry'!I$8="Decrease Risk",10-10*((IF('Advanced Entry'!I$5="Logarithm",LN(0.001+'Advanced Entry'!I66),IF('Advanced Entry'!I$5="Exponential",EXP('Advanced Entry'!I66),'Advanced Entry'!I66)))-'Advanced Entry'!I$6)/('Advanced Entry'!I$7-'Advanced Entry'!I$6),10*((IF('Advanced Entry'!I$5="Logarithm",LN(0.001+'Advanced Entry'!I66),IF('Advanced Entry'!I$5="Exponential",EXP('Advanced Entry'!I66),'Advanced Entry'!I66)))-'Advanced Entry'!I$6)/('Advanced Entry'!I$7-'Advanced Entry'!I$6)),1))),"No data"))</f>
        <v/>
      </c>
      <c r="J66" s="17">
        <f>IF('Advanced Entry'!J66="","",IFERROR(MAX(0,MIN(10,ROUND(IF('Advanced Entry'!J$8="Decrease Risk",10-10*((IF('Advanced Entry'!J$5="Logarithm",LN(0.001+'Advanced Entry'!J66),IF('Advanced Entry'!J$5="Exponential",EXP('Advanced Entry'!J66),'Advanced Entry'!J66)))-'Advanced Entry'!J$6)/('Advanced Entry'!J$7-'Advanced Entry'!J$6),10*((IF('Advanced Entry'!J$5="Logarithm",LN(0.001+'Advanced Entry'!J66),IF('Advanced Entry'!J$5="Exponential",EXP('Advanced Entry'!J66),'Advanced Entry'!J66)))-'Advanced Entry'!J$6)/('Advanced Entry'!J$7-'Advanced Entry'!J$6)),1))),"No data"))</f>
        <v/>
      </c>
      <c r="K66" s="17">
        <f>IF('Advanced Entry'!K66="","",IFERROR(MAX(0,MIN(10,ROUND(IF('Advanced Entry'!K$8="Decrease Risk",10-10*((IF('Advanced Entry'!K$5="Logarithm",LN(0.001+'Advanced Entry'!K66),IF('Advanced Entry'!K$5="Exponential",EXP('Advanced Entry'!K66),'Advanced Entry'!K66)))-'Advanced Entry'!K$6)/('Advanced Entry'!K$7-'Advanced Entry'!K$6),10*((IF('Advanced Entry'!K$5="Logarithm",LN(0.001+'Advanced Entry'!K66),IF('Advanced Entry'!K$5="Exponential",EXP('Advanced Entry'!K66),'Advanced Entry'!K66)))-'Advanced Entry'!K$6)/('Advanced Entry'!K$7-'Advanced Entry'!K$6)),1))),"No data"))</f>
        <v/>
      </c>
      <c r="L66" s="17">
        <f>IF('Advanced Entry'!L66="","",IFERROR(MAX(0,MIN(10,ROUND(IF('Advanced Entry'!L$8="Decrease Risk",10-10*((IF('Advanced Entry'!L$5="Logarithm",LN(0.001+'Advanced Entry'!L66),IF('Advanced Entry'!L$5="Exponential",EXP('Advanced Entry'!L66),'Advanced Entry'!L66)))-'Advanced Entry'!L$6)/('Advanced Entry'!L$7-'Advanced Entry'!L$6),10*((IF('Advanced Entry'!L$5="Logarithm",LN(0.001+'Advanced Entry'!L66),IF('Advanced Entry'!L$5="Exponential",EXP('Advanced Entry'!L66),'Advanced Entry'!L66)))-'Advanced Entry'!L$6)/('Advanced Entry'!L$7-'Advanced Entry'!L$6)),1))),"No data"))</f>
        <v/>
      </c>
      <c r="M66" s="17">
        <f>IF('Advanced Entry'!M66="","",IFERROR(MAX(0,MIN(10,ROUND(IF('Advanced Entry'!M$8="Decrease Risk",10-10*((IF('Advanced Entry'!M$5="Logarithm",LN(0.001+'Advanced Entry'!M66),IF('Advanced Entry'!M$5="Exponential",EXP('Advanced Entry'!M66),'Advanced Entry'!M66)))-'Advanced Entry'!M$6)/('Advanced Entry'!M$7-'Advanced Entry'!M$6),10*((IF('Advanced Entry'!M$5="Logarithm",LN(0.001+'Advanced Entry'!M66),IF('Advanced Entry'!M$5="Exponential",EXP('Advanced Entry'!M66),'Advanced Entry'!M66)))-'Advanced Entry'!M$6)/('Advanced Entry'!M$7-'Advanced Entry'!M$6)),1))),"No data"))</f>
        <v/>
      </c>
      <c r="N66" s="17">
        <f>IF('Advanced Entry'!N66="","",IFERROR(MAX(0,MIN(10,ROUND(IF('Advanced Entry'!N$8="Decrease Risk",10-10*((IF('Advanced Entry'!N$5="Logarithm",LN(0.001+'Advanced Entry'!N66),IF('Advanced Entry'!N$5="Exponential",EXP('Advanced Entry'!N66),'Advanced Entry'!N66)))-'Advanced Entry'!N$6)/('Advanced Entry'!N$7-'Advanced Entry'!N$6),10*((IF('Advanced Entry'!N$5="Logarithm",LN(0.001+'Advanced Entry'!N66),IF('Advanced Entry'!N$5="Exponential",EXP('Advanced Entry'!N66),'Advanced Entry'!N66)))-'Advanced Entry'!N$6)/('Advanced Entry'!N$7-'Advanced Entry'!N$6)),1))),"No data"))</f>
        <v/>
      </c>
      <c r="O66" s="17">
        <f>IF('Advanced Entry'!O66="","",IFERROR(MAX(0,MIN(10,ROUND(IF('Advanced Entry'!O$8="Decrease Risk",10-10*((IF('Advanced Entry'!O$5="Logarithm",LN(0.001+'Advanced Entry'!O66),IF('Advanced Entry'!O$5="Exponential",EXP('Advanced Entry'!O66),'Advanced Entry'!O66)))-'Advanced Entry'!O$6)/('Advanced Entry'!O$7-'Advanced Entry'!O$6),10*((IF('Advanced Entry'!O$5="Logarithm",LN(0.001+'Advanced Entry'!O66),IF('Advanced Entry'!O$5="Exponential",EXP('Advanced Entry'!O66),'Advanced Entry'!O66)))-'Advanced Entry'!O$6)/('Advanced Entry'!O$7-'Advanced Entry'!O$6)),1))),"No data"))</f>
        <v/>
      </c>
      <c r="P66" s="17">
        <f>IF('Advanced Entry'!P66="","",IFERROR(MAX(0,MIN(10,ROUND(IF('Advanced Entry'!P$8="Decrease Risk",10-10*((IF('Advanced Entry'!P$5="Logarithm",LN(0.001+'Advanced Entry'!P66),IF('Advanced Entry'!P$5="Exponential",EXP('Advanced Entry'!P66),'Advanced Entry'!P66)))-'Advanced Entry'!P$6)/('Advanced Entry'!P$7-'Advanced Entry'!P$6),10*((IF('Advanced Entry'!P$5="Logarithm",LN(0.001+'Advanced Entry'!P66),IF('Advanced Entry'!P$5="Exponential",EXP('Advanced Entry'!P66),'Advanced Entry'!P66)))-'Advanced Entry'!P$6)/('Advanced Entry'!P$7-'Advanced Entry'!P$6)),1))),"No data"))</f>
        <v/>
      </c>
      <c r="Q66" s="17">
        <f>IF('Advanced Entry'!Q66="","",IFERROR(MAX(0,MIN(10,ROUND(IF('Advanced Entry'!Q$8="Decrease Risk",10-10*((IF('Advanced Entry'!Q$5="Logarithm",LN(0.001+'Advanced Entry'!Q66),IF('Advanced Entry'!Q$5="Exponential",EXP('Advanced Entry'!Q66),'Advanced Entry'!Q66)))-'Advanced Entry'!Q$6)/('Advanced Entry'!Q$7-'Advanced Entry'!Q$6),10*((IF('Advanced Entry'!Q$5="Logarithm",LN(0.001+'Advanced Entry'!Q66),IF('Advanced Entry'!Q$5="Exponential",EXP('Advanced Entry'!Q66),'Advanced Entry'!Q66)))-'Advanced Entry'!Q$6)/('Advanced Entry'!Q$7-'Advanced Entry'!Q$6)),1))),"No data"))</f>
        <v/>
      </c>
      <c r="R66" s="17">
        <f>IF('Advanced Entry'!R66="","",IFERROR(MAX(0,MIN(10,ROUND(IF('Advanced Entry'!R$8="Decrease Risk",10-10*((IF('Advanced Entry'!R$5="Logarithm",LN(0.001+'Advanced Entry'!R66),IF('Advanced Entry'!R$5="Exponential",EXP('Advanced Entry'!R66),'Advanced Entry'!R66)))-'Advanced Entry'!R$6)/('Advanced Entry'!R$7-'Advanced Entry'!R$6),10*((IF('Advanced Entry'!R$5="Logarithm",LN(0.001+'Advanced Entry'!R66),IF('Advanced Entry'!R$5="Exponential",EXP('Advanced Entry'!R66),'Advanced Entry'!R66)))-'Advanced Entry'!R$6)/('Advanced Entry'!R$7-'Advanced Entry'!R$6)),1))),"No data"))</f>
        <v/>
      </c>
      <c r="S66" s="17">
        <f>IF('Advanced Entry'!S66="","",IFERROR(MAX(0,MIN(10,ROUND(IF('Advanced Entry'!S$8="Decrease Risk",10-10*((IF('Advanced Entry'!S$5="Logarithm",LN(0.001+'Advanced Entry'!S66),IF('Advanced Entry'!S$5="Exponential",EXP('Advanced Entry'!S66),'Advanced Entry'!S66)))-'Advanced Entry'!S$6)/('Advanced Entry'!S$7-'Advanced Entry'!S$6),10*((IF('Advanced Entry'!S$5="Logarithm",LN(0.001+'Advanced Entry'!S66),IF('Advanced Entry'!S$5="Exponential",EXP('Advanced Entry'!S66),'Advanced Entry'!S66)))-'Advanced Entry'!S$6)/('Advanced Entry'!S$7-'Advanced Entry'!S$6)),1))),"No data"))</f>
        <v/>
      </c>
      <c r="T66" s="17">
        <f>IF('Advanced Entry'!T66="","",IFERROR(MAX(0,MIN(10,ROUND(IF('Advanced Entry'!T$8="Decrease Risk",10-10*((IF('Advanced Entry'!T$5="Logarithm",LN(0.001+'Advanced Entry'!T66),IF('Advanced Entry'!T$5="Exponential",EXP('Advanced Entry'!T66),'Advanced Entry'!T66)))-'Advanced Entry'!T$6)/('Advanced Entry'!T$7-'Advanced Entry'!T$6),10*((IF('Advanced Entry'!T$5="Logarithm",LN(0.001+'Advanced Entry'!T66),IF('Advanced Entry'!T$5="Exponential",EXP('Advanced Entry'!T66),'Advanced Entry'!T66)))-'Advanced Entry'!T$6)/('Advanced Entry'!T$7-'Advanced Entry'!T$6)),1))),"No data"))</f>
        <v/>
      </c>
      <c r="U66" s="17">
        <f>IF('Advanced Entry'!U66="","",IFERROR(MAX(0,MIN(10,ROUND(IF('Advanced Entry'!U$8="Decrease Risk",10-10*((IF('Advanced Entry'!U$5="Logarithm",LN(0.001+'Advanced Entry'!U66),IF('Advanced Entry'!U$5="Exponential",EXP('Advanced Entry'!U66),'Advanced Entry'!U66)))-'Advanced Entry'!U$6)/('Advanced Entry'!U$7-'Advanced Entry'!U$6),10*((IF('Advanced Entry'!U$5="Logarithm",LN(0.001+'Advanced Entry'!U66),IF('Advanced Entry'!U$5="Exponential",EXP('Advanced Entry'!U66),'Advanced Entry'!U66)))-'Advanced Entry'!U$6)/('Advanced Entry'!U$7-'Advanced Entry'!U$6)),1))),"No data"))</f>
        <v/>
      </c>
      <c r="V66" s="17">
        <f>IF('Advanced Entry'!V66="","",IFERROR(MAX(0,MIN(10,ROUND(IF('Advanced Entry'!V$8="Decrease Risk",10-10*((IF('Advanced Entry'!V$5="Logarithm",LN(0.001+'Advanced Entry'!V66),IF('Advanced Entry'!V$5="Exponential",EXP('Advanced Entry'!V66),'Advanced Entry'!V66)))-'Advanced Entry'!V$6)/('Advanced Entry'!V$7-'Advanced Entry'!V$6),10*((IF('Advanced Entry'!V$5="Logarithm",LN(0.001+'Advanced Entry'!V66),IF('Advanced Entry'!V$5="Exponential",EXP('Advanced Entry'!V66),'Advanced Entry'!V66)))-'Advanced Entry'!V$6)/('Advanced Entry'!V$7-'Advanced Entry'!V$6)),1))),"No data"))</f>
        <v/>
      </c>
      <c r="W66" s="17">
        <f>IF('Advanced Entry'!W66="","",IFERROR(MAX(0,MIN(10,ROUND(IF('Advanced Entry'!W$8="Decrease Risk",10-10*((IF('Advanced Entry'!W$5="Logarithm",LN(0.001+'Advanced Entry'!W66),IF('Advanced Entry'!W$5="Exponential",EXP('Advanced Entry'!W66),'Advanced Entry'!W66)))-'Advanced Entry'!W$6)/('Advanced Entry'!W$7-'Advanced Entry'!W$6),10*((IF('Advanced Entry'!W$5="Logarithm",LN(0.001+'Advanced Entry'!W66),IF('Advanced Entry'!W$5="Exponential",EXP('Advanced Entry'!W66),'Advanced Entry'!W66)))-'Advanced Entry'!W$6)/('Advanced Entry'!W$7-'Advanced Entry'!W$6)),1))),"No data"))</f>
        <v/>
      </c>
      <c r="X66" s="17">
        <f>IF('Advanced Entry'!X66="","",IFERROR(MAX(0,MIN(10,ROUND(IF('Advanced Entry'!X$8="Decrease Risk",10-10*((IF('Advanced Entry'!X$5="Logarithm",LN(0.001+'Advanced Entry'!X66),IF('Advanced Entry'!X$5="Exponential",EXP('Advanced Entry'!X66),'Advanced Entry'!X66)))-'Advanced Entry'!X$6)/('Advanced Entry'!X$7-'Advanced Entry'!X$6),10*((IF('Advanced Entry'!X$5="Logarithm",LN(0.001+'Advanced Entry'!X66),IF('Advanced Entry'!X$5="Exponential",EXP('Advanced Entry'!X66),'Advanced Entry'!X66)))-'Advanced Entry'!X$6)/('Advanced Entry'!X$7-'Advanced Entry'!X$6)),1))),"No data"))</f>
        <v/>
      </c>
      <c r="Y66" s="17">
        <f>IF('Advanced Entry'!Y66="","",IFERROR(MAX(0,MIN(10,ROUND(IF('Advanced Entry'!Y$8="Decrease Risk",10-10*((IF('Advanced Entry'!Y$5="Logarithm",LN(0.001+'Advanced Entry'!Y66),IF('Advanced Entry'!Y$5="Exponential",EXP('Advanced Entry'!Y66),'Advanced Entry'!Y66)))-'Advanced Entry'!Y$6)/('Advanced Entry'!Y$7-'Advanced Entry'!Y$6),10*((IF('Advanced Entry'!Y$5="Logarithm",LN(0.001+'Advanced Entry'!Y66),IF('Advanced Entry'!Y$5="Exponential",EXP('Advanced Entry'!Y66),'Advanced Entry'!Y66)))-'Advanced Entry'!Y$6)/('Advanced Entry'!Y$7-'Advanced Entry'!Y$6)),1))),"No data"))</f>
        <v/>
      </c>
      <c r="Z66" s="17">
        <f>IF('Advanced Entry'!Z66="","",IFERROR(MAX(0,MIN(10,ROUND(IF('Advanced Entry'!Z$8="Decrease Risk",10-10*((IF('Advanced Entry'!Z$5="Logarithm",LN(0.001+'Advanced Entry'!Z66),IF('Advanced Entry'!Z$5="Exponential",EXP('Advanced Entry'!Z66),'Advanced Entry'!Z66)))-'Advanced Entry'!Z$6)/('Advanced Entry'!Z$7-'Advanced Entry'!Z$6),10*((IF('Advanced Entry'!Z$5="Logarithm",LN(0.001+'Advanced Entry'!Z66),IF('Advanced Entry'!Z$5="Exponential",EXP('Advanced Entry'!Z66),'Advanced Entry'!Z66)))-'Advanced Entry'!Z$6)/('Advanced Entry'!Z$7-'Advanced Entry'!Z$6)),1))),"No data"))</f>
        <v/>
      </c>
      <c r="AA66" s="17">
        <f>IF('Advanced Entry'!AA66="","",IFERROR(MAX(0,MIN(10,ROUND(IF('Advanced Entry'!AA$8="Decrease Risk",10-10*((IF('Advanced Entry'!AA$5="Logarithm",LN(0.001+'Advanced Entry'!AA66),IF('Advanced Entry'!AA$5="Exponential",EXP('Advanced Entry'!AA66),'Advanced Entry'!AA66)))-'Advanced Entry'!AA$6)/('Advanced Entry'!AA$7-'Advanced Entry'!AA$6),10*((IF('Advanced Entry'!AA$5="Logarithm",LN(0.001+'Advanced Entry'!AA66),IF('Advanced Entry'!AA$5="Exponential",EXP('Advanced Entry'!AA66),'Advanced Entry'!AA66)))-'Advanced Entry'!AA$6)/('Advanced Entry'!AA$7-'Advanced Entry'!AA$6)),1))),"No data"))</f>
        <v/>
      </c>
      <c r="AB66" s="17">
        <f>IF('Advanced Entry'!AB66="","",IFERROR(MAX(0,MIN(10,ROUND(IF('Advanced Entry'!AB$8="Decrease Risk",10-10*((IF('Advanced Entry'!AB$5="Logarithm",LN(0.001+'Advanced Entry'!AB66),IF('Advanced Entry'!AB$5="Exponential",EXP('Advanced Entry'!AB66),'Advanced Entry'!AB66)))-'Advanced Entry'!AB$6)/('Advanced Entry'!AB$7-'Advanced Entry'!AB$6),10*((IF('Advanced Entry'!AB$5="Logarithm",LN(0.001+'Advanced Entry'!AB66),IF('Advanced Entry'!AB$5="Exponential",EXP('Advanced Entry'!AB66),'Advanced Entry'!AB66)))-'Advanced Entry'!AB$6)/('Advanced Entry'!AB$7-'Advanced Entry'!AB$6)),1))),"No data"))</f>
        <v/>
      </c>
    </row>
    <row r="67">
      <c r="A67" t="inlineStr">
        <is>
          <t>Kilimanjaro</t>
        </is>
      </c>
      <c r="B67" t="inlineStr">
        <is>
          <t>Hai District</t>
        </is>
      </c>
      <c r="C67" t="inlineStr">
        <is>
          <t>C021</t>
        </is>
      </c>
      <c r="D67" s="17">
        <f>IF('Advanced Entry'!D67="","",IFERROR(MAX(0,MIN(10,ROUND(IF('Advanced Entry'!D$8="Decrease Risk",10-10*((IF('Advanced Entry'!D$5="Logarithm",LN(0.001+'Advanced Entry'!D67),IF('Advanced Entry'!D$5="Exponential",EXP('Advanced Entry'!D67),'Advanced Entry'!D67)))-'Advanced Entry'!D$6)/('Advanced Entry'!D$7-'Advanced Entry'!D$6),10*((IF('Advanced Entry'!D$5="Logarithm",LN(0.001+'Advanced Entry'!D67),IF('Advanced Entry'!D$5="Exponential",EXP('Advanced Entry'!D67),'Advanced Entry'!D67)))-'Advanced Entry'!D$6)/('Advanced Entry'!D$7-'Advanced Entry'!D$6)),1))),"No data"))</f>
        <v/>
      </c>
      <c r="E67" s="17">
        <f>IF('Advanced Entry'!E67="","",IFERROR(MAX(0,MIN(10,ROUND(IF('Advanced Entry'!E$8="Decrease Risk",10-10*((IF('Advanced Entry'!E$5="Logarithm",LN(0.001+'Advanced Entry'!E67),IF('Advanced Entry'!E$5="Exponential",EXP('Advanced Entry'!E67),'Advanced Entry'!E67)))-'Advanced Entry'!E$6)/('Advanced Entry'!E$7-'Advanced Entry'!E$6),10*((IF('Advanced Entry'!E$5="Logarithm",LN(0.001+'Advanced Entry'!E67),IF('Advanced Entry'!E$5="Exponential",EXP('Advanced Entry'!E67),'Advanced Entry'!E67)))-'Advanced Entry'!E$6)/('Advanced Entry'!E$7-'Advanced Entry'!E$6)),1))),"No data"))</f>
        <v/>
      </c>
      <c r="F67" s="17">
        <f>IF('Advanced Entry'!F67="","",IFERROR(MAX(0,MIN(10,ROUND(IF('Advanced Entry'!F$8="Decrease Risk",10-10*((IF('Advanced Entry'!F$5="Logarithm",LN(0.001+'Advanced Entry'!F67),IF('Advanced Entry'!F$5="Exponential",EXP('Advanced Entry'!F67),'Advanced Entry'!F67)))-'Advanced Entry'!F$6)/('Advanced Entry'!F$7-'Advanced Entry'!F$6),10*((IF('Advanced Entry'!F$5="Logarithm",LN(0.001+'Advanced Entry'!F67),IF('Advanced Entry'!F$5="Exponential",EXP('Advanced Entry'!F67),'Advanced Entry'!F67)))-'Advanced Entry'!F$6)/('Advanced Entry'!F$7-'Advanced Entry'!F$6)),1))),"No data"))</f>
        <v/>
      </c>
      <c r="G67" s="17">
        <f>IF('Advanced Entry'!G67="","",IFERROR(MAX(0,MIN(10,ROUND(IF('Advanced Entry'!G$8="Decrease Risk",10-10*((IF('Advanced Entry'!G$5="Logarithm",LN(0.001+'Advanced Entry'!G67),IF('Advanced Entry'!G$5="Exponential",EXP('Advanced Entry'!G67),'Advanced Entry'!G67)))-'Advanced Entry'!G$6)/('Advanced Entry'!G$7-'Advanced Entry'!G$6),10*((IF('Advanced Entry'!G$5="Logarithm",LN(0.001+'Advanced Entry'!G67),IF('Advanced Entry'!G$5="Exponential",EXP('Advanced Entry'!G67),'Advanced Entry'!G67)))-'Advanced Entry'!G$6)/('Advanced Entry'!G$7-'Advanced Entry'!G$6)),1))),"No data"))</f>
        <v/>
      </c>
      <c r="H67" s="17">
        <f>IF('Advanced Entry'!H67="","",IFERROR(MAX(0,MIN(10,ROUND(IF('Advanced Entry'!H$8="Decrease Risk",10-10*((IF('Advanced Entry'!H$5="Logarithm",LN(0.001+'Advanced Entry'!H67),IF('Advanced Entry'!H$5="Exponential",EXP('Advanced Entry'!H67),'Advanced Entry'!H67)))-'Advanced Entry'!H$6)/('Advanced Entry'!H$7-'Advanced Entry'!H$6),10*((IF('Advanced Entry'!H$5="Logarithm",LN(0.001+'Advanced Entry'!H67),IF('Advanced Entry'!H$5="Exponential",EXP('Advanced Entry'!H67),'Advanced Entry'!H67)))-'Advanced Entry'!H$6)/('Advanced Entry'!H$7-'Advanced Entry'!H$6)),1))),"No data"))</f>
        <v/>
      </c>
      <c r="I67" s="17">
        <f>IF('Advanced Entry'!I67="","",IFERROR(MAX(0,MIN(10,ROUND(IF('Advanced Entry'!I$8="Decrease Risk",10-10*((IF('Advanced Entry'!I$5="Logarithm",LN(0.001+'Advanced Entry'!I67),IF('Advanced Entry'!I$5="Exponential",EXP('Advanced Entry'!I67),'Advanced Entry'!I67)))-'Advanced Entry'!I$6)/('Advanced Entry'!I$7-'Advanced Entry'!I$6),10*((IF('Advanced Entry'!I$5="Logarithm",LN(0.001+'Advanced Entry'!I67),IF('Advanced Entry'!I$5="Exponential",EXP('Advanced Entry'!I67),'Advanced Entry'!I67)))-'Advanced Entry'!I$6)/('Advanced Entry'!I$7-'Advanced Entry'!I$6)),1))),"No data"))</f>
        <v/>
      </c>
      <c r="J67" s="17">
        <f>IF('Advanced Entry'!J67="","",IFERROR(MAX(0,MIN(10,ROUND(IF('Advanced Entry'!J$8="Decrease Risk",10-10*((IF('Advanced Entry'!J$5="Logarithm",LN(0.001+'Advanced Entry'!J67),IF('Advanced Entry'!J$5="Exponential",EXP('Advanced Entry'!J67),'Advanced Entry'!J67)))-'Advanced Entry'!J$6)/('Advanced Entry'!J$7-'Advanced Entry'!J$6),10*((IF('Advanced Entry'!J$5="Logarithm",LN(0.001+'Advanced Entry'!J67),IF('Advanced Entry'!J$5="Exponential",EXP('Advanced Entry'!J67),'Advanced Entry'!J67)))-'Advanced Entry'!J$6)/('Advanced Entry'!J$7-'Advanced Entry'!J$6)),1))),"No data"))</f>
        <v/>
      </c>
      <c r="K67" s="17">
        <f>IF('Advanced Entry'!K67="","",IFERROR(MAX(0,MIN(10,ROUND(IF('Advanced Entry'!K$8="Decrease Risk",10-10*((IF('Advanced Entry'!K$5="Logarithm",LN(0.001+'Advanced Entry'!K67),IF('Advanced Entry'!K$5="Exponential",EXP('Advanced Entry'!K67),'Advanced Entry'!K67)))-'Advanced Entry'!K$6)/('Advanced Entry'!K$7-'Advanced Entry'!K$6),10*((IF('Advanced Entry'!K$5="Logarithm",LN(0.001+'Advanced Entry'!K67),IF('Advanced Entry'!K$5="Exponential",EXP('Advanced Entry'!K67),'Advanced Entry'!K67)))-'Advanced Entry'!K$6)/('Advanced Entry'!K$7-'Advanced Entry'!K$6)),1))),"No data"))</f>
        <v/>
      </c>
      <c r="L67" s="17">
        <f>IF('Advanced Entry'!L67="","",IFERROR(MAX(0,MIN(10,ROUND(IF('Advanced Entry'!L$8="Decrease Risk",10-10*((IF('Advanced Entry'!L$5="Logarithm",LN(0.001+'Advanced Entry'!L67),IF('Advanced Entry'!L$5="Exponential",EXP('Advanced Entry'!L67),'Advanced Entry'!L67)))-'Advanced Entry'!L$6)/('Advanced Entry'!L$7-'Advanced Entry'!L$6),10*((IF('Advanced Entry'!L$5="Logarithm",LN(0.001+'Advanced Entry'!L67),IF('Advanced Entry'!L$5="Exponential",EXP('Advanced Entry'!L67),'Advanced Entry'!L67)))-'Advanced Entry'!L$6)/('Advanced Entry'!L$7-'Advanced Entry'!L$6)),1))),"No data"))</f>
        <v/>
      </c>
      <c r="M67" s="17">
        <f>IF('Advanced Entry'!M67="","",IFERROR(MAX(0,MIN(10,ROUND(IF('Advanced Entry'!M$8="Decrease Risk",10-10*((IF('Advanced Entry'!M$5="Logarithm",LN(0.001+'Advanced Entry'!M67),IF('Advanced Entry'!M$5="Exponential",EXP('Advanced Entry'!M67),'Advanced Entry'!M67)))-'Advanced Entry'!M$6)/('Advanced Entry'!M$7-'Advanced Entry'!M$6),10*((IF('Advanced Entry'!M$5="Logarithm",LN(0.001+'Advanced Entry'!M67),IF('Advanced Entry'!M$5="Exponential",EXP('Advanced Entry'!M67),'Advanced Entry'!M67)))-'Advanced Entry'!M$6)/('Advanced Entry'!M$7-'Advanced Entry'!M$6)),1))),"No data"))</f>
        <v/>
      </c>
      <c r="N67" s="17">
        <f>IF('Advanced Entry'!N67="","",IFERROR(MAX(0,MIN(10,ROUND(IF('Advanced Entry'!N$8="Decrease Risk",10-10*((IF('Advanced Entry'!N$5="Logarithm",LN(0.001+'Advanced Entry'!N67),IF('Advanced Entry'!N$5="Exponential",EXP('Advanced Entry'!N67),'Advanced Entry'!N67)))-'Advanced Entry'!N$6)/('Advanced Entry'!N$7-'Advanced Entry'!N$6),10*((IF('Advanced Entry'!N$5="Logarithm",LN(0.001+'Advanced Entry'!N67),IF('Advanced Entry'!N$5="Exponential",EXP('Advanced Entry'!N67),'Advanced Entry'!N67)))-'Advanced Entry'!N$6)/('Advanced Entry'!N$7-'Advanced Entry'!N$6)),1))),"No data"))</f>
        <v/>
      </c>
      <c r="O67" s="17">
        <f>IF('Advanced Entry'!O67="","",IFERROR(MAX(0,MIN(10,ROUND(IF('Advanced Entry'!O$8="Decrease Risk",10-10*((IF('Advanced Entry'!O$5="Logarithm",LN(0.001+'Advanced Entry'!O67),IF('Advanced Entry'!O$5="Exponential",EXP('Advanced Entry'!O67),'Advanced Entry'!O67)))-'Advanced Entry'!O$6)/('Advanced Entry'!O$7-'Advanced Entry'!O$6),10*((IF('Advanced Entry'!O$5="Logarithm",LN(0.001+'Advanced Entry'!O67),IF('Advanced Entry'!O$5="Exponential",EXP('Advanced Entry'!O67),'Advanced Entry'!O67)))-'Advanced Entry'!O$6)/('Advanced Entry'!O$7-'Advanced Entry'!O$6)),1))),"No data"))</f>
        <v/>
      </c>
      <c r="P67" s="17">
        <f>IF('Advanced Entry'!P67="","",IFERROR(MAX(0,MIN(10,ROUND(IF('Advanced Entry'!P$8="Decrease Risk",10-10*((IF('Advanced Entry'!P$5="Logarithm",LN(0.001+'Advanced Entry'!P67),IF('Advanced Entry'!P$5="Exponential",EXP('Advanced Entry'!P67),'Advanced Entry'!P67)))-'Advanced Entry'!P$6)/('Advanced Entry'!P$7-'Advanced Entry'!P$6),10*((IF('Advanced Entry'!P$5="Logarithm",LN(0.001+'Advanced Entry'!P67),IF('Advanced Entry'!P$5="Exponential",EXP('Advanced Entry'!P67),'Advanced Entry'!P67)))-'Advanced Entry'!P$6)/('Advanced Entry'!P$7-'Advanced Entry'!P$6)),1))),"No data"))</f>
        <v/>
      </c>
      <c r="Q67" s="17">
        <f>IF('Advanced Entry'!Q67="","",IFERROR(MAX(0,MIN(10,ROUND(IF('Advanced Entry'!Q$8="Decrease Risk",10-10*((IF('Advanced Entry'!Q$5="Logarithm",LN(0.001+'Advanced Entry'!Q67),IF('Advanced Entry'!Q$5="Exponential",EXP('Advanced Entry'!Q67),'Advanced Entry'!Q67)))-'Advanced Entry'!Q$6)/('Advanced Entry'!Q$7-'Advanced Entry'!Q$6),10*((IF('Advanced Entry'!Q$5="Logarithm",LN(0.001+'Advanced Entry'!Q67),IF('Advanced Entry'!Q$5="Exponential",EXP('Advanced Entry'!Q67),'Advanced Entry'!Q67)))-'Advanced Entry'!Q$6)/('Advanced Entry'!Q$7-'Advanced Entry'!Q$6)),1))),"No data"))</f>
        <v/>
      </c>
      <c r="R67" s="17">
        <f>IF('Advanced Entry'!R67="","",IFERROR(MAX(0,MIN(10,ROUND(IF('Advanced Entry'!R$8="Decrease Risk",10-10*((IF('Advanced Entry'!R$5="Logarithm",LN(0.001+'Advanced Entry'!R67),IF('Advanced Entry'!R$5="Exponential",EXP('Advanced Entry'!R67),'Advanced Entry'!R67)))-'Advanced Entry'!R$6)/('Advanced Entry'!R$7-'Advanced Entry'!R$6),10*((IF('Advanced Entry'!R$5="Logarithm",LN(0.001+'Advanced Entry'!R67),IF('Advanced Entry'!R$5="Exponential",EXP('Advanced Entry'!R67),'Advanced Entry'!R67)))-'Advanced Entry'!R$6)/('Advanced Entry'!R$7-'Advanced Entry'!R$6)),1))),"No data"))</f>
        <v/>
      </c>
      <c r="S67" s="17">
        <f>IF('Advanced Entry'!S67="","",IFERROR(MAX(0,MIN(10,ROUND(IF('Advanced Entry'!S$8="Decrease Risk",10-10*((IF('Advanced Entry'!S$5="Logarithm",LN(0.001+'Advanced Entry'!S67),IF('Advanced Entry'!S$5="Exponential",EXP('Advanced Entry'!S67),'Advanced Entry'!S67)))-'Advanced Entry'!S$6)/('Advanced Entry'!S$7-'Advanced Entry'!S$6),10*((IF('Advanced Entry'!S$5="Logarithm",LN(0.001+'Advanced Entry'!S67),IF('Advanced Entry'!S$5="Exponential",EXP('Advanced Entry'!S67),'Advanced Entry'!S67)))-'Advanced Entry'!S$6)/('Advanced Entry'!S$7-'Advanced Entry'!S$6)),1))),"No data"))</f>
        <v/>
      </c>
      <c r="T67" s="17">
        <f>IF('Advanced Entry'!T67="","",IFERROR(MAX(0,MIN(10,ROUND(IF('Advanced Entry'!T$8="Decrease Risk",10-10*((IF('Advanced Entry'!T$5="Logarithm",LN(0.001+'Advanced Entry'!T67),IF('Advanced Entry'!T$5="Exponential",EXP('Advanced Entry'!T67),'Advanced Entry'!T67)))-'Advanced Entry'!T$6)/('Advanced Entry'!T$7-'Advanced Entry'!T$6),10*((IF('Advanced Entry'!T$5="Logarithm",LN(0.001+'Advanced Entry'!T67),IF('Advanced Entry'!T$5="Exponential",EXP('Advanced Entry'!T67),'Advanced Entry'!T67)))-'Advanced Entry'!T$6)/('Advanced Entry'!T$7-'Advanced Entry'!T$6)),1))),"No data"))</f>
        <v/>
      </c>
      <c r="U67" s="17">
        <f>IF('Advanced Entry'!U67="","",IFERROR(MAX(0,MIN(10,ROUND(IF('Advanced Entry'!U$8="Decrease Risk",10-10*((IF('Advanced Entry'!U$5="Logarithm",LN(0.001+'Advanced Entry'!U67),IF('Advanced Entry'!U$5="Exponential",EXP('Advanced Entry'!U67),'Advanced Entry'!U67)))-'Advanced Entry'!U$6)/('Advanced Entry'!U$7-'Advanced Entry'!U$6),10*((IF('Advanced Entry'!U$5="Logarithm",LN(0.001+'Advanced Entry'!U67),IF('Advanced Entry'!U$5="Exponential",EXP('Advanced Entry'!U67),'Advanced Entry'!U67)))-'Advanced Entry'!U$6)/('Advanced Entry'!U$7-'Advanced Entry'!U$6)),1))),"No data"))</f>
        <v/>
      </c>
      <c r="V67" s="17">
        <f>IF('Advanced Entry'!V67="","",IFERROR(MAX(0,MIN(10,ROUND(IF('Advanced Entry'!V$8="Decrease Risk",10-10*((IF('Advanced Entry'!V$5="Logarithm",LN(0.001+'Advanced Entry'!V67),IF('Advanced Entry'!V$5="Exponential",EXP('Advanced Entry'!V67),'Advanced Entry'!V67)))-'Advanced Entry'!V$6)/('Advanced Entry'!V$7-'Advanced Entry'!V$6),10*((IF('Advanced Entry'!V$5="Logarithm",LN(0.001+'Advanced Entry'!V67),IF('Advanced Entry'!V$5="Exponential",EXP('Advanced Entry'!V67),'Advanced Entry'!V67)))-'Advanced Entry'!V$6)/('Advanced Entry'!V$7-'Advanced Entry'!V$6)),1))),"No data"))</f>
        <v/>
      </c>
      <c r="W67" s="17">
        <f>IF('Advanced Entry'!W67="","",IFERROR(MAX(0,MIN(10,ROUND(IF('Advanced Entry'!W$8="Decrease Risk",10-10*((IF('Advanced Entry'!W$5="Logarithm",LN(0.001+'Advanced Entry'!W67),IF('Advanced Entry'!W$5="Exponential",EXP('Advanced Entry'!W67),'Advanced Entry'!W67)))-'Advanced Entry'!W$6)/('Advanced Entry'!W$7-'Advanced Entry'!W$6),10*((IF('Advanced Entry'!W$5="Logarithm",LN(0.001+'Advanced Entry'!W67),IF('Advanced Entry'!W$5="Exponential",EXP('Advanced Entry'!W67),'Advanced Entry'!W67)))-'Advanced Entry'!W$6)/('Advanced Entry'!W$7-'Advanced Entry'!W$6)),1))),"No data"))</f>
        <v/>
      </c>
      <c r="X67" s="17">
        <f>IF('Advanced Entry'!X67="","",IFERROR(MAX(0,MIN(10,ROUND(IF('Advanced Entry'!X$8="Decrease Risk",10-10*((IF('Advanced Entry'!X$5="Logarithm",LN(0.001+'Advanced Entry'!X67),IF('Advanced Entry'!X$5="Exponential",EXP('Advanced Entry'!X67),'Advanced Entry'!X67)))-'Advanced Entry'!X$6)/('Advanced Entry'!X$7-'Advanced Entry'!X$6),10*((IF('Advanced Entry'!X$5="Logarithm",LN(0.001+'Advanced Entry'!X67),IF('Advanced Entry'!X$5="Exponential",EXP('Advanced Entry'!X67),'Advanced Entry'!X67)))-'Advanced Entry'!X$6)/('Advanced Entry'!X$7-'Advanced Entry'!X$6)),1))),"No data"))</f>
        <v/>
      </c>
      <c r="Y67" s="17">
        <f>IF('Advanced Entry'!Y67="","",IFERROR(MAX(0,MIN(10,ROUND(IF('Advanced Entry'!Y$8="Decrease Risk",10-10*((IF('Advanced Entry'!Y$5="Logarithm",LN(0.001+'Advanced Entry'!Y67),IF('Advanced Entry'!Y$5="Exponential",EXP('Advanced Entry'!Y67),'Advanced Entry'!Y67)))-'Advanced Entry'!Y$6)/('Advanced Entry'!Y$7-'Advanced Entry'!Y$6),10*((IF('Advanced Entry'!Y$5="Logarithm",LN(0.001+'Advanced Entry'!Y67),IF('Advanced Entry'!Y$5="Exponential",EXP('Advanced Entry'!Y67),'Advanced Entry'!Y67)))-'Advanced Entry'!Y$6)/('Advanced Entry'!Y$7-'Advanced Entry'!Y$6)),1))),"No data"))</f>
        <v/>
      </c>
      <c r="Z67" s="17">
        <f>IF('Advanced Entry'!Z67="","",IFERROR(MAX(0,MIN(10,ROUND(IF('Advanced Entry'!Z$8="Decrease Risk",10-10*((IF('Advanced Entry'!Z$5="Logarithm",LN(0.001+'Advanced Entry'!Z67),IF('Advanced Entry'!Z$5="Exponential",EXP('Advanced Entry'!Z67),'Advanced Entry'!Z67)))-'Advanced Entry'!Z$6)/('Advanced Entry'!Z$7-'Advanced Entry'!Z$6),10*((IF('Advanced Entry'!Z$5="Logarithm",LN(0.001+'Advanced Entry'!Z67),IF('Advanced Entry'!Z$5="Exponential",EXP('Advanced Entry'!Z67),'Advanced Entry'!Z67)))-'Advanced Entry'!Z$6)/('Advanced Entry'!Z$7-'Advanced Entry'!Z$6)),1))),"No data"))</f>
        <v/>
      </c>
      <c r="AA67" s="17">
        <f>IF('Advanced Entry'!AA67="","",IFERROR(MAX(0,MIN(10,ROUND(IF('Advanced Entry'!AA$8="Decrease Risk",10-10*((IF('Advanced Entry'!AA$5="Logarithm",LN(0.001+'Advanced Entry'!AA67),IF('Advanced Entry'!AA$5="Exponential",EXP('Advanced Entry'!AA67),'Advanced Entry'!AA67)))-'Advanced Entry'!AA$6)/('Advanced Entry'!AA$7-'Advanced Entry'!AA$6),10*((IF('Advanced Entry'!AA$5="Logarithm",LN(0.001+'Advanced Entry'!AA67),IF('Advanced Entry'!AA$5="Exponential",EXP('Advanced Entry'!AA67),'Advanced Entry'!AA67)))-'Advanced Entry'!AA$6)/('Advanced Entry'!AA$7-'Advanced Entry'!AA$6)),1))),"No data"))</f>
        <v/>
      </c>
      <c r="AB67" s="17">
        <f>IF('Advanced Entry'!AB67="","",IFERROR(MAX(0,MIN(10,ROUND(IF('Advanced Entry'!AB$8="Decrease Risk",10-10*((IF('Advanced Entry'!AB$5="Logarithm",LN(0.001+'Advanced Entry'!AB67),IF('Advanced Entry'!AB$5="Exponential",EXP('Advanced Entry'!AB67),'Advanced Entry'!AB67)))-'Advanced Entry'!AB$6)/('Advanced Entry'!AB$7-'Advanced Entry'!AB$6),10*((IF('Advanced Entry'!AB$5="Logarithm",LN(0.001+'Advanced Entry'!AB67),IF('Advanced Entry'!AB$5="Exponential",EXP('Advanced Entry'!AB67),'Advanced Entry'!AB67)))-'Advanced Entry'!AB$6)/('Advanced Entry'!AB$7-'Advanced Entry'!AB$6)),1))),"No data"))</f>
        <v/>
      </c>
    </row>
    <row r="68">
      <c r="A68" t="inlineStr">
        <is>
          <t>Kilimanjaro</t>
        </is>
      </c>
      <c r="B68" t="inlineStr">
        <is>
          <t>Moshi District</t>
        </is>
      </c>
      <c r="C68" t="inlineStr">
        <is>
          <t>C020</t>
        </is>
      </c>
      <c r="D68" s="17">
        <f>IF('Advanced Entry'!D68="","",IFERROR(MAX(0,MIN(10,ROUND(IF('Advanced Entry'!D$8="Decrease Risk",10-10*((IF('Advanced Entry'!D$5="Logarithm",LN(0.001+'Advanced Entry'!D68),IF('Advanced Entry'!D$5="Exponential",EXP('Advanced Entry'!D68),'Advanced Entry'!D68)))-'Advanced Entry'!D$6)/('Advanced Entry'!D$7-'Advanced Entry'!D$6),10*((IF('Advanced Entry'!D$5="Logarithm",LN(0.001+'Advanced Entry'!D68),IF('Advanced Entry'!D$5="Exponential",EXP('Advanced Entry'!D68),'Advanced Entry'!D68)))-'Advanced Entry'!D$6)/('Advanced Entry'!D$7-'Advanced Entry'!D$6)),1))),"No data"))</f>
        <v/>
      </c>
      <c r="E68" s="17">
        <f>IF('Advanced Entry'!E68="","",IFERROR(MAX(0,MIN(10,ROUND(IF('Advanced Entry'!E$8="Decrease Risk",10-10*((IF('Advanced Entry'!E$5="Logarithm",LN(0.001+'Advanced Entry'!E68),IF('Advanced Entry'!E$5="Exponential",EXP('Advanced Entry'!E68),'Advanced Entry'!E68)))-'Advanced Entry'!E$6)/('Advanced Entry'!E$7-'Advanced Entry'!E$6),10*((IF('Advanced Entry'!E$5="Logarithm",LN(0.001+'Advanced Entry'!E68),IF('Advanced Entry'!E$5="Exponential",EXP('Advanced Entry'!E68),'Advanced Entry'!E68)))-'Advanced Entry'!E$6)/('Advanced Entry'!E$7-'Advanced Entry'!E$6)),1))),"No data"))</f>
        <v/>
      </c>
      <c r="F68" s="17">
        <f>IF('Advanced Entry'!F68="","",IFERROR(MAX(0,MIN(10,ROUND(IF('Advanced Entry'!F$8="Decrease Risk",10-10*((IF('Advanced Entry'!F$5="Logarithm",LN(0.001+'Advanced Entry'!F68),IF('Advanced Entry'!F$5="Exponential",EXP('Advanced Entry'!F68),'Advanced Entry'!F68)))-'Advanced Entry'!F$6)/('Advanced Entry'!F$7-'Advanced Entry'!F$6),10*((IF('Advanced Entry'!F$5="Logarithm",LN(0.001+'Advanced Entry'!F68),IF('Advanced Entry'!F$5="Exponential",EXP('Advanced Entry'!F68),'Advanced Entry'!F68)))-'Advanced Entry'!F$6)/('Advanced Entry'!F$7-'Advanced Entry'!F$6)),1))),"No data"))</f>
        <v/>
      </c>
      <c r="G68" s="17">
        <f>IF('Advanced Entry'!G68="","",IFERROR(MAX(0,MIN(10,ROUND(IF('Advanced Entry'!G$8="Decrease Risk",10-10*((IF('Advanced Entry'!G$5="Logarithm",LN(0.001+'Advanced Entry'!G68),IF('Advanced Entry'!G$5="Exponential",EXP('Advanced Entry'!G68),'Advanced Entry'!G68)))-'Advanced Entry'!G$6)/('Advanced Entry'!G$7-'Advanced Entry'!G$6),10*((IF('Advanced Entry'!G$5="Logarithm",LN(0.001+'Advanced Entry'!G68),IF('Advanced Entry'!G$5="Exponential",EXP('Advanced Entry'!G68),'Advanced Entry'!G68)))-'Advanced Entry'!G$6)/('Advanced Entry'!G$7-'Advanced Entry'!G$6)),1))),"No data"))</f>
        <v/>
      </c>
      <c r="H68" s="17">
        <f>IF('Advanced Entry'!H68="","",IFERROR(MAX(0,MIN(10,ROUND(IF('Advanced Entry'!H$8="Decrease Risk",10-10*((IF('Advanced Entry'!H$5="Logarithm",LN(0.001+'Advanced Entry'!H68),IF('Advanced Entry'!H$5="Exponential",EXP('Advanced Entry'!H68),'Advanced Entry'!H68)))-'Advanced Entry'!H$6)/('Advanced Entry'!H$7-'Advanced Entry'!H$6),10*((IF('Advanced Entry'!H$5="Logarithm",LN(0.001+'Advanced Entry'!H68),IF('Advanced Entry'!H$5="Exponential",EXP('Advanced Entry'!H68),'Advanced Entry'!H68)))-'Advanced Entry'!H$6)/('Advanced Entry'!H$7-'Advanced Entry'!H$6)),1))),"No data"))</f>
        <v/>
      </c>
      <c r="I68" s="17">
        <f>IF('Advanced Entry'!I68="","",IFERROR(MAX(0,MIN(10,ROUND(IF('Advanced Entry'!I$8="Decrease Risk",10-10*((IF('Advanced Entry'!I$5="Logarithm",LN(0.001+'Advanced Entry'!I68),IF('Advanced Entry'!I$5="Exponential",EXP('Advanced Entry'!I68),'Advanced Entry'!I68)))-'Advanced Entry'!I$6)/('Advanced Entry'!I$7-'Advanced Entry'!I$6),10*((IF('Advanced Entry'!I$5="Logarithm",LN(0.001+'Advanced Entry'!I68),IF('Advanced Entry'!I$5="Exponential",EXP('Advanced Entry'!I68),'Advanced Entry'!I68)))-'Advanced Entry'!I$6)/('Advanced Entry'!I$7-'Advanced Entry'!I$6)),1))),"No data"))</f>
        <v/>
      </c>
      <c r="J68" s="17">
        <f>IF('Advanced Entry'!J68="","",IFERROR(MAX(0,MIN(10,ROUND(IF('Advanced Entry'!J$8="Decrease Risk",10-10*((IF('Advanced Entry'!J$5="Logarithm",LN(0.001+'Advanced Entry'!J68),IF('Advanced Entry'!J$5="Exponential",EXP('Advanced Entry'!J68),'Advanced Entry'!J68)))-'Advanced Entry'!J$6)/('Advanced Entry'!J$7-'Advanced Entry'!J$6),10*((IF('Advanced Entry'!J$5="Logarithm",LN(0.001+'Advanced Entry'!J68),IF('Advanced Entry'!J$5="Exponential",EXP('Advanced Entry'!J68),'Advanced Entry'!J68)))-'Advanced Entry'!J$6)/('Advanced Entry'!J$7-'Advanced Entry'!J$6)),1))),"No data"))</f>
        <v/>
      </c>
      <c r="K68" s="17">
        <f>IF('Advanced Entry'!K68="","",IFERROR(MAX(0,MIN(10,ROUND(IF('Advanced Entry'!K$8="Decrease Risk",10-10*((IF('Advanced Entry'!K$5="Logarithm",LN(0.001+'Advanced Entry'!K68),IF('Advanced Entry'!K$5="Exponential",EXP('Advanced Entry'!K68),'Advanced Entry'!K68)))-'Advanced Entry'!K$6)/('Advanced Entry'!K$7-'Advanced Entry'!K$6),10*((IF('Advanced Entry'!K$5="Logarithm",LN(0.001+'Advanced Entry'!K68),IF('Advanced Entry'!K$5="Exponential",EXP('Advanced Entry'!K68),'Advanced Entry'!K68)))-'Advanced Entry'!K$6)/('Advanced Entry'!K$7-'Advanced Entry'!K$6)),1))),"No data"))</f>
        <v/>
      </c>
      <c r="L68" s="17">
        <f>IF('Advanced Entry'!L68="","",IFERROR(MAX(0,MIN(10,ROUND(IF('Advanced Entry'!L$8="Decrease Risk",10-10*((IF('Advanced Entry'!L$5="Logarithm",LN(0.001+'Advanced Entry'!L68),IF('Advanced Entry'!L$5="Exponential",EXP('Advanced Entry'!L68),'Advanced Entry'!L68)))-'Advanced Entry'!L$6)/('Advanced Entry'!L$7-'Advanced Entry'!L$6),10*((IF('Advanced Entry'!L$5="Logarithm",LN(0.001+'Advanced Entry'!L68),IF('Advanced Entry'!L$5="Exponential",EXP('Advanced Entry'!L68),'Advanced Entry'!L68)))-'Advanced Entry'!L$6)/('Advanced Entry'!L$7-'Advanced Entry'!L$6)),1))),"No data"))</f>
        <v/>
      </c>
      <c r="M68" s="17">
        <f>IF('Advanced Entry'!M68="","",IFERROR(MAX(0,MIN(10,ROUND(IF('Advanced Entry'!M$8="Decrease Risk",10-10*((IF('Advanced Entry'!M$5="Logarithm",LN(0.001+'Advanced Entry'!M68),IF('Advanced Entry'!M$5="Exponential",EXP('Advanced Entry'!M68),'Advanced Entry'!M68)))-'Advanced Entry'!M$6)/('Advanced Entry'!M$7-'Advanced Entry'!M$6),10*((IF('Advanced Entry'!M$5="Logarithm",LN(0.001+'Advanced Entry'!M68),IF('Advanced Entry'!M$5="Exponential",EXP('Advanced Entry'!M68),'Advanced Entry'!M68)))-'Advanced Entry'!M$6)/('Advanced Entry'!M$7-'Advanced Entry'!M$6)),1))),"No data"))</f>
        <v/>
      </c>
      <c r="N68" s="17">
        <f>IF('Advanced Entry'!N68="","",IFERROR(MAX(0,MIN(10,ROUND(IF('Advanced Entry'!N$8="Decrease Risk",10-10*((IF('Advanced Entry'!N$5="Logarithm",LN(0.001+'Advanced Entry'!N68),IF('Advanced Entry'!N$5="Exponential",EXP('Advanced Entry'!N68),'Advanced Entry'!N68)))-'Advanced Entry'!N$6)/('Advanced Entry'!N$7-'Advanced Entry'!N$6),10*((IF('Advanced Entry'!N$5="Logarithm",LN(0.001+'Advanced Entry'!N68),IF('Advanced Entry'!N$5="Exponential",EXP('Advanced Entry'!N68),'Advanced Entry'!N68)))-'Advanced Entry'!N$6)/('Advanced Entry'!N$7-'Advanced Entry'!N$6)),1))),"No data"))</f>
        <v/>
      </c>
      <c r="O68" s="17">
        <f>IF('Advanced Entry'!O68="","",IFERROR(MAX(0,MIN(10,ROUND(IF('Advanced Entry'!O$8="Decrease Risk",10-10*((IF('Advanced Entry'!O$5="Logarithm",LN(0.001+'Advanced Entry'!O68),IF('Advanced Entry'!O$5="Exponential",EXP('Advanced Entry'!O68),'Advanced Entry'!O68)))-'Advanced Entry'!O$6)/('Advanced Entry'!O$7-'Advanced Entry'!O$6),10*((IF('Advanced Entry'!O$5="Logarithm",LN(0.001+'Advanced Entry'!O68),IF('Advanced Entry'!O$5="Exponential",EXP('Advanced Entry'!O68),'Advanced Entry'!O68)))-'Advanced Entry'!O$6)/('Advanced Entry'!O$7-'Advanced Entry'!O$6)),1))),"No data"))</f>
        <v/>
      </c>
      <c r="P68" s="17">
        <f>IF('Advanced Entry'!P68="","",IFERROR(MAX(0,MIN(10,ROUND(IF('Advanced Entry'!P$8="Decrease Risk",10-10*((IF('Advanced Entry'!P$5="Logarithm",LN(0.001+'Advanced Entry'!P68),IF('Advanced Entry'!P$5="Exponential",EXP('Advanced Entry'!P68),'Advanced Entry'!P68)))-'Advanced Entry'!P$6)/('Advanced Entry'!P$7-'Advanced Entry'!P$6),10*((IF('Advanced Entry'!P$5="Logarithm",LN(0.001+'Advanced Entry'!P68),IF('Advanced Entry'!P$5="Exponential",EXP('Advanced Entry'!P68),'Advanced Entry'!P68)))-'Advanced Entry'!P$6)/('Advanced Entry'!P$7-'Advanced Entry'!P$6)),1))),"No data"))</f>
        <v/>
      </c>
      <c r="Q68" s="17">
        <f>IF('Advanced Entry'!Q68="","",IFERROR(MAX(0,MIN(10,ROUND(IF('Advanced Entry'!Q$8="Decrease Risk",10-10*((IF('Advanced Entry'!Q$5="Logarithm",LN(0.001+'Advanced Entry'!Q68),IF('Advanced Entry'!Q$5="Exponential",EXP('Advanced Entry'!Q68),'Advanced Entry'!Q68)))-'Advanced Entry'!Q$6)/('Advanced Entry'!Q$7-'Advanced Entry'!Q$6),10*((IF('Advanced Entry'!Q$5="Logarithm",LN(0.001+'Advanced Entry'!Q68),IF('Advanced Entry'!Q$5="Exponential",EXP('Advanced Entry'!Q68),'Advanced Entry'!Q68)))-'Advanced Entry'!Q$6)/('Advanced Entry'!Q$7-'Advanced Entry'!Q$6)),1))),"No data"))</f>
        <v/>
      </c>
      <c r="R68" s="17">
        <f>IF('Advanced Entry'!R68="","",IFERROR(MAX(0,MIN(10,ROUND(IF('Advanced Entry'!R$8="Decrease Risk",10-10*((IF('Advanced Entry'!R$5="Logarithm",LN(0.001+'Advanced Entry'!R68),IF('Advanced Entry'!R$5="Exponential",EXP('Advanced Entry'!R68),'Advanced Entry'!R68)))-'Advanced Entry'!R$6)/('Advanced Entry'!R$7-'Advanced Entry'!R$6),10*((IF('Advanced Entry'!R$5="Logarithm",LN(0.001+'Advanced Entry'!R68),IF('Advanced Entry'!R$5="Exponential",EXP('Advanced Entry'!R68),'Advanced Entry'!R68)))-'Advanced Entry'!R$6)/('Advanced Entry'!R$7-'Advanced Entry'!R$6)),1))),"No data"))</f>
        <v/>
      </c>
      <c r="S68" s="17">
        <f>IF('Advanced Entry'!S68="","",IFERROR(MAX(0,MIN(10,ROUND(IF('Advanced Entry'!S$8="Decrease Risk",10-10*((IF('Advanced Entry'!S$5="Logarithm",LN(0.001+'Advanced Entry'!S68),IF('Advanced Entry'!S$5="Exponential",EXP('Advanced Entry'!S68),'Advanced Entry'!S68)))-'Advanced Entry'!S$6)/('Advanced Entry'!S$7-'Advanced Entry'!S$6),10*((IF('Advanced Entry'!S$5="Logarithm",LN(0.001+'Advanced Entry'!S68),IF('Advanced Entry'!S$5="Exponential",EXP('Advanced Entry'!S68),'Advanced Entry'!S68)))-'Advanced Entry'!S$6)/('Advanced Entry'!S$7-'Advanced Entry'!S$6)),1))),"No data"))</f>
        <v/>
      </c>
      <c r="T68" s="17">
        <f>IF('Advanced Entry'!T68="","",IFERROR(MAX(0,MIN(10,ROUND(IF('Advanced Entry'!T$8="Decrease Risk",10-10*((IF('Advanced Entry'!T$5="Logarithm",LN(0.001+'Advanced Entry'!T68),IF('Advanced Entry'!T$5="Exponential",EXP('Advanced Entry'!T68),'Advanced Entry'!T68)))-'Advanced Entry'!T$6)/('Advanced Entry'!T$7-'Advanced Entry'!T$6),10*((IF('Advanced Entry'!T$5="Logarithm",LN(0.001+'Advanced Entry'!T68),IF('Advanced Entry'!T$5="Exponential",EXP('Advanced Entry'!T68),'Advanced Entry'!T68)))-'Advanced Entry'!T$6)/('Advanced Entry'!T$7-'Advanced Entry'!T$6)),1))),"No data"))</f>
        <v/>
      </c>
      <c r="U68" s="17">
        <f>IF('Advanced Entry'!U68="","",IFERROR(MAX(0,MIN(10,ROUND(IF('Advanced Entry'!U$8="Decrease Risk",10-10*((IF('Advanced Entry'!U$5="Logarithm",LN(0.001+'Advanced Entry'!U68),IF('Advanced Entry'!U$5="Exponential",EXP('Advanced Entry'!U68),'Advanced Entry'!U68)))-'Advanced Entry'!U$6)/('Advanced Entry'!U$7-'Advanced Entry'!U$6),10*((IF('Advanced Entry'!U$5="Logarithm",LN(0.001+'Advanced Entry'!U68),IF('Advanced Entry'!U$5="Exponential",EXP('Advanced Entry'!U68),'Advanced Entry'!U68)))-'Advanced Entry'!U$6)/('Advanced Entry'!U$7-'Advanced Entry'!U$6)),1))),"No data"))</f>
        <v/>
      </c>
      <c r="V68" s="17">
        <f>IF('Advanced Entry'!V68="","",IFERROR(MAX(0,MIN(10,ROUND(IF('Advanced Entry'!V$8="Decrease Risk",10-10*((IF('Advanced Entry'!V$5="Logarithm",LN(0.001+'Advanced Entry'!V68),IF('Advanced Entry'!V$5="Exponential",EXP('Advanced Entry'!V68),'Advanced Entry'!V68)))-'Advanced Entry'!V$6)/('Advanced Entry'!V$7-'Advanced Entry'!V$6),10*((IF('Advanced Entry'!V$5="Logarithm",LN(0.001+'Advanced Entry'!V68),IF('Advanced Entry'!V$5="Exponential",EXP('Advanced Entry'!V68),'Advanced Entry'!V68)))-'Advanced Entry'!V$6)/('Advanced Entry'!V$7-'Advanced Entry'!V$6)),1))),"No data"))</f>
        <v/>
      </c>
      <c r="W68" s="17">
        <f>IF('Advanced Entry'!W68="","",IFERROR(MAX(0,MIN(10,ROUND(IF('Advanced Entry'!W$8="Decrease Risk",10-10*((IF('Advanced Entry'!W$5="Logarithm",LN(0.001+'Advanced Entry'!W68),IF('Advanced Entry'!W$5="Exponential",EXP('Advanced Entry'!W68),'Advanced Entry'!W68)))-'Advanced Entry'!W$6)/('Advanced Entry'!W$7-'Advanced Entry'!W$6),10*((IF('Advanced Entry'!W$5="Logarithm",LN(0.001+'Advanced Entry'!W68),IF('Advanced Entry'!W$5="Exponential",EXP('Advanced Entry'!W68),'Advanced Entry'!W68)))-'Advanced Entry'!W$6)/('Advanced Entry'!W$7-'Advanced Entry'!W$6)),1))),"No data"))</f>
        <v/>
      </c>
      <c r="X68" s="17">
        <f>IF('Advanced Entry'!X68="","",IFERROR(MAX(0,MIN(10,ROUND(IF('Advanced Entry'!X$8="Decrease Risk",10-10*((IF('Advanced Entry'!X$5="Logarithm",LN(0.001+'Advanced Entry'!X68),IF('Advanced Entry'!X$5="Exponential",EXP('Advanced Entry'!X68),'Advanced Entry'!X68)))-'Advanced Entry'!X$6)/('Advanced Entry'!X$7-'Advanced Entry'!X$6),10*((IF('Advanced Entry'!X$5="Logarithm",LN(0.001+'Advanced Entry'!X68),IF('Advanced Entry'!X$5="Exponential",EXP('Advanced Entry'!X68),'Advanced Entry'!X68)))-'Advanced Entry'!X$6)/('Advanced Entry'!X$7-'Advanced Entry'!X$6)),1))),"No data"))</f>
        <v/>
      </c>
      <c r="Y68" s="17">
        <f>IF('Advanced Entry'!Y68="","",IFERROR(MAX(0,MIN(10,ROUND(IF('Advanced Entry'!Y$8="Decrease Risk",10-10*((IF('Advanced Entry'!Y$5="Logarithm",LN(0.001+'Advanced Entry'!Y68),IF('Advanced Entry'!Y$5="Exponential",EXP('Advanced Entry'!Y68),'Advanced Entry'!Y68)))-'Advanced Entry'!Y$6)/('Advanced Entry'!Y$7-'Advanced Entry'!Y$6),10*((IF('Advanced Entry'!Y$5="Logarithm",LN(0.001+'Advanced Entry'!Y68),IF('Advanced Entry'!Y$5="Exponential",EXP('Advanced Entry'!Y68),'Advanced Entry'!Y68)))-'Advanced Entry'!Y$6)/('Advanced Entry'!Y$7-'Advanced Entry'!Y$6)),1))),"No data"))</f>
        <v/>
      </c>
      <c r="Z68" s="17">
        <f>IF('Advanced Entry'!Z68="","",IFERROR(MAX(0,MIN(10,ROUND(IF('Advanced Entry'!Z$8="Decrease Risk",10-10*((IF('Advanced Entry'!Z$5="Logarithm",LN(0.001+'Advanced Entry'!Z68),IF('Advanced Entry'!Z$5="Exponential",EXP('Advanced Entry'!Z68),'Advanced Entry'!Z68)))-'Advanced Entry'!Z$6)/('Advanced Entry'!Z$7-'Advanced Entry'!Z$6),10*((IF('Advanced Entry'!Z$5="Logarithm",LN(0.001+'Advanced Entry'!Z68),IF('Advanced Entry'!Z$5="Exponential",EXP('Advanced Entry'!Z68),'Advanced Entry'!Z68)))-'Advanced Entry'!Z$6)/('Advanced Entry'!Z$7-'Advanced Entry'!Z$6)),1))),"No data"))</f>
        <v/>
      </c>
      <c r="AA68" s="17">
        <f>IF('Advanced Entry'!AA68="","",IFERROR(MAX(0,MIN(10,ROUND(IF('Advanced Entry'!AA$8="Decrease Risk",10-10*((IF('Advanced Entry'!AA$5="Logarithm",LN(0.001+'Advanced Entry'!AA68),IF('Advanced Entry'!AA$5="Exponential",EXP('Advanced Entry'!AA68),'Advanced Entry'!AA68)))-'Advanced Entry'!AA$6)/('Advanced Entry'!AA$7-'Advanced Entry'!AA$6),10*((IF('Advanced Entry'!AA$5="Logarithm",LN(0.001+'Advanced Entry'!AA68),IF('Advanced Entry'!AA$5="Exponential",EXP('Advanced Entry'!AA68),'Advanced Entry'!AA68)))-'Advanced Entry'!AA$6)/('Advanced Entry'!AA$7-'Advanced Entry'!AA$6)),1))),"No data"))</f>
        <v/>
      </c>
      <c r="AB68" s="17">
        <f>IF('Advanced Entry'!AB68="","",IFERROR(MAX(0,MIN(10,ROUND(IF('Advanced Entry'!AB$8="Decrease Risk",10-10*((IF('Advanced Entry'!AB$5="Logarithm",LN(0.001+'Advanced Entry'!AB68),IF('Advanced Entry'!AB$5="Exponential",EXP('Advanced Entry'!AB68),'Advanced Entry'!AB68)))-'Advanced Entry'!AB$6)/('Advanced Entry'!AB$7-'Advanced Entry'!AB$6),10*((IF('Advanced Entry'!AB$5="Logarithm",LN(0.001+'Advanced Entry'!AB68),IF('Advanced Entry'!AB$5="Exponential",EXP('Advanced Entry'!AB68),'Advanced Entry'!AB68)))-'Advanced Entry'!AB$6)/('Advanced Entry'!AB$7-'Advanced Entry'!AB$6)),1))),"No data"))</f>
        <v/>
      </c>
    </row>
    <row r="69">
      <c r="A69" t="inlineStr">
        <is>
          <t>Kilimanjaro</t>
        </is>
      </c>
      <c r="B69" t="inlineStr">
        <is>
          <t>Moshi Municipal</t>
        </is>
      </c>
      <c r="C69" t="inlineStr">
        <is>
          <t>C019</t>
        </is>
      </c>
      <c r="D69" s="17">
        <f>IF('Advanced Entry'!D69="","",IFERROR(MAX(0,MIN(10,ROUND(IF('Advanced Entry'!D$8="Decrease Risk",10-10*((IF('Advanced Entry'!D$5="Logarithm",LN(0.001+'Advanced Entry'!D69),IF('Advanced Entry'!D$5="Exponential",EXP('Advanced Entry'!D69),'Advanced Entry'!D69)))-'Advanced Entry'!D$6)/('Advanced Entry'!D$7-'Advanced Entry'!D$6),10*((IF('Advanced Entry'!D$5="Logarithm",LN(0.001+'Advanced Entry'!D69),IF('Advanced Entry'!D$5="Exponential",EXP('Advanced Entry'!D69),'Advanced Entry'!D69)))-'Advanced Entry'!D$6)/('Advanced Entry'!D$7-'Advanced Entry'!D$6)),1))),"No data"))</f>
        <v/>
      </c>
      <c r="E69" s="17">
        <f>IF('Advanced Entry'!E69="","",IFERROR(MAX(0,MIN(10,ROUND(IF('Advanced Entry'!E$8="Decrease Risk",10-10*((IF('Advanced Entry'!E$5="Logarithm",LN(0.001+'Advanced Entry'!E69),IF('Advanced Entry'!E$5="Exponential",EXP('Advanced Entry'!E69),'Advanced Entry'!E69)))-'Advanced Entry'!E$6)/('Advanced Entry'!E$7-'Advanced Entry'!E$6),10*((IF('Advanced Entry'!E$5="Logarithm",LN(0.001+'Advanced Entry'!E69),IF('Advanced Entry'!E$5="Exponential",EXP('Advanced Entry'!E69),'Advanced Entry'!E69)))-'Advanced Entry'!E$6)/('Advanced Entry'!E$7-'Advanced Entry'!E$6)),1))),"No data"))</f>
        <v/>
      </c>
      <c r="F69" s="17">
        <f>IF('Advanced Entry'!F69="","",IFERROR(MAX(0,MIN(10,ROUND(IF('Advanced Entry'!F$8="Decrease Risk",10-10*((IF('Advanced Entry'!F$5="Logarithm",LN(0.001+'Advanced Entry'!F69),IF('Advanced Entry'!F$5="Exponential",EXP('Advanced Entry'!F69),'Advanced Entry'!F69)))-'Advanced Entry'!F$6)/('Advanced Entry'!F$7-'Advanced Entry'!F$6),10*((IF('Advanced Entry'!F$5="Logarithm",LN(0.001+'Advanced Entry'!F69),IF('Advanced Entry'!F$5="Exponential",EXP('Advanced Entry'!F69),'Advanced Entry'!F69)))-'Advanced Entry'!F$6)/('Advanced Entry'!F$7-'Advanced Entry'!F$6)),1))),"No data"))</f>
        <v/>
      </c>
      <c r="G69" s="17">
        <f>IF('Advanced Entry'!G69="","",IFERROR(MAX(0,MIN(10,ROUND(IF('Advanced Entry'!G$8="Decrease Risk",10-10*((IF('Advanced Entry'!G$5="Logarithm",LN(0.001+'Advanced Entry'!G69),IF('Advanced Entry'!G$5="Exponential",EXP('Advanced Entry'!G69),'Advanced Entry'!G69)))-'Advanced Entry'!G$6)/('Advanced Entry'!G$7-'Advanced Entry'!G$6),10*((IF('Advanced Entry'!G$5="Logarithm",LN(0.001+'Advanced Entry'!G69),IF('Advanced Entry'!G$5="Exponential",EXP('Advanced Entry'!G69),'Advanced Entry'!G69)))-'Advanced Entry'!G$6)/('Advanced Entry'!G$7-'Advanced Entry'!G$6)),1))),"No data"))</f>
        <v/>
      </c>
      <c r="H69" s="17">
        <f>IF('Advanced Entry'!H69="","",IFERROR(MAX(0,MIN(10,ROUND(IF('Advanced Entry'!H$8="Decrease Risk",10-10*((IF('Advanced Entry'!H$5="Logarithm",LN(0.001+'Advanced Entry'!H69),IF('Advanced Entry'!H$5="Exponential",EXP('Advanced Entry'!H69),'Advanced Entry'!H69)))-'Advanced Entry'!H$6)/('Advanced Entry'!H$7-'Advanced Entry'!H$6),10*((IF('Advanced Entry'!H$5="Logarithm",LN(0.001+'Advanced Entry'!H69),IF('Advanced Entry'!H$5="Exponential",EXP('Advanced Entry'!H69),'Advanced Entry'!H69)))-'Advanced Entry'!H$6)/('Advanced Entry'!H$7-'Advanced Entry'!H$6)),1))),"No data"))</f>
        <v/>
      </c>
      <c r="I69" s="17">
        <f>IF('Advanced Entry'!I69="","",IFERROR(MAX(0,MIN(10,ROUND(IF('Advanced Entry'!I$8="Decrease Risk",10-10*((IF('Advanced Entry'!I$5="Logarithm",LN(0.001+'Advanced Entry'!I69),IF('Advanced Entry'!I$5="Exponential",EXP('Advanced Entry'!I69),'Advanced Entry'!I69)))-'Advanced Entry'!I$6)/('Advanced Entry'!I$7-'Advanced Entry'!I$6),10*((IF('Advanced Entry'!I$5="Logarithm",LN(0.001+'Advanced Entry'!I69),IF('Advanced Entry'!I$5="Exponential",EXP('Advanced Entry'!I69),'Advanced Entry'!I69)))-'Advanced Entry'!I$6)/('Advanced Entry'!I$7-'Advanced Entry'!I$6)),1))),"No data"))</f>
        <v/>
      </c>
      <c r="J69" s="17">
        <f>IF('Advanced Entry'!J69="","",IFERROR(MAX(0,MIN(10,ROUND(IF('Advanced Entry'!J$8="Decrease Risk",10-10*((IF('Advanced Entry'!J$5="Logarithm",LN(0.001+'Advanced Entry'!J69),IF('Advanced Entry'!J$5="Exponential",EXP('Advanced Entry'!J69),'Advanced Entry'!J69)))-'Advanced Entry'!J$6)/('Advanced Entry'!J$7-'Advanced Entry'!J$6),10*((IF('Advanced Entry'!J$5="Logarithm",LN(0.001+'Advanced Entry'!J69),IF('Advanced Entry'!J$5="Exponential",EXP('Advanced Entry'!J69),'Advanced Entry'!J69)))-'Advanced Entry'!J$6)/('Advanced Entry'!J$7-'Advanced Entry'!J$6)),1))),"No data"))</f>
        <v/>
      </c>
      <c r="K69" s="17">
        <f>IF('Advanced Entry'!K69="","",IFERROR(MAX(0,MIN(10,ROUND(IF('Advanced Entry'!K$8="Decrease Risk",10-10*((IF('Advanced Entry'!K$5="Logarithm",LN(0.001+'Advanced Entry'!K69),IF('Advanced Entry'!K$5="Exponential",EXP('Advanced Entry'!K69),'Advanced Entry'!K69)))-'Advanced Entry'!K$6)/('Advanced Entry'!K$7-'Advanced Entry'!K$6),10*((IF('Advanced Entry'!K$5="Logarithm",LN(0.001+'Advanced Entry'!K69),IF('Advanced Entry'!K$5="Exponential",EXP('Advanced Entry'!K69),'Advanced Entry'!K69)))-'Advanced Entry'!K$6)/('Advanced Entry'!K$7-'Advanced Entry'!K$6)),1))),"No data"))</f>
        <v/>
      </c>
      <c r="L69" s="17">
        <f>IF('Advanced Entry'!L69="","",IFERROR(MAX(0,MIN(10,ROUND(IF('Advanced Entry'!L$8="Decrease Risk",10-10*((IF('Advanced Entry'!L$5="Logarithm",LN(0.001+'Advanced Entry'!L69),IF('Advanced Entry'!L$5="Exponential",EXP('Advanced Entry'!L69),'Advanced Entry'!L69)))-'Advanced Entry'!L$6)/('Advanced Entry'!L$7-'Advanced Entry'!L$6),10*((IF('Advanced Entry'!L$5="Logarithm",LN(0.001+'Advanced Entry'!L69),IF('Advanced Entry'!L$5="Exponential",EXP('Advanced Entry'!L69),'Advanced Entry'!L69)))-'Advanced Entry'!L$6)/('Advanced Entry'!L$7-'Advanced Entry'!L$6)),1))),"No data"))</f>
        <v/>
      </c>
      <c r="M69" s="17">
        <f>IF('Advanced Entry'!M69="","",IFERROR(MAX(0,MIN(10,ROUND(IF('Advanced Entry'!M$8="Decrease Risk",10-10*((IF('Advanced Entry'!M$5="Logarithm",LN(0.001+'Advanced Entry'!M69),IF('Advanced Entry'!M$5="Exponential",EXP('Advanced Entry'!M69),'Advanced Entry'!M69)))-'Advanced Entry'!M$6)/('Advanced Entry'!M$7-'Advanced Entry'!M$6),10*((IF('Advanced Entry'!M$5="Logarithm",LN(0.001+'Advanced Entry'!M69),IF('Advanced Entry'!M$5="Exponential",EXP('Advanced Entry'!M69),'Advanced Entry'!M69)))-'Advanced Entry'!M$6)/('Advanced Entry'!M$7-'Advanced Entry'!M$6)),1))),"No data"))</f>
        <v/>
      </c>
      <c r="N69" s="17">
        <f>IF('Advanced Entry'!N69="","",IFERROR(MAX(0,MIN(10,ROUND(IF('Advanced Entry'!N$8="Decrease Risk",10-10*((IF('Advanced Entry'!N$5="Logarithm",LN(0.001+'Advanced Entry'!N69),IF('Advanced Entry'!N$5="Exponential",EXP('Advanced Entry'!N69),'Advanced Entry'!N69)))-'Advanced Entry'!N$6)/('Advanced Entry'!N$7-'Advanced Entry'!N$6),10*((IF('Advanced Entry'!N$5="Logarithm",LN(0.001+'Advanced Entry'!N69),IF('Advanced Entry'!N$5="Exponential",EXP('Advanced Entry'!N69),'Advanced Entry'!N69)))-'Advanced Entry'!N$6)/('Advanced Entry'!N$7-'Advanced Entry'!N$6)),1))),"No data"))</f>
        <v/>
      </c>
      <c r="O69" s="17">
        <f>IF('Advanced Entry'!O69="","",IFERROR(MAX(0,MIN(10,ROUND(IF('Advanced Entry'!O$8="Decrease Risk",10-10*((IF('Advanced Entry'!O$5="Logarithm",LN(0.001+'Advanced Entry'!O69),IF('Advanced Entry'!O$5="Exponential",EXP('Advanced Entry'!O69),'Advanced Entry'!O69)))-'Advanced Entry'!O$6)/('Advanced Entry'!O$7-'Advanced Entry'!O$6),10*((IF('Advanced Entry'!O$5="Logarithm",LN(0.001+'Advanced Entry'!O69),IF('Advanced Entry'!O$5="Exponential",EXP('Advanced Entry'!O69),'Advanced Entry'!O69)))-'Advanced Entry'!O$6)/('Advanced Entry'!O$7-'Advanced Entry'!O$6)),1))),"No data"))</f>
        <v/>
      </c>
      <c r="P69" s="17">
        <f>IF('Advanced Entry'!P69="","",IFERROR(MAX(0,MIN(10,ROUND(IF('Advanced Entry'!P$8="Decrease Risk",10-10*((IF('Advanced Entry'!P$5="Logarithm",LN(0.001+'Advanced Entry'!P69),IF('Advanced Entry'!P$5="Exponential",EXP('Advanced Entry'!P69),'Advanced Entry'!P69)))-'Advanced Entry'!P$6)/('Advanced Entry'!P$7-'Advanced Entry'!P$6),10*((IF('Advanced Entry'!P$5="Logarithm",LN(0.001+'Advanced Entry'!P69),IF('Advanced Entry'!P$5="Exponential",EXP('Advanced Entry'!P69),'Advanced Entry'!P69)))-'Advanced Entry'!P$6)/('Advanced Entry'!P$7-'Advanced Entry'!P$6)),1))),"No data"))</f>
        <v/>
      </c>
      <c r="Q69" s="17">
        <f>IF('Advanced Entry'!Q69="","",IFERROR(MAX(0,MIN(10,ROUND(IF('Advanced Entry'!Q$8="Decrease Risk",10-10*((IF('Advanced Entry'!Q$5="Logarithm",LN(0.001+'Advanced Entry'!Q69),IF('Advanced Entry'!Q$5="Exponential",EXP('Advanced Entry'!Q69),'Advanced Entry'!Q69)))-'Advanced Entry'!Q$6)/('Advanced Entry'!Q$7-'Advanced Entry'!Q$6),10*((IF('Advanced Entry'!Q$5="Logarithm",LN(0.001+'Advanced Entry'!Q69),IF('Advanced Entry'!Q$5="Exponential",EXP('Advanced Entry'!Q69),'Advanced Entry'!Q69)))-'Advanced Entry'!Q$6)/('Advanced Entry'!Q$7-'Advanced Entry'!Q$6)),1))),"No data"))</f>
        <v/>
      </c>
      <c r="R69" s="17">
        <f>IF('Advanced Entry'!R69="","",IFERROR(MAX(0,MIN(10,ROUND(IF('Advanced Entry'!R$8="Decrease Risk",10-10*((IF('Advanced Entry'!R$5="Logarithm",LN(0.001+'Advanced Entry'!R69),IF('Advanced Entry'!R$5="Exponential",EXP('Advanced Entry'!R69),'Advanced Entry'!R69)))-'Advanced Entry'!R$6)/('Advanced Entry'!R$7-'Advanced Entry'!R$6),10*((IF('Advanced Entry'!R$5="Logarithm",LN(0.001+'Advanced Entry'!R69),IF('Advanced Entry'!R$5="Exponential",EXP('Advanced Entry'!R69),'Advanced Entry'!R69)))-'Advanced Entry'!R$6)/('Advanced Entry'!R$7-'Advanced Entry'!R$6)),1))),"No data"))</f>
        <v/>
      </c>
      <c r="S69" s="17">
        <f>IF('Advanced Entry'!S69="","",IFERROR(MAX(0,MIN(10,ROUND(IF('Advanced Entry'!S$8="Decrease Risk",10-10*((IF('Advanced Entry'!S$5="Logarithm",LN(0.001+'Advanced Entry'!S69),IF('Advanced Entry'!S$5="Exponential",EXP('Advanced Entry'!S69),'Advanced Entry'!S69)))-'Advanced Entry'!S$6)/('Advanced Entry'!S$7-'Advanced Entry'!S$6),10*((IF('Advanced Entry'!S$5="Logarithm",LN(0.001+'Advanced Entry'!S69),IF('Advanced Entry'!S$5="Exponential",EXP('Advanced Entry'!S69),'Advanced Entry'!S69)))-'Advanced Entry'!S$6)/('Advanced Entry'!S$7-'Advanced Entry'!S$6)),1))),"No data"))</f>
        <v/>
      </c>
      <c r="T69" s="17">
        <f>IF('Advanced Entry'!T69="","",IFERROR(MAX(0,MIN(10,ROUND(IF('Advanced Entry'!T$8="Decrease Risk",10-10*((IF('Advanced Entry'!T$5="Logarithm",LN(0.001+'Advanced Entry'!T69),IF('Advanced Entry'!T$5="Exponential",EXP('Advanced Entry'!T69),'Advanced Entry'!T69)))-'Advanced Entry'!T$6)/('Advanced Entry'!T$7-'Advanced Entry'!T$6),10*((IF('Advanced Entry'!T$5="Logarithm",LN(0.001+'Advanced Entry'!T69),IF('Advanced Entry'!T$5="Exponential",EXP('Advanced Entry'!T69),'Advanced Entry'!T69)))-'Advanced Entry'!T$6)/('Advanced Entry'!T$7-'Advanced Entry'!T$6)),1))),"No data"))</f>
        <v/>
      </c>
      <c r="U69" s="17">
        <f>IF('Advanced Entry'!U69="","",IFERROR(MAX(0,MIN(10,ROUND(IF('Advanced Entry'!U$8="Decrease Risk",10-10*((IF('Advanced Entry'!U$5="Logarithm",LN(0.001+'Advanced Entry'!U69),IF('Advanced Entry'!U$5="Exponential",EXP('Advanced Entry'!U69),'Advanced Entry'!U69)))-'Advanced Entry'!U$6)/('Advanced Entry'!U$7-'Advanced Entry'!U$6),10*((IF('Advanced Entry'!U$5="Logarithm",LN(0.001+'Advanced Entry'!U69),IF('Advanced Entry'!U$5="Exponential",EXP('Advanced Entry'!U69),'Advanced Entry'!U69)))-'Advanced Entry'!U$6)/('Advanced Entry'!U$7-'Advanced Entry'!U$6)),1))),"No data"))</f>
        <v/>
      </c>
      <c r="V69" s="17">
        <f>IF('Advanced Entry'!V69="","",IFERROR(MAX(0,MIN(10,ROUND(IF('Advanced Entry'!V$8="Decrease Risk",10-10*((IF('Advanced Entry'!V$5="Logarithm",LN(0.001+'Advanced Entry'!V69),IF('Advanced Entry'!V$5="Exponential",EXP('Advanced Entry'!V69),'Advanced Entry'!V69)))-'Advanced Entry'!V$6)/('Advanced Entry'!V$7-'Advanced Entry'!V$6),10*((IF('Advanced Entry'!V$5="Logarithm",LN(0.001+'Advanced Entry'!V69),IF('Advanced Entry'!V$5="Exponential",EXP('Advanced Entry'!V69),'Advanced Entry'!V69)))-'Advanced Entry'!V$6)/('Advanced Entry'!V$7-'Advanced Entry'!V$6)),1))),"No data"))</f>
        <v/>
      </c>
      <c r="W69" s="17">
        <f>IF('Advanced Entry'!W69="","",IFERROR(MAX(0,MIN(10,ROUND(IF('Advanced Entry'!W$8="Decrease Risk",10-10*((IF('Advanced Entry'!W$5="Logarithm",LN(0.001+'Advanced Entry'!W69),IF('Advanced Entry'!W$5="Exponential",EXP('Advanced Entry'!W69),'Advanced Entry'!W69)))-'Advanced Entry'!W$6)/('Advanced Entry'!W$7-'Advanced Entry'!W$6),10*((IF('Advanced Entry'!W$5="Logarithm",LN(0.001+'Advanced Entry'!W69),IF('Advanced Entry'!W$5="Exponential",EXP('Advanced Entry'!W69),'Advanced Entry'!W69)))-'Advanced Entry'!W$6)/('Advanced Entry'!W$7-'Advanced Entry'!W$6)),1))),"No data"))</f>
        <v/>
      </c>
      <c r="X69" s="17">
        <f>IF('Advanced Entry'!X69="","",IFERROR(MAX(0,MIN(10,ROUND(IF('Advanced Entry'!X$8="Decrease Risk",10-10*((IF('Advanced Entry'!X$5="Logarithm",LN(0.001+'Advanced Entry'!X69),IF('Advanced Entry'!X$5="Exponential",EXP('Advanced Entry'!X69),'Advanced Entry'!X69)))-'Advanced Entry'!X$6)/('Advanced Entry'!X$7-'Advanced Entry'!X$6),10*((IF('Advanced Entry'!X$5="Logarithm",LN(0.001+'Advanced Entry'!X69),IF('Advanced Entry'!X$5="Exponential",EXP('Advanced Entry'!X69),'Advanced Entry'!X69)))-'Advanced Entry'!X$6)/('Advanced Entry'!X$7-'Advanced Entry'!X$6)),1))),"No data"))</f>
        <v/>
      </c>
      <c r="Y69" s="17">
        <f>IF('Advanced Entry'!Y69="","",IFERROR(MAX(0,MIN(10,ROUND(IF('Advanced Entry'!Y$8="Decrease Risk",10-10*((IF('Advanced Entry'!Y$5="Logarithm",LN(0.001+'Advanced Entry'!Y69),IF('Advanced Entry'!Y$5="Exponential",EXP('Advanced Entry'!Y69),'Advanced Entry'!Y69)))-'Advanced Entry'!Y$6)/('Advanced Entry'!Y$7-'Advanced Entry'!Y$6),10*((IF('Advanced Entry'!Y$5="Logarithm",LN(0.001+'Advanced Entry'!Y69),IF('Advanced Entry'!Y$5="Exponential",EXP('Advanced Entry'!Y69),'Advanced Entry'!Y69)))-'Advanced Entry'!Y$6)/('Advanced Entry'!Y$7-'Advanced Entry'!Y$6)),1))),"No data"))</f>
        <v/>
      </c>
      <c r="Z69" s="17">
        <f>IF('Advanced Entry'!Z69="","",IFERROR(MAX(0,MIN(10,ROUND(IF('Advanced Entry'!Z$8="Decrease Risk",10-10*((IF('Advanced Entry'!Z$5="Logarithm",LN(0.001+'Advanced Entry'!Z69),IF('Advanced Entry'!Z$5="Exponential",EXP('Advanced Entry'!Z69),'Advanced Entry'!Z69)))-'Advanced Entry'!Z$6)/('Advanced Entry'!Z$7-'Advanced Entry'!Z$6),10*((IF('Advanced Entry'!Z$5="Logarithm",LN(0.001+'Advanced Entry'!Z69),IF('Advanced Entry'!Z$5="Exponential",EXP('Advanced Entry'!Z69),'Advanced Entry'!Z69)))-'Advanced Entry'!Z$6)/('Advanced Entry'!Z$7-'Advanced Entry'!Z$6)),1))),"No data"))</f>
        <v/>
      </c>
      <c r="AA69" s="17">
        <f>IF('Advanced Entry'!AA69="","",IFERROR(MAX(0,MIN(10,ROUND(IF('Advanced Entry'!AA$8="Decrease Risk",10-10*((IF('Advanced Entry'!AA$5="Logarithm",LN(0.001+'Advanced Entry'!AA69),IF('Advanced Entry'!AA$5="Exponential",EXP('Advanced Entry'!AA69),'Advanced Entry'!AA69)))-'Advanced Entry'!AA$6)/('Advanced Entry'!AA$7-'Advanced Entry'!AA$6),10*((IF('Advanced Entry'!AA$5="Logarithm",LN(0.001+'Advanced Entry'!AA69),IF('Advanced Entry'!AA$5="Exponential",EXP('Advanced Entry'!AA69),'Advanced Entry'!AA69)))-'Advanced Entry'!AA$6)/('Advanced Entry'!AA$7-'Advanced Entry'!AA$6)),1))),"No data"))</f>
        <v/>
      </c>
      <c r="AB69" s="17">
        <f>IF('Advanced Entry'!AB69="","",IFERROR(MAX(0,MIN(10,ROUND(IF('Advanced Entry'!AB$8="Decrease Risk",10-10*((IF('Advanced Entry'!AB$5="Logarithm",LN(0.001+'Advanced Entry'!AB69),IF('Advanced Entry'!AB$5="Exponential",EXP('Advanced Entry'!AB69),'Advanced Entry'!AB69)))-'Advanced Entry'!AB$6)/('Advanced Entry'!AB$7-'Advanced Entry'!AB$6),10*((IF('Advanced Entry'!AB$5="Logarithm",LN(0.001+'Advanced Entry'!AB69),IF('Advanced Entry'!AB$5="Exponential",EXP('Advanced Entry'!AB69),'Advanced Entry'!AB69)))-'Advanced Entry'!AB$6)/('Advanced Entry'!AB$7-'Advanced Entry'!AB$6)),1))),"No data"))</f>
        <v/>
      </c>
    </row>
    <row r="70">
      <c r="A70" t="inlineStr">
        <is>
          <t>Kilimanjaro</t>
        </is>
      </c>
      <c r="B70" t="inlineStr">
        <is>
          <t>Mwanga District</t>
        </is>
      </c>
      <c r="C70" t="inlineStr">
        <is>
          <t>C017</t>
        </is>
      </c>
      <c r="D70" s="17">
        <f>IF('Advanced Entry'!D70="","",IFERROR(MAX(0,MIN(10,ROUND(IF('Advanced Entry'!D$8="Decrease Risk",10-10*((IF('Advanced Entry'!D$5="Logarithm",LN(0.001+'Advanced Entry'!D70),IF('Advanced Entry'!D$5="Exponential",EXP('Advanced Entry'!D70),'Advanced Entry'!D70)))-'Advanced Entry'!D$6)/('Advanced Entry'!D$7-'Advanced Entry'!D$6),10*((IF('Advanced Entry'!D$5="Logarithm",LN(0.001+'Advanced Entry'!D70),IF('Advanced Entry'!D$5="Exponential",EXP('Advanced Entry'!D70),'Advanced Entry'!D70)))-'Advanced Entry'!D$6)/('Advanced Entry'!D$7-'Advanced Entry'!D$6)),1))),"No data"))</f>
        <v/>
      </c>
      <c r="E70" s="17">
        <f>IF('Advanced Entry'!E70="","",IFERROR(MAX(0,MIN(10,ROUND(IF('Advanced Entry'!E$8="Decrease Risk",10-10*((IF('Advanced Entry'!E$5="Logarithm",LN(0.001+'Advanced Entry'!E70),IF('Advanced Entry'!E$5="Exponential",EXP('Advanced Entry'!E70),'Advanced Entry'!E70)))-'Advanced Entry'!E$6)/('Advanced Entry'!E$7-'Advanced Entry'!E$6),10*((IF('Advanced Entry'!E$5="Logarithm",LN(0.001+'Advanced Entry'!E70),IF('Advanced Entry'!E$5="Exponential",EXP('Advanced Entry'!E70),'Advanced Entry'!E70)))-'Advanced Entry'!E$6)/('Advanced Entry'!E$7-'Advanced Entry'!E$6)),1))),"No data"))</f>
        <v/>
      </c>
      <c r="F70" s="17">
        <f>IF('Advanced Entry'!F70="","",IFERROR(MAX(0,MIN(10,ROUND(IF('Advanced Entry'!F$8="Decrease Risk",10-10*((IF('Advanced Entry'!F$5="Logarithm",LN(0.001+'Advanced Entry'!F70),IF('Advanced Entry'!F$5="Exponential",EXP('Advanced Entry'!F70),'Advanced Entry'!F70)))-'Advanced Entry'!F$6)/('Advanced Entry'!F$7-'Advanced Entry'!F$6),10*((IF('Advanced Entry'!F$5="Logarithm",LN(0.001+'Advanced Entry'!F70),IF('Advanced Entry'!F$5="Exponential",EXP('Advanced Entry'!F70),'Advanced Entry'!F70)))-'Advanced Entry'!F$6)/('Advanced Entry'!F$7-'Advanced Entry'!F$6)),1))),"No data"))</f>
        <v/>
      </c>
      <c r="G70" s="17">
        <f>IF('Advanced Entry'!G70="","",IFERROR(MAX(0,MIN(10,ROUND(IF('Advanced Entry'!G$8="Decrease Risk",10-10*((IF('Advanced Entry'!G$5="Logarithm",LN(0.001+'Advanced Entry'!G70),IF('Advanced Entry'!G$5="Exponential",EXP('Advanced Entry'!G70),'Advanced Entry'!G70)))-'Advanced Entry'!G$6)/('Advanced Entry'!G$7-'Advanced Entry'!G$6),10*((IF('Advanced Entry'!G$5="Logarithm",LN(0.001+'Advanced Entry'!G70),IF('Advanced Entry'!G$5="Exponential",EXP('Advanced Entry'!G70),'Advanced Entry'!G70)))-'Advanced Entry'!G$6)/('Advanced Entry'!G$7-'Advanced Entry'!G$6)),1))),"No data"))</f>
        <v/>
      </c>
      <c r="H70" s="17">
        <f>IF('Advanced Entry'!H70="","",IFERROR(MAX(0,MIN(10,ROUND(IF('Advanced Entry'!H$8="Decrease Risk",10-10*((IF('Advanced Entry'!H$5="Logarithm",LN(0.001+'Advanced Entry'!H70),IF('Advanced Entry'!H$5="Exponential",EXP('Advanced Entry'!H70),'Advanced Entry'!H70)))-'Advanced Entry'!H$6)/('Advanced Entry'!H$7-'Advanced Entry'!H$6),10*((IF('Advanced Entry'!H$5="Logarithm",LN(0.001+'Advanced Entry'!H70),IF('Advanced Entry'!H$5="Exponential",EXP('Advanced Entry'!H70),'Advanced Entry'!H70)))-'Advanced Entry'!H$6)/('Advanced Entry'!H$7-'Advanced Entry'!H$6)),1))),"No data"))</f>
        <v/>
      </c>
      <c r="I70" s="17">
        <f>IF('Advanced Entry'!I70="","",IFERROR(MAX(0,MIN(10,ROUND(IF('Advanced Entry'!I$8="Decrease Risk",10-10*((IF('Advanced Entry'!I$5="Logarithm",LN(0.001+'Advanced Entry'!I70),IF('Advanced Entry'!I$5="Exponential",EXP('Advanced Entry'!I70),'Advanced Entry'!I70)))-'Advanced Entry'!I$6)/('Advanced Entry'!I$7-'Advanced Entry'!I$6),10*((IF('Advanced Entry'!I$5="Logarithm",LN(0.001+'Advanced Entry'!I70),IF('Advanced Entry'!I$5="Exponential",EXP('Advanced Entry'!I70),'Advanced Entry'!I70)))-'Advanced Entry'!I$6)/('Advanced Entry'!I$7-'Advanced Entry'!I$6)),1))),"No data"))</f>
        <v/>
      </c>
      <c r="J70" s="17">
        <f>IF('Advanced Entry'!J70="","",IFERROR(MAX(0,MIN(10,ROUND(IF('Advanced Entry'!J$8="Decrease Risk",10-10*((IF('Advanced Entry'!J$5="Logarithm",LN(0.001+'Advanced Entry'!J70),IF('Advanced Entry'!J$5="Exponential",EXP('Advanced Entry'!J70),'Advanced Entry'!J70)))-'Advanced Entry'!J$6)/('Advanced Entry'!J$7-'Advanced Entry'!J$6),10*((IF('Advanced Entry'!J$5="Logarithm",LN(0.001+'Advanced Entry'!J70),IF('Advanced Entry'!J$5="Exponential",EXP('Advanced Entry'!J70),'Advanced Entry'!J70)))-'Advanced Entry'!J$6)/('Advanced Entry'!J$7-'Advanced Entry'!J$6)),1))),"No data"))</f>
        <v/>
      </c>
      <c r="K70" s="17">
        <f>IF('Advanced Entry'!K70="","",IFERROR(MAX(0,MIN(10,ROUND(IF('Advanced Entry'!K$8="Decrease Risk",10-10*((IF('Advanced Entry'!K$5="Logarithm",LN(0.001+'Advanced Entry'!K70),IF('Advanced Entry'!K$5="Exponential",EXP('Advanced Entry'!K70),'Advanced Entry'!K70)))-'Advanced Entry'!K$6)/('Advanced Entry'!K$7-'Advanced Entry'!K$6),10*((IF('Advanced Entry'!K$5="Logarithm",LN(0.001+'Advanced Entry'!K70),IF('Advanced Entry'!K$5="Exponential",EXP('Advanced Entry'!K70),'Advanced Entry'!K70)))-'Advanced Entry'!K$6)/('Advanced Entry'!K$7-'Advanced Entry'!K$6)),1))),"No data"))</f>
        <v/>
      </c>
      <c r="L70" s="17">
        <f>IF('Advanced Entry'!L70="","",IFERROR(MAX(0,MIN(10,ROUND(IF('Advanced Entry'!L$8="Decrease Risk",10-10*((IF('Advanced Entry'!L$5="Logarithm",LN(0.001+'Advanced Entry'!L70),IF('Advanced Entry'!L$5="Exponential",EXP('Advanced Entry'!L70),'Advanced Entry'!L70)))-'Advanced Entry'!L$6)/('Advanced Entry'!L$7-'Advanced Entry'!L$6),10*((IF('Advanced Entry'!L$5="Logarithm",LN(0.001+'Advanced Entry'!L70),IF('Advanced Entry'!L$5="Exponential",EXP('Advanced Entry'!L70),'Advanced Entry'!L70)))-'Advanced Entry'!L$6)/('Advanced Entry'!L$7-'Advanced Entry'!L$6)),1))),"No data"))</f>
        <v/>
      </c>
      <c r="M70" s="17">
        <f>IF('Advanced Entry'!M70="","",IFERROR(MAX(0,MIN(10,ROUND(IF('Advanced Entry'!M$8="Decrease Risk",10-10*((IF('Advanced Entry'!M$5="Logarithm",LN(0.001+'Advanced Entry'!M70),IF('Advanced Entry'!M$5="Exponential",EXP('Advanced Entry'!M70),'Advanced Entry'!M70)))-'Advanced Entry'!M$6)/('Advanced Entry'!M$7-'Advanced Entry'!M$6),10*((IF('Advanced Entry'!M$5="Logarithm",LN(0.001+'Advanced Entry'!M70),IF('Advanced Entry'!M$5="Exponential",EXP('Advanced Entry'!M70),'Advanced Entry'!M70)))-'Advanced Entry'!M$6)/('Advanced Entry'!M$7-'Advanced Entry'!M$6)),1))),"No data"))</f>
        <v/>
      </c>
      <c r="N70" s="17">
        <f>IF('Advanced Entry'!N70="","",IFERROR(MAX(0,MIN(10,ROUND(IF('Advanced Entry'!N$8="Decrease Risk",10-10*((IF('Advanced Entry'!N$5="Logarithm",LN(0.001+'Advanced Entry'!N70),IF('Advanced Entry'!N$5="Exponential",EXP('Advanced Entry'!N70),'Advanced Entry'!N70)))-'Advanced Entry'!N$6)/('Advanced Entry'!N$7-'Advanced Entry'!N$6),10*((IF('Advanced Entry'!N$5="Logarithm",LN(0.001+'Advanced Entry'!N70),IF('Advanced Entry'!N$5="Exponential",EXP('Advanced Entry'!N70),'Advanced Entry'!N70)))-'Advanced Entry'!N$6)/('Advanced Entry'!N$7-'Advanced Entry'!N$6)),1))),"No data"))</f>
        <v/>
      </c>
      <c r="O70" s="17">
        <f>IF('Advanced Entry'!O70="","",IFERROR(MAX(0,MIN(10,ROUND(IF('Advanced Entry'!O$8="Decrease Risk",10-10*((IF('Advanced Entry'!O$5="Logarithm",LN(0.001+'Advanced Entry'!O70),IF('Advanced Entry'!O$5="Exponential",EXP('Advanced Entry'!O70),'Advanced Entry'!O70)))-'Advanced Entry'!O$6)/('Advanced Entry'!O$7-'Advanced Entry'!O$6),10*((IF('Advanced Entry'!O$5="Logarithm",LN(0.001+'Advanced Entry'!O70),IF('Advanced Entry'!O$5="Exponential",EXP('Advanced Entry'!O70),'Advanced Entry'!O70)))-'Advanced Entry'!O$6)/('Advanced Entry'!O$7-'Advanced Entry'!O$6)),1))),"No data"))</f>
        <v/>
      </c>
      <c r="P70" s="17">
        <f>IF('Advanced Entry'!P70="","",IFERROR(MAX(0,MIN(10,ROUND(IF('Advanced Entry'!P$8="Decrease Risk",10-10*((IF('Advanced Entry'!P$5="Logarithm",LN(0.001+'Advanced Entry'!P70),IF('Advanced Entry'!P$5="Exponential",EXP('Advanced Entry'!P70),'Advanced Entry'!P70)))-'Advanced Entry'!P$6)/('Advanced Entry'!P$7-'Advanced Entry'!P$6),10*((IF('Advanced Entry'!P$5="Logarithm",LN(0.001+'Advanced Entry'!P70),IF('Advanced Entry'!P$5="Exponential",EXP('Advanced Entry'!P70),'Advanced Entry'!P70)))-'Advanced Entry'!P$6)/('Advanced Entry'!P$7-'Advanced Entry'!P$6)),1))),"No data"))</f>
        <v/>
      </c>
      <c r="Q70" s="17">
        <f>IF('Advanced Entry'!Q70="","",IFERROR(MAX(0,MIN(10,ROUND(IF('Advanced Entry'!Q$8="Decrease Risk",10-10*((IF('Advanced Entry'!Q$5="Logarithm",LN(0.001+'Advanced Entry'!Q70),IF('Advanced Entry'!Q$5="Exponential",EXP('Advanced Entry'!Q70),'Advanced Entry'!Q70)))-'Advanced Entry'!Q$6)/('Advanced Entry'!Q$7-'Advanced Entry'!Q$6),10*((IF('Advanced Entry'!Q$5="Logarithm",LN(0.001+'Advanced Entry'!Q70),IF('Advanced Entry'!Q$5="Exponential",EXP('Advanced Entry'!Q70),'Advanced Entry'!Q70)))-'Advanced Entry'!Q$6)/('Advanced Entry'!Q$7-'Advanced Entry'!Q$6)),1))),"No data"))</f>
        <v/>
      </c>
      <c r="R70" s="17">
        <f>IF('Advanced Entry'!R70="","",IFERROR(MAX(0,MIN(10,ROUND(IF('Advanced Entry'!R$8="Decrease Risk",10-10*((IF('Advanced Entry'!R$5="Logarithm",LN(0.001+'Advanced Entry'!R70),IF('Advanced Entry'!R$5="Exponential",EXP('Advanced Entry'!R70),'Advanced Entry'!R70)))-'Advanced Entry'!R$6)/('Advanced Entry'!R$7-'Advanced Entry'!R$6),10*((IF('Advanced Entry'!R$5="Logarithm",LN(0.001+'Advanced Entry'!R70),IF('Advanced Entry'!R$5="Exponential",EXP('Advanced Entry'!R70),'Advanced Entry'!R70)))-'Advanced Entry'!R$6)/('Advanced Entry'!R$7-'Advanced Entry'!R$6)),1))),"No data"))</f>
        <v/>
      </c>
      <c r="S70" s="17">
        <f>IF('Advanced Entry'!S70="","",IFERROR(MAX(0,MIN(10,ROUND(IF('Advanced Entry'!S$8="Decrease Risk",10-10*((IF('Advanced Entry'!S$5="Logarithm",LN(0.001+'Advanced Entry'!S70),IF('Advanced Entry'!S$5="Exponential",EXP('Advanced Entry'!S70),'Advanced Entry'!S70)))-'Advanced Entry'!S$6)/('Advanced Entry'!S$7-'Advanced Entry'!S$6),10*((IF('Advanced Entry'!S$5="Logarithm",LN(0.001+'Advanced Entry'!S70),IF('Advanced Entry'!S$5="Exponential",EXP('Advanced Entry'!S70),'Advanced Entry'!S70)))-'Advanced Entry'!S$6)/('Advanced Entry'!S$7-'Advanced Entry'!S$6)),1))),"No data"))</f>
        <v/>
      </c>
      <c r="T70" s="17">
        <f>IF('Advanced Entry'!T70="","",IFERROR(MAX(0,MIN(10,ROUND(IF('Advanced Entry'!T$8="Decrease Risk",10-10*((IF('Advanced Entry'!T$5="Logarithm",LN(0.001+'Advanced Entry'!T70),IF('Advanced Entry'!T$5="Exponential",EXP('Advanced Entry'!T70),'Advanced Entry'!T70)))-'Advanced Entry'!T$6)/('Advanced Entry'!T$7-'Advanced Entry'!T$6),10*((IF('Advanced Entry'!T$5="Logarithm",LN(0.001+'Advanced Entry'!T70),IF('Advanced Entry'!T$5="Exponential",EXP('Advanced Entry'!T70),'Advanced Entry'!T70)))-'Advanced Entry'!T$6)/('Advanced Entry'!T$7-'Advanced Entry'!T$6)),1))),"No data"))</f>
        <v/>
      </c>
      <c r="U70" s="17">
        <f>IF('Advanced Entry'!U70="","",IFERROR(MAX(0,MIN(10,ROUND(IF('Advanced Entry'!U$8="Decrease Risk",10-10*((IF('Advanced Entry'!U$5="Logarithm",LN(0.001+'Advanced Entry'!U70),IF('Advanced Entry'!U$5="Exponential",EXP('Advanced Entry'!U70),'Advanced Entry'!U70)))-'Advanced Entry'!U$6)/('Advanced Entry'!U$7-'Advanced Entry'!U$6),10*((IF('Advanced Entry'!U$5="Logarithm",LN(0.001+'Advanced Entry'!U70),IF('Advanced Entry'!U$5="Exponential",EXP('Advanced Entry'!U70),'Advanced Entry'!U70)))-'Advanced Entry'!U$6)/('Advanced Entry'!U$7-'Advanced Entry'!U$6)),1))),"No data"))</f>
        <v/>
      </c>
      <c r="V70" s="17">
        <f>IF('Advanced Entry'!V70="","",IFERROR(MAX(0,MIN(10,ROUND(IF('Advanced Entry'!V$8="Decrease Risk",10-10*((IF('Advanced Entry'!V$5="Logarithm",LN(0.001+'Advanced Entry'!V70),IF('Advanced Entry'!V$5="Exponential",EXP('Advanced Entry'!V70),'Advanced Entry'!V70)))-'Advanced Entry'!V$6)/('Advanced Entry'!V$7-'Advanced Entry'!V$6),10*((IF('Advanced Entry'!V$5="Logarithm",LN(0.001+'Advanced Entry'!V70),IF('Advanced Entry'!V$5="Exponential",EXP('Advanced Entry'!V70),'Advanced Entry'!V70)))-'Advanced Entry'!V$6)/('Advanced Entry'!V$7-'Advanced Entry'!V$6)),1))),"No data"))</f>
        <v/>
      </c>
      <c r="W70" s="17">
        <f>IF('Advanced Entry'!W70="","",IFERROR(MAX(0,MIN(10,ROUND(IF('Advanced Entry'!W$8="Decrease Risk",10-10*((IF('Advanced Entry'!W$5="Logarithm",LN(0.001+'Advanced Entry'!W70),IF('Advanced Entry'!W$5="Exponential",EXP('Advanced Entry'!W70),'Advanced Entry'!W70)))-'Advanced Entry'!W$6)/('Advanced Entry'!W$7-'Advanced Entry'!W$6),10*((IF('Advanced Entry'!W$5="Logarithm",LN(0.001+'Advanced Entry'!W70),IF('Advanced Entry'!W$5="Exponential",EXP('Advanced Entry'!W70),'Advanced Entry'!W70)))-'Advanced Entry'!W$6)/('Advanced Entry'!W$7-'Advanced Entry'!W$6)),1))),"No data"))</f>
        <v/>
      </c>
      <c r="X70" s="17">
        <f>IF('Advanced Entry'!X70="","",IFERROR(MAX(0,MIN(10,ROUND(IF('Advanced Entry'!X$8="Decrease Risk",10-10*((IF('Advanced Entry'!X$5="Logarithm",LN(0.001+'Advanced Entry'!X70),IF('Advanced Entry'!X$5="Exponential",EXP('Advanced Entry'!X70),'Advanced Entry'!X70)))-'Advanced Entry'!X$6)/('Advanced Entry'!X$7-'Advanced Entry'!X$6),10*((IF('Advanced Entry'!X$5="Logarithm",LN(0.001+'Advanced Entry'!X70),IF('Advanced Entry'!X$5="Exponential",EXP('Advanced Entry'!X70),'Advanced Entry'!X70)))-'Advanced Entry'!X$6)/('Advanced Entry'!X$7-'Advanced Entry'!X$6)),1))),"No data"))</f>
        <v/>
      </c>
      <c r="Y70" s="17">
        <f>IF('Advanced Entry'!Y70="","",IFERROR(MAX(0,MIN(10,ROUND(IF('Advanced Entry'!Y$8="Decrease Risk",10-10*((IF('Advanced Entry'!Y$5="Logarithm",LN(0.001+'Advanced Entry'!Y70),IF('Advanced Entry'!Y$5="Exponential",EXP('Advanced Entry'!Y70),'Advanced Entry'!Y70)))-'Advanced Entry'!Y$6)/('Advanced Entry'!Y$7-'Advanced Entry'!Y$6),10*((IF('Advanced Entry'!Y$5="Logarithm",LN(0.001+'Advanced Entry'!Y70),IF('Advanced Entry'!Y$5="Exponential",EXP('Advanced Entry'!Y70),'Advanced Entry'!Y70)))-'Advanced Entry'!Y$6)/('Advanced Entry'!Y$7-'Advanced Entry'!Y$6)),1))),"No data"))</f>
        <v/>
      </c>
      <c r="Z70" s="17">
        <f>IF('Advanced Entry'!Z70="","",IFERROR(MAX(0,MIN(10,ROUND(IF('Advanced Entry'!Z$8="Decrease Risk",10-10*((IF('Advanced Entry'!Z$5="Logarithm",LN(0.001+'Advanced Entry'!Z70),IF('Advanced Entry'!Z$5="Exponential",EXP('Advanced Entry'!Z70),'Advanced Entry'!Z70)))-'Advanced Entry'!Z$6)/('Advanced Entry'!Z$7-'Advanced Entry'!Z$6),10*((IF('Advanced Entry'!Z$5="Logarithm",LN(0.001+'Advanced Entry'!Z70),IF('Advanced Entry'!Z$5="Exponential",EXP('Advanced Entry'!Z70),'Advanced Entry'!Z70)))-'Advanced Entry'!Z$6)/('Advanced Entry'!Z$7-'Advanced Entry'!Z$6)),1))),"No data"))</f>
        <v/>
      </c>
      <c r="AA70" s="17">
        <f>IF('Advanced Entry'!AA70="","",IFERROR(MAX(0,MIN(10,ROUND(IF('Advanced Entry'!AA$8="Decrease Risk",10-10*((IF('Advanced Entry'!AA$5="Logarithm",LN(0.001+'Advanced Entry'!AA70),IF('Advanced Entry'!AA$5="Exponential",EXP('Advanced Entry'!AA70),'Advanced Entry'!AA70)))-'Advanced Entry'!AA$6)/('Advanced Entry'!AA$7-'Advanced Entry'!AA$6),10*((IF('Advanced Entry'!AA$5="Logarithm",LN(0.001+'Advanced Entry'!AA70),IF('Advanced Entry'!AA$5="Exponential",EXP('Advanced Entry'!AA70),'Advanced Entry'!AA70)))-'Advanced Entry'!AA$6)/('Advanced Entry'!AA$7-'Advanced Entry'!AA$6)),1))),"No data"))</f>
        <v/>
      </c>
      <c r="AB70" s="17">
        <f>IF('Advanced Entry'!AB70="","",IFERROR(MAX(0,MIN(10,ROUND(IF('Advanced Entry'!AB$8="Decrease Risk",10-10*((IF('Advanced Entry'!AB$5="Logarithm",LN(0.001+'Advanced Entry'!AB70),IF('Advanced Entry'!AB$5="Exponential",EXP('Advanced Entry'!AB70),'Advanced Entry'!AB70)))-'Advanced Entry'!AB$6)/('Advanced Entry'!AB$7-'Advanced Entry'!AB$6),10*((IF('Advanced Entry'!AB$5="Logarithm",LN(0.001+'Advanced Entry'!AB70),IF('Advanced Entry'!AB$5="Exponential",EXP('Advanced Entry'!AB70),'Advanced Entry'!AB70)))-'Advanced Entry'!AB$6)/('Advanced Entry'!AB$7-'Advanced Entry'!AB$6)),1))),"No data"))</f>
        <v/>
      </c>
    </row>
    <row r="71">
      <c r="A71" t="inlineStr">
        <is>
          <t>Kilimanjaro</t>
        </is>
      </c>
      <c r="B71" t="inlineStr">
        <is>
          <t>Rombo District</t>
        </is>
      </c>
      <c r="C71" t="inlineStr">
        <is>
          <t>C016</t>
        </is>
      </c>
      <c r="D71" s="17">
        <f>IF('Advanced Entry'!D71="","",IFERROR(MAX(0,MIN(10,ROUND(IF('Advanced Entry'!D$8="Decrease Risk",10-10*((IF('Advanced Entry'!D$5="Logarithm",LN(0.001+'Advanced Entry'!D71),IF('Advanced Entry'!D$5="Exponential",EXP('Advanced Entry'!D71),'Advanced Entry'!D71)))-'Advanced Entry'!D$6)/('Advanced Entry'!D$7-'Advanced Entry'!D$6),10*((IF('Advanced Entry'!D$5="Logarithm",LN(0.001+'Advanced Entry'!D71),IF('Advanced Entry'!D$5="Exponential",EXP('Advanced Entry'!D71),'Advanced Entry'!D71)))-'Advanced Entry'!D$6)/('Advanced Entry'!D$7-'Advanced Entry'!D$6)),1))),"No data"))</f>
        <v/>
      </c>
      <c r="E71" s="17">
        <f>IF('Advanced Entry'!E71="","",IFERROR(MAX(0,MIN(10,ROUND(IF('Advanced Entry'!E$8="Decrease Risk",10-10*((IF('Advanced Entry'!E$5="Logarithm",LN(0.001+'Advanced Entry'!E71),IF('Advanced Entry'!E$5="Exponential",EXP('Advanced Entry'!E71),'Advanced Entry'!E71)))-'Advanced Entry'!E$6)/('Advanced Entry'!E$7-'Advanced Entry'!E$6),10*((IF('Advanced Entry'!E$5="Logarithm",LN(0.001+'Advanced Entry'!E71),IF('Advanced Entry'!E$5="Exponential",EXP('Advanced Entry'!E71),'Advanced Entry'!E71)))-'Advanced Entry'!E$6)/('Advanced Entry'!E$7-'Advanced Entry'!E$6)),1))),"No data"))</f>
        <v/>
      </c>
      <c r="F71" s="17">
        <f>IF('Advanced Entry'!F71="","",IFERROR(MAX(0,MIN(10,ROUND(IF('Advanced Entry'!F$8="Decrease Risk",10-10*((IF('Advanced Entry'!F$5="Logarithm",LN(0.001+'Advanced Entry'!F71),IF('Advanced Entry'!F$5="Exponential",EXP('Advanced Entry'!F71),'Advanced Entry'!F71)))-'Advanced Entry'!F$6)/('Advanced Entry'!F$7-'Advanced Entry'!F$6),10*((IF('Advanced Entry'!F$5="Logarithm",LN(0.001+'Advanced Entry'!F71),IF('Advanced Entry'!F$5="Exponential",EXP('Advanced Entry'!F71),'Advanced Entry'!F71)))-'Advanced Entry'!F$6)/('Advanced Entry'!F$7-'Advanced Entry'!F$6)),1))),"No data"))</f>
        <v/>
      </c>
      <c r="G71" s="17">
        <f>IF('Advanced Entry'!G71="","",IFERROR(MAX(0,MIN(10,ROUND(IF('Advanced Entry'!G$8="Decrease Risk",10-10*((IF('Advanced Entry'!G$5="Logarithm",LN(0.001+'Advanced Entry'!G71),IF('Advanced Entry'!G$5="Exponential",EXP('Advanced Entry'!G71),'Advanced Entry'!G71)))-'Advanced Entry'!G$6)/('Advanced Entry'!G$7-'Advanced Entry'!G$6),10*((IF('Advanced Entry'!G$5="Logarithm",LN(0.001+'Advanced Entry'!G71),IF('Advanced Entry'!G$5="Exponential",EXP('Advanced Entry'!G71),'Advanced Entry'!G71)))-'Advanced Entry'!G$6)/('Advanced Entry'!G$7-'Advanced Entry'!G$6)),1))),"No data"))</f>
        <v/>
      </c>
      <c r="H71" s="17">
        <f>IF('Advanced Entry'!H71="","",IFERROR(MAX(0,MIN(10,ROUND(IF('Advanced Entry'!H$8="Decrease Risk",10-10*((IF('Advanced Entry'!H$5="Logarithm",LN(0.001+'Advanced Entry'!H71),IF('Advanced Entry'!H$5="Exponential",EXP('Advanced Entry'!H71),'Advanced Entry'!H71)))-'Advanced Entry'!H$6)/('Advanced Entry'!H$7-'Advanced Entry'!H$6),10*((IF('Advanced Entry'!H$5="Logarithm",LN(0.001+'Advanced Entry'!H71),IF('Advanced Entry'!H$5="Exponential",EXP('Advanced Entry'!H71),'Advanced Entry'!H71)))-'Advanced Entry'!H$6)/('Advanced Entry'!H$7-'Advanced Entry'!H$6)),1))),"No data"))</f>
        <v/>
      </c>
      <c r="I71" s="17">
        <f>IF('Advanced Entry'!I71="","",IFERROR(MAX(0,MIN(10,ROUND(IF('Advanced Entry'!I$8="Decrease Risk",10-10*((IF('Advanced Entry'!I$5="Logarithm",LN(0.001+'Advanced Entry'!I71),IF('Advanced Entry'!I$5="Exponential",EXP('Advanced Entry'!I71),'Advanced Entry'!I71)))-'Advanced Entry'!I$6)/('Advanced Entry'!I$7-'Advanced Entry'!I$6),10*((IF('Advanced Entry'!I$5="Logarithm",LN(0.001+'Advanced Entry'!I71),IF('Advanced Entry'!I$5="Exponential",EXP('Advanced Entry'!I71),'Advanced Entry'!I71)))-'Advanced Entry'!I$6)/('Advanced Entry'!I$7-'Advanced Entry'!I$6)),1))),"No data"))</f>
        <v/>
      </c>
      <c r="J71" s="17">
        <f>IF('Advanced Entry'!J71="","",IFERROR(MAX(0,MIN(10,ROUND(IF('Advanced Entry'!J$8="Decrease Risk",10-10*((IF('Advanced Entry'!J$5="Logarithm",LN(0.001+'Advanced Entry'!J71),IF('Advanced Entry'!J$5="Exponential",EXP('Advanced Entry'!J71),'Advanced Entry'!J71)))-'Advanced Entry'!J$6)/('Advanced Entry'!J$7-'Advanced Entry'!J$6),10*((IF('Advanced Entry'!J$5="Logarithm",LN(0.001+'Advanced Entry'!J71),IF('Advanced Entry'!J$5="Exponential",EXP('Advanced Entry'!J71),'Advanced Entry'!J71)))-'Advanced Entry'!J$6)/('Advanced Entry'!J$7-'Advanced Entry'!J$6)),1))),"No data"))</f>
        <v/>
      </c>
      <c r="K71" s="17">
        <f>IF('Advanced Entry'!K71="","",IFERROR(MAX(0,MIN(10,ROUND(IF('Advanced Entry'!K$8="Decrease Risk",10-10*((IF('Advanced Entry'!K$5="Logarithm",LN(0.001+'Advanced Entry'!K71),IF('Advanced Entry'!K$5="Exponential",EXP('Advanced Entry'!K71),'Advanced Entry'!K71)))-'Advanced Entry'!K$6)/('Advanced Entry'!K$7-'Advanced Entry'!K$6),10*((IF('Advanced Entry'!K$5="Logarithm",LN(0.001+'Advanced Entry'!K71),IF('Advanced Entry'!K$5="Exponential",EXP('Advanced Entry'!K71),'Advanced Entry'!K71)))-'Advanced Entry'!K$6)/('Advanced Entry'!K$7-'Advanced Entry'!K$6)),1))),"No data"))</f>
        <v/>
      </c>
      <c r="L71" s="17">
        <f>IF('Advanced Entry'!L71="","",IFERROR(MAX(0,MIN(10,ROUND(IF('Advanced Entry'!L$8="Decrease Risk",10-10*((IF('Advanced Entry'!L$5="Logarithm",LN(0.001+'Advanced Entry'!L71),IF('Advanced Entry'!L$5="Exponential",EXP('Advanced Entry'!L71),'Advanced Entry'!L71)))-'Advanced Entry'!L$6)/('Advanced Entry'!L$7-'Advanced Entry'!L$6),10*((IF('Advanced Entry'!L$5="Logarithm",LN(0.001+'Advanced Entry'!L71),IF('Advanced Entry'!L$5="Exponential",EXP('Advanced Entry'!L71),'Advanced Entry'!L71)))-'Advanced Entry'!L$6)/('Advanced Entry'!L$7-'Advanced Entry'!L$6)),1))),"No data"))</f>
        <v/>
      </c>
      <c r="M71" s="17">
        <f>IF('Advanced Entry'!M71="","",IFERROR(MAX(0,MIN(10,ROUND(IF('Advanced Entry'!M$8="Decrease Risk",10-10*((IF('Advanced Entry'!M$5="Logarithm",LN(0.001+'Advanced Entry'!M71),IF('Advanced Entry'!M$5="Exponential",EXP('Advanced Entry'!M71),'Advanced Entry'!M71)))-'Advanced Entry'!M$6)/('Advanced Entry'!M$7-'Advanced Entry'!M$6),10*((IF('Advanced Entry'!M$5="Logarithm",LN(0.001+'Advanced Entry'!M71),IF('Advanced Entry'!M$5="Exponential",EXP('Advanced Entry'!M71),'Advanced Entry'!M71)))-'Advanced Entry'!M$6)/('Advanced Entry'!M$7-'Advanced Entry'!M$6)),1))),"No data"))</f>
        <v/>
      </c>
      <c r="N71" s="17">
        <f>IF('Advanced Entry'!N71="","",IFERROR(MAX(0,MIN(10,ROUND(IF('Advanced Entry'!N$8="Decrease Risk",10-10*((IF('Advanced Entry'!N$5="Logarithm",LN(0.001+'Advanced Entry'!N71),IF('Advanced Entry'!N$5="Exponential",EXP('Advanced Entry'!N71),'Advanced Entry'!N71)))-'Advanced Entry'!N$6)/('Advanced Entry'!N$7-'Advanced Entry'!N$6),10*((IF('Advanced Entry'!N$5="Logarithm",LN(0.001+'Advanced Entry'!N71),IF('Advanced Entry'!N$5="Exponential",EXP('Advanced Entry'!N71),'Advanced Entry'!N71)))-'Advanced Entry'!N$6)/('Advanced Entry'!N$7-'Advanced Entry'!N$6)),1))),"No data"))</f>
        <v/>
      </c>
      <c r="O71" s="17">
        <f>IF('Advanced Entry'!O71="","",IFERROR(MAX(0,MIN(10,ROUND(IF('Advanced Entry'!O$8="Decrease Risk",10-10*((IF('Advanced Entry'!O$5="Logarithm",LN(0.001+'Advanced Entry'!O71),IF('Advanced Entry'!O$5="Exponential",EXP('Advanced Entry'!O71),'Advanced Entry'!O71)))-'Advanced Entry'!O$6)/('Advanced Entry'!O$7-'Advanced Entry'!O$6),10*((IF('Advanced Entry'!O$5="Logarithm",LN(0.001+'Advanced Entry'!O71),IF('Advanced Entry'!O$5="Exponential",EXP('Advanced Entry'!O71),'Advanced Entry'!O71)))-'Advanced Entry'!O$6)/('Advanced Entry'!O$7-'Advanced Entry'!O$6)),1))),"No data"))</f>
        <v/>
      </c>
      <c r="P71" s="17">
        <f>IF('Advanced Entry'!P71="","",IFERROR(MAX(0,MIN(10,ROUND(IF('Advanced Entry'!P$8="Decrease Risk",10-10*((IF('Advanced Entry'!P$5="Logarithm",LN(0.001+'Advanced Entry'!P71),IF('Advanced Entry'!P$5="Exponential",EXP('Advanced Entry'!P71),'Advanced Entry'!P71)))-'Advanced Entry'!P$6)/('Advanced Entry'!P$7-'Advanced Entry'!P$6),10*((IF('Advanced Entry'!P$5="Logarithm",LN(0.001+'Advanced Entry'!P71),IF('Advanced Entry'!P$5="Exponential",EXP('Advanced Entry'!P71),'Advanced Entry'!P71)))-'Advanced Entry'!P$6)/('Advanced Entry'!P$7-'Advanced Entry'!P$6)),1))),"No data"))</f>
        <v/>
      </c>
      <c r="Q71" s="17">
        <f>IF('Advanced Entry'!Q71="","",IFERROR(MAX(0,MIN(10,ROUND(IF('Advanced Entry'!Q$8="Decrease Risk",10-10*((IF('Advanced Entry'!Q$5="Logarithm",LN(0.001+'Advanced Entry'!Q71),IF('Advanced Entry'!Q$5="Exponential",EXP('Advanced Entry'!Q71),'Advanced Entry'!Q71)))-'Advanced Entry'!Q$6)/('Advanced Entry'!Q$7-'Advanced Entry'!Q$6),10*((IF('Advanced Entry'!Q$5="Logarithm",LN(0.001+'Advanced Entry'!Q71),IF('Advanced Entry'!Q$5="Exponential",EXP('Advanced Entry'!Q71),'Advanced Entry'!Q71)))-'Advanced Entry'!Q$6)/('Advanced Entry'!Q$7-'Advanced Entry'!Q$6)),1))),"No data"))</f>
        <v/>
      </c>
      <c r="R71" s="17">
        <f>IF('Advanced Entry'!R71="","",IFERROR(MAX(0,MIN(10,ROUND(IF('Advanced Entry'!R$8="Decrease Risk",10-10*((IF('Advanced Entry'!R$5="Logarithm",LN(0.001+'Advanced Entry'!R71),IF('Advanced Entry'!R$5="Exponential",EXP('Advanced Entry'!R71),'Advanced Entry'!R71)))-'Advanced Entry'!R$6)/('Advanced Entry'!R$7-'Advanced Entry'!R$6),10*((IF('Advanced Entry'!R$5="Logarithm",LN(0.001+'Advanced Entry'!R71),IF('Advanced Entry'!R$5="Exponential",EXP('Advanced Entry'!R71),'Advanced Entry'!R71)))-'Advanced Entry'!R$6)/('Advanced Entry'!R$7-'Advanced Entry'!R$6)),1))),"No data"))</f>
        <v/>
      </c>
      <c r="S71" s="17">
        <f>IF('Advanced Entry'!S71="","",IFERROR(MAX(0,MIN(10,ROUND(IF('Advanced Entry'!S$8="Decrease Risk",10-10*((IF('Advanced Entry'!S$5="Logarithm",LN(0.001+'Advanced Entry'!S71),IF('Advanced Entry'!S$5="Exponential",EXP('Advanced Entry'!S71),'Advanced Entry'!S71)))-'Advanced Entry'!S$6)/('Advanced Entry'!S$7-'Advanced Entry'!S$6),10*((IF('Advanced Entry'!S$5="Logarithm",LN(0.001+'Advanced Entry'!S71),IF('Advanced Entry'!S$5="Exponential",EXP('Advanced Entry'!S71),'Advanced Entry'!S71)))-'Advanced Entry'!S$6)/('Advanced Entry'!S$7-'Advanced Entry'!S$6)),1))),"No data"))</f>
        <v/>
      </c>
      <c r="T71" s="17">
        <f>IF('Advanced Entry'!T71="","",IFERROR(MAX(0,MIN(10,ROUND(IF('Advanced Entry'!T$8="Decrease Risk",10-10*((IF('Advanced Entry'!T$5="Logarithm",LN(0.001+'Advanced Entry'!T71),IF('Advanced Entry'!T$5="Exponential",EXP('Advanced Entry'!T71),'Advanced Entry'!T71)))-'Advanced Entry'!T$6)/('Advanced Entry'!T$7-'Advanced Entry'!T$6),10*((IF('Advanced Entry'!T$5="Logarithm",LN(0.001+'Advanced Entry'!T71),IF('Advanced Entry'!T$5="Exponential",EXP('Advanced Entry'!T71),'Advanced Entry'!T71)))-'Advanced Entry'!T$6)/('Advanced Entry'!T$7-'Advanced Entry'!T$6)),1))),"No data"))</f>
        <v/>
      </c>
      <c r="U71" s="17">
        <f>IF('Advanced Entry'!U71="","",IFERROR(MAX(0,MIN(10,ROUND(IF('Advanced Entry'!U$8="Decrease Risk",10-10*((IF('Advanced Entry'!U$5="Logarithm",LN(0.001+'Advanced Entry'!U71),IF('Advanced Entry'!U$5="Exponential",EXP('Advanced Entry'!U71),'Advanced Entry'!U71)))-'Advanced Entry'!U$6)/('Advanced Entry'!U$7-'Advanced Entry'!U$6),10*((IF('Advanced Entry'!U$5="Logarithm",LN(0.001+'Advanced Entry'!U71),IF('Advanced Entry'!U$5="Exponential",EXP('Advanced Entry'!U71),'Advanced Entry'!U71)))-'Advanced Entry'!U$6)/('Advanced Entry'!U$7-'Advanced Entry'!U$6)),1))),"No data"))</f>
        <v/>
      </c>
      <c r="V71" s="17">
        <f>IF('Advanced Entry'!V71="","",IFERROR(MAX(0,MIN(10,ROUND(IF('Advanced Entry'!V$8="Decrease Risk",10-10*((IF('Advanced Entry'!V$5="Logarithm",LN(0.001+'Advanced Entry'!V71),IF('Advanced Entry'!V$5="Exponential",EXP('Advanced Entry'!V71),'Advanced Entry'!V71)))-'Advanced Entry'!V$6)/('Advanced Entry'!V$7-'Advanced Entry'!V$6),10*((IF('Advanced Entry'!V$5="Logarithm",LN(0.001+'Advanced Entry'!V71),IF('Advanced Entry'!V$5="Exponential",EXP('Advanced Entry'!V71),'Advanced Entry'!V71)))-'Advanced Entry'!V$6)/('Advanced Entry'!V$7-'Advanced Entry'!V$6)),1))),"No data"))</f>
        <v/>
      </c>
      <c r="W71" s="17">
        <f>IF('Advanced Entry'!W71="","",IFERROR(MAX(0,MIN(10,ROUND(IF('Advanced Entry'!W$8="Decrease Risk",10-10*((IF('Advanced Entry'!W$5="Logarithm",LN(0.001+'Advanced Entry'!W71),IF('Advanced Entry'!W$5="Exponential",EXP('Advanced Entry'!W71),'Advanced Entry'!W71)))-'Advanced Entry'!W$6)/('Advanced Entry'!W$7-'Advanced Entry'!W$6),10*((IF('Advanced Entry'!W$5="Logarithm",LN(0.001+'Advanced Entry'!W71),IF('Advanced Entry'!W$5="Exponential",EXP('Advanced Entry'!W71),'Advanced Entry'!W71)))-'Advanced Entry'!W$6)/('Advanced Entry'!W$7-'Advanced Entry'!W$6)),1))),"No data"))</f>
        <v/>
      </c>
      <c r="X71" s="17">
        <f>IF('Advanced Entry'!X71="","",IFERROR(MAX(0,MIN(10,ROUND(IF('Advanced Entry'!X$8="Decrease Risk",10-10*((IF('Advanced Entry'!X$5="Logarithm",LN(0.001+'Advanced Entry'!X71),IF('Advanced Entry'!X$5="Exponential",EXP('Advanced Entry'!X71),'Advanced Entry'!X71)))-'Advanced Entry'!X$6)/('Advanced Entry'!X$7-'Advanced Entry'!X$6),10*((IF('Advanced Entry'!X$5="Logarithm",LN(0.001+'Advanced Entry'!X71),IF('Advanced Entry'!X$5="Exponential",EXP('Advanced Entry'!X71),'Advanced Entry'!X71)))-'Advanced Entry'!X$6)/('Advanced Entry'!X$7-'Advanced Entry'!X$6)),1))),"No data"))</f>
        <v/>
      </c>
      <c r="Y71" s="17">
        <f>IF('Advanced Entry'!Y71="","",IFERROR(MAX(0,MIN(10,ROUND(IF('Advanced Entry'!Y$8="Decrease Risk",10-10*((IF('Advanced Entry'!Y$5="Logarithm",LN(0.001+'Advanced Entry'!Y71),IF('Advanced Entry'!Y$5="Exponential",EXP('Advanced Entry'!Y71),'Advanced Entry'!Y71)))-'Advanced Entry'!Y$6)/('Advanced Entry'!Y$7-'Advanced Entry'!Y$6),10*((IF('Advanced Entry'!Y$5="Logarithm",LN(0.001+'Advanced Entry'!Y71),IF('Advanced Entry'!Y$5="Exponential",EXP('Advanced Entry'!Y71),'Advanced Entry'!Y71)))-'Advanced Entry'!Y$6)/('Advanced Entry'!Y$7-'Advanced Entry'!Y$6)),1))),"No data"))</f>
        <v/>
      </c>
      <c r="Z71" s="17">
        <f>IF('Advanced Entry'!Z71="","",IFERROR(MAX(0,MIN(10,ROUND(IF('Advanced Entry'!Z$8="Decrease Risk",10-10*((IF('Advanced Entry'!Z$5="Logarithm",LN(0.001+'Advanced Entry'!Z71),IF('Advanced Entry'!Z$5="Exponential",EXP('Advanced Entry'!Z71),'Advanced Entry'!Z71)))-'Advanced Entry'!Z$6)/('Advanced Entry'!Z$7-'Advanced Entry'!Z$6),10*((IF('Advanced Entry'!Z$5="Logarithm",LN(0.001+'Advanced Entry'!Z71),IF('Advanced Entry'!Z$5="Exponential",EXP('Advanced Entry'!Z71),'Advanced Entry'!Z71)))-'Advanced Entry'!Z$6)/('Advanced Entry'!Z$7-'Advanced Entry'!Z$6)),1))),"No data"))</f>
        <v/>
      </c>
      <c r="AA71" s="17">
        <f>IF('Advanced Entry'!AA71="","",IFERROR(MAX(0,MIN(10,ROUND(IF('Advanced Entry'!AA$8="Decrease Risk",10-10*((IF('Advanced Entry'!AA$5="Logarithm",LN(0.001+'Advanced Entry'!AA71),IF('Advanced Entry'!AA$5="Exponential",EXP('Advanced Entry'!AA71),'Advanced Entry'!AA71)))-'Advanced Entry'!AA$6)/('Advanced Entry'!AA$7-'Advanced Entry'!AA$6),10*((IF('Advanced Entry'!AA$5="Logarithm",LN(0.001+'Advanced Entry'!AA71),IF('Advanced Entry'!AA$5="Exponential",EXP('Advanced Entry'!AA71),'Advanced Entry'!AA71)))-'Advanced Entry'!AA$6)/('Advanced Entry'!AA$7-'Advanced Entry'!AA$6)),1))),"No data"))</f>
        <v/>
      </c>
      <c r="AB71" s="17">
        <f>IF('Advanced Entry'!AB71="","",IFERROR(MAX(0,MIN(10,ROUND(IF('Advanced Entry'!AB$8="Decrease Risk",10-10*((IF('Advanced Entry'!AB$5="Logarithm",LN(0.001+'Advanced Entry'!AB71),IF('Advanced Entry'!AB$5="Exponential",EXP('Advanced Entry'!AB71),'Advanced Entry'!AB71)))-'Advanced Entry'!AB$6)/('Advanced Entry'!AB$7-'Advanced Entry'!AB$6),10*((IF('Advanced Entry'!AB$5="Logarithm",LN(0.001+'Advanced Entry'!AB71),IF('Advanced Entry'!AB$5="Exponential",EXP('Advanced Entry'!AB71),'Advanced Entry'!AB71)))-'Advanced Entry'!AB$6)/('Advanced Entry'!AB$7-'Advanced Entry'!AB$6)),1))),"No data"))</f>
        <v/>
      </c>
    </row>
    <row r="72">
      <c r="A72" t="inlineStr">
        <is>
          <t>Kilimanjaro</t>
        </is>
      </c>
      <c r="B72" t="inlineStr">
        <is>
          <t>Same District</t>
        </is>
      </c>
      <c r="C72" t="inlineStr">
        <is>
          <t>C018</t>
        </is>
      </c>
      <c r="D72" s="17">
        <f>IF('Advanced Entry'!D72="","",IFERROR(MAX(0,MIN(10,ROUND(IF('Advanced Entry'!D$8="Decrease Risk",10-10*((IF('Advanced Entry'!D$5="Logarithm",LN(0.001+'Advanced Entry'!D72),IF('Advanced Entry'!D$5="Exponential",EXP('Advanced Entry'!D72),'Advanced Entry'!D72)))-'Advanced Entry'!D$6)/('Advanced Entry'!D$7-'Advanced Entry'!D$6),10*((IF('Advanced Entry'!D$5="Logarithm",LN(0.001+'Advanced Entry'!D72),IF('Advanced Entry'!D$5="Exponential",EXP('Advanced Entry'!D72),'Advanced Entry'!D72)))-'Advanced Entry'!D$6)/('Advanced Entry'!D$7-'Advanced Entry'!D$6)),1))),"No data"))</f>
        <v/>
      </c>
      <c r="E72" s="17">
        <f>IF('Advanced Entry'!E72="","",IFERROR(MAX(0,MIN(10,ROUND(IF('Advanced Entry'!E$8="Decrease Risk",10-10*((IF('Advanced Entry'!E$5="Logarithm",LN(0.001+'Advanced Entry'!E72),IF('Advanced Entry'!E$5="Exponential",EXP('Advanced Entry'!E72),'Advanced Entry'!E72)))-'Advanced Entry'!E$6)/('Advanced Entry'!E$7-'Advanced Entry'!E$6),10*((IF('Advanced Entry'!E$5="Logarithm",LN(0.001+'Advanced Entry'!E72),IF('Advanced Entry'!E$5="Exponential",EXP('Advanced Entry'!E72),'Advanced Entry'!E72)))-'Advanced Entry'!E$6)/('Advanced Entry'!E$7-'Advanced Entry'!E$6)),1))),"No data"))</f>
        <v/>
      </c>
      <c r="F72" s="17">
        <f>IF('Advanced Entry'!F72="","",IFERROR(MAX(0,MIN(10,ROUND(IF('Advanced Entry'!F$8="Decrease Risk",10-10*((IF('Advanced Entry'!F$5="Logarithm",LN(0.001+'Advanced Entry'!F72),IF('Advanced Entry'!F$5="Exponential",EXP('Advanced Entry'!F72),'Advanced Entry'!F72)))-'Advanced Entry'!F$6)/('Advanced Entry'!F$7-'Advanced Entry'!F$6),10*((IF('Advanced Entry'!F$5="Logarithm",LN(0.001+'Advanced Entry'!F72),IF('Advanced Entry'!F$5="Exponential",EXP('Advanced Entry'!F72),'Advanced Entry'!F72)))-'Advanced Entry'!F$6)/('Advanced Entry'!F$7-'Advanced Entry'!F$6)),1))),"No data"))</f>
        <v/>
      </c>
      <c r="G72" s="17">
        <f>IF('Advanced Entry'!G72="","",IFERROR(MAX(0,MIN(10,ROUND(IF('Advanced Entry'!G$8="Decrease Risk",10-10*((IF('Advanced Entry'!G$5="Logarithm",LN(0.001+'Advanced Entry'!G72),IF('Advanced Entry'!G$5="Exponential",EXP('Advanced Entry'!G72),'Advanced Entry'!G72)))-'Advanced Entry'!G$6)/('Advanced Entry'!G$7-'Advanced Entry'!G$6),10*((IF('Advanced Entry'!G$5="Logarithm",LN(0.001+'Advanced Entry'!G72),IF('Advanced Entry'!G$5="Exponential",EXP('Advanced Entry'!G72),'Advanced Entry'!G72)))-'Advanced Entry'!G$6)/('Advanced Entry'!G$7-'Advanced Entry'!G$6)),1))),"No data"))</f>
        <v/>
      </c>
      <c r="H72" s="17">
        <f>IF('Advanced Entry'!H72="","",IFERROR(MAX(0,MIN(10,ROUND(IF('Advanced Entry'!H$8="Decrease Risk",10-10*((IF('Advanced Entry'!H$5="Logarithm",LN(0.001+'Advanced Entry'!H72),IF('Advanced Entry'!H$5="Exponential",EXP('Advanced Entry'!H72),'Advanced Entry'!H72)))-'Advanced Entry'!H$6)/('Advanced Entry'!H$7-'Advanced Entry'!H$6),10*((IF('Advanced Entry'!H$5="Logarithm",LN(0.001+'Advanced Entry'!H72),IF('Advanced Entry'!H$5="Exponential",EXP('Advanced Entry'!H72),'Advanced Entry'!H72)))-'Advanced Entry'!H$6)/('Advanced Entry'!H$7-'Advanced Entry'!H$6)),1))),"No data"))</f>
        <v/>
      </c>
      <c r="I72" s="17">
        <f>IF('Advanced Entry'!I72="","",IFERROR(MAX(0,MIN(10,ROUND(IF('Advanced Entry'!I$8="Decrease Risk",10-10*((IF('Advanced Entry'!I$5="Logarithm",LN(0.001+'Advanced Entry'!I72),IF('Advanced Entry'!I$5="Exponential",EXP('Advanced Entry'!I72),'Advanced Entry'!I72)))-'Advanced Entry'!I$6)/('Advanced Entry'!I$7-'Advanced Entry'!I$6),10*((IF('Advanced Entry'!I$5="Logarithm",LN(0.001+'Advanced Entry'!I72),IF('Advanced Entry'!I$5="Exponential",EXP('Advanced Entry'!I72),'Advanced Entry'!I72)))-'Advanced Entry'!I$6)/('Advanced Entry'!I$7-'Advanced Entry'!I$6)),1))),"No data"))</f>
        <v/>
      </c>
      <c r="J72" s="17">
        <f>IF('Advanced Entry'!J72="","",IFERROR(MAX(0,MIN(10,ROUND(IF('Advanced Entry'!J$8="Decrease Risk",10-10*((IF('Advanced Entry'!J$5="Logarithm",LN(0.001+'Advanced Entry'!J72),IF('Advanced Entry'!J$5="Exponential",EXP('Advanced Entry'!J72),'Advanced Entry'!J72)))-'Advanced Entry'!J$6)/('Advanced Entry'!J$7-'Advanced Entry'!J$6),10*((IF('Advanced Entry'!J$5="Logarithm",LN(0.001+'Advanced Entry'!J72),IF('Advanced Entry'!J$5="Exponential",EXP('Advanced Entry'!J72),'Advanced Entry'!J72)))-'Advanced Entry'!J$6)/('Advanced Entry'!J$7-'Advanced Entry'!J$6)),1))),"No data"))</f>
        <v/>
      </c>
      <c r="K72" s="17">
        <f>IF('Advanced Entry'!K72="","",IFERROR(MAX(0,MIN(10,ROUND(IF('Advanced Entry'!K$8="Decrease Risk",10-10*((IF('Advanced Entry'!K$5="Logarithm",LN(0.001+'Advanced Entry'!K72),IF('Advanced Entry'!K$5="Exponential",EXP('Advanced Entry'!K72),'Advanced Entry'!K72)))-'Advanced Entry'!K$6)/('Advanced Entry'!K$7-'Advanced Entry'!K$6),10*((IF('Advanced Entry'!K$5="Logarithm",LN(0.001+'Advanced Entry'!K72),IF('Advanced Entry'!K$5="Exponential",EXP('Advanced Entry'!K72),'Advanced Entry'!K72)))-'Advanced Entry'!K$6)/('Advanced Entry'!K$7-'Advanced Entry'!K$6)),1))),"No data"))</f>
        <v/>
      </c>
      <c r="L72" s="17">
        <f>IF('Advanced Entry'!L72="","",IFERROR(MAX(0,MIN(10,ROUND(IF('Advanced Entry'!L$8="Decrease Risk",10-10*((IF('Advanced Entry'!L$5="Logarithm",LN(0.001+'Advanced Entry'!L72),IF('Advanced Entry'!L$5="Exponential",EXP('Advanced Entry'!L72),'Advanced Entry'!L72)))-'Advanced Entry'!L$6)/('Advanced Entry'!L$7-'Advanced Entry'!L$6),10*((IF('Advanced Entry'!L$5="Logarithm",LN(0.001+'Advanced Entry'!L72),IF('Advanced Entry'!L$5="Exponential",EXP('Advanced Entry'!L72),'Advanced Entry'!L72)))-'Advanced Entry'!L$6)/('Advanced Entry'!L$7-'Advanced Entry'!L$6)),1))),"No data"))</f>
        <v/>
      </c>
      <c r="M72" s="17">
        <f>IF('Advanced Entry'!M72="","",IFERROR(MAX(0,MIN(10,ROUND(IF('Advanced Entry'!M$8="Decrease Risk",10-10*((IF('Advanced Entry'!M$5="Logarithm",LN(0.001+'Advanced Entry'!M72),IF('Advanced Entry'!M$5="Exponential",EXP('Advanced Entry'!M72),'Advanced Entry'!M72)))-'Advanced Entry'!M$6)/('Advanced Entry'!M$7-'Advanced Entry'!M$6),10*((IF('Advanced Entry'!M$5="Logarithm",LN(0.001+'Advanced Entry'!M72),IF('Advanced Entry'!M$5="Exponential",EXP('Advanced Entry'!M72),'Advanced Entry'!M72)))-'Advanced Entry'!M$6)/('Advanced Entry'!M$7-'Advanced Entry'!M$6)),1))),"No data"))</f>
        <v/>
      </c>
      <c r="N72" s="17">
        <f>IF('Advanced Entry'!N72="","",IFERROR(MAX(0,MIN(10,ROUND(IF('Advanced Entry'!N$8="Decrease Risk",10-10*((IF('Advanced Entry'!N$5="Logarithm",LN(0.001+'Advanced Entry'!N72),IF('Advanced Entry'!N$5="Exponential",EXP('Advanced Entry'!N72),'Advanced Entry'!N72)))-'Advanced Entry'!N$6)/('Advanced Entry'!N$7-'Advanced Entry'!N$6),10*((IF('Advanced Entry'!N$5="Logarithm",LN(0.001+'Advanced Entry'!N72),IF('Advanced Entry'!N$5="Exponential",EXP('Advanced Entry'!N72),'Advanced Entry'!N72)))-'Advanced Entry'!N$6)/('Advanced Entry'!N$7-'Advanced Entry'!N$6)),1))),"No data"))</f>
        <v/>
      </c>
      <c r="O72" s="17">
        <f>IF('Advanced Entry'!O72="","",IFERROR(MAX(0,MIN(10,ROUND(IF('Advanced Entry'!O$8="Decrease Risk",10-10*((IF('Advanced Entry'!O$5="Logarithm",LN(0.001+'Advanced Entry'!O72),IF('Advanced Entry'!O$5="Exponential",EXP('Advanced Entry'!O72),'Advanced Entry'!O72)))-'Advanced Entry'!O$6)/('Advanced Entry'!O$7-'Advanced Entry'!O$6),10*((IF('Advanced Entry'!O$5="Logarithm",LN(0.001+'Advanced Entry'!O72),IF('Advanced Entry'!O$5="Exponential",EXP('Advanced Entry'!O72),'Advanced Entry'!O72)))-'Advanced Entry'!O$6)/('Advanced Entry'!O$7-'Advanced Entry'!O$6)),1))),"No data"))</f>
        <v/>
      </c>
      <c r="P72" s="17">
        <f>IF('Advanced Entry'!P72="","",IFERROR(MAX(0,MIN(10,ROUND(IF('Advanced Entry'!P$8="Decrease Risk",10-10*((IF('Advanced Entry'!P$5="Logarithm",LN(0.001+'Advanced Entry'!P72),IF('Advanced Entry'!P$5="Exponential",EXP('Advanced Entry'!P72),'Advanced Entry'!P72)))-'Advanced Entry'!P$6)/('Advanced Entry'!P$7-'Advanced Entry'!P$6),10*((IF('Advanced Entry'!P$5="Logarithm",LN(0.001+'Advanced Entry'!P72),IF('Advanced Entry'!P$5="Exponential",EXP('Advanced Entry'!P72),'Advanced Entry'!P72)))-'Advanced Entry'!P$6)/('Advanced Entry'!P$7-'Advanced Entry'!P$6)),1))),"No data"))</f>
        <v/>
      </c>
      <c r="Q72" s="17">
        <f>IF('Advanced Entry'!Q72="","",IFERROR(MAX(0,MIN(10,ROUND(IF('Advanced Entry'!Q$8="Decrease Risk",10-10*((IF('Advanced Entry'!Q$5="Logarithm",LN(0.001+'Advanced Entry'!Q72),IF('Advanced Entry'!Q$5="Exponential",EXP('Advanced Entry'!Q72),'Advanced Entry'!Q72)))-'Advanced Entry'!Q$6)/('Advanced Entry'!Q$7-'Advanced Entry'!Q$6),10*((IF('Advanced Entry'!Q$5="Logarithm",LN(0.001+'Advanced Entry'!Q72),IF('Advanced Entry'!Q$5="Exponential",EXP('Advanced Entry'!Q72),'Advanced Entry'!Q72)))-'Advanced Entry'!Q$6)/('Advanced Entry'!Q$7-'Advanced Entry'!Q$6)),1))),"No data"))</f>
        <v/>
      </c>
      <c r="R72" s="17">
        <f>IF('Advanced Entry'!R72="","",IFERROR(MAX(0,MIN(10,ROUND(IF('Advanced Entry'!R$8="Decrease Risk",10-10*((IF('Advanced Entry'!R$5="Logarithm",LN(0.001+'Advanced Entry'!R72),IF('Advanced Entry'!R$5="Exponential",EXP('Advanced Entry'!R72),'Advanced Entry'!R72)))-'Advanced Entry'!R$6)/('Advanced Entry'!R$7-'Advanced Entry'!R$6),10*((IF('Advanced Entry'!R$5="Logarithm",LN(0.001+'Advanced Entry'!R72),IF('Advanced Entry'!R$5="Exponential",EXP('Advanced Entry'!R72),'Advanced Entry'!R72)))-'Advanced Entry'!R$6)/('Advanced Entry'!R$7-'Advanced Entry'!R$6)),1))),"No data"))</f>
        <v/>
      </c>
      <c r="S72" s="17">
        <f>IF('Advanced Entry'!S72="","",IFERROR(MAX(0,MIN(10,ROUND(IF('Advanced Entry'!S$8="Decrease Risk",10-10*((IF('Advanced Entry'!S$5="Logarithm",LN(0.001+'Advanced Entry'!S72),IF('Advanced Entry'!S$5="Exponential",EXP('Advanced Entry'!S72),'Advanced Entry'!S72)))-'Advanced Entry'!S$6)/('Advanced Entry'!S$7-'Advanced Entry'!S$6),10*((IF('Advanced Entry'!S$5="Logarithm",LN(0.001+'Advanced Entry'!S72),IF('Advanced Entry'!S$5="Exponential",EXP('Advanced Entry'!S72),'Advanced Entry'!S72)))-'Advanced Entry'!S$6)/('Advanced Entry'!S$7-'Advanced Entry'!S$6)),1))),"No data"))</f>
        <v/>
      </c>
      <c r="T72" s="17">
        <f>IF('Advanced Entry'!T72="","",IFERROR(MAX(0,MIN(10,ROUND(IF('Advanced Entry'!T$8="Decrease Risk",10-10*((IF('Advanced Entry'!T$5="Logarithm",LN(0.001+'Advanced Entry'!T72),IF('Advanced Entry'!T$5="Exponential",EXP('Advanced Entry'!T72),'Advanced Entry'!T72)))-'Advanced Entry'!T$6)/('Advanced Entry'!T$7-'Advanced Entry'!T$6),10*((IF('Advanced Entry'!T$5="Logarithm",LN(0.001+'Advanced Entry'!T72),IF('Advanced Entry'!T$5="Exponential",EXP('Advanced Entry'!T72),'Advanced Entry'!T72)))-'Advanced Entry'!T$6)/('Advanced Entry'!T$7-'Advanced Entry'!T$6)),1))),"No data"))</f>
        <v/>
      </c>
      <c r="U72" s="17">
        <f>IF('Advanced Entry'!U72="","",IFERROR(MAX(0,MIN(10,ROUND(IF('Advanced Entry'!U$8="Decrease Risk",10-10*((IF('Advanced Entry'!U$5="Logarithm",LN(0.001+'Advanced Entry'!U72),IF('Advanced Entry'!U$5="Exponential",EXP('Advanced Entry'!U72),'Advanced Entry'!U72)))-'Advanced Entry'!U$6)/('Advanced Entry'!U$7-'Advanced Entry'!U$6),10*((IF('Advanced Entry'!U$5="Logarithm",LN(0.001+'Advanced Entry'!U72),IF('Advanced Entry'!U$5="Exponential",EXP('Advanced Entry'!U72),'Advanced Entry'!U72)))-'Advanced Entry'!U$6)/('Advanced Entry'!U$7-'Advanced Entry'!U$6)),1))),"No data"))</f>
        <v/>
      </c>
      <c r="V72" s="17">
        <f>IF('Advanced Entry'!V72="","",IFERROR(MAX(0,MIN(10,ROUND(IF('Advanced Entry'!V$8="Decrease Risk",10-10*((IF('Advanced Entry'!V$5="Logarithm",LN(0.001+'Advanced Entry'!V72),IF('Advanced Entry'!V$5="Exponential",EXP('Advanced Entry'!V72),'Advanced Entry'!V72)))-'Advanced Entry'!V$6)/('Advanced Entry'!V$7-'Advanced Entry'!V$6),10*((IF('Advanced Entry'!V$5="Logarithm",LN(0.001+'Advanced Entry'!V72),IF('Advanced Entry'!V$5="Exponential",EXP('Advanced Entry'!V72),'Advanced Entry'!V72)))-'Advanced Entry'!V$6)/('Advanced Entry'!V$7-'Advanced Entry'!V$6)),1))),"No data"))</f>
        <v/>
      </c>
      <c r="W72" s="17">
        <f>IF('Advanced Entry'!W72="","",IFERROR(MAX(0,MIN(10,ROUND(IF('Advanced Entry'!W$8="Decrease Risk",10-10*((IF('Advanced Entry'!W$5="Logarithm",LN(0.001+'Advanced Entry'!W72),IF('Advanced Entry'!W$5="Exponential",EXP('Advanced Entry'!W72),'Advanced Entry'!W72)))-'Advanced Entry'!W$6)/('Advanced Entry'!W$7-'Advanced Entry'!W$6),10*((IF('Advanced Entry'!W$5="Logarithm",LN(0.001+'Advanced Entry'!W72),IF('Advanced Entry'!W$5="Exponential",EXP('Advanced Entry'!W72),'Advanced Entry'!W72)))-'Advanced Entry'!W$6)/('Advanced Entry'!W$7-'Advanced Entry'!W$6)),1))),"No data"))</f>
        <v/>
      </c>
      <c r="X72" s="17">
        <f>IF('Advanced Entry'!X72="","",IFERROR(MAX(0,MIN(10,ROUND(IF('Advanced Entry'!X$8="Decrease Risk",10-10*((IF('Advanced Entry'!X$5="Logarithm",LN(0.001+'Advanced Entry'!X72),IF('Advanced Entry'!X$5="Exponential",EXP('Advanced Entry'!X72),'Advanced Entry'!X72)))-'Advanced Entry'!X$6)/('Advanced Entry'!X$7-'Advanced Entry'!X$6),10*((IF('Advanced Entry'!X$5="Logarithm",LN(0.001+'Advanced Entry'!X72),IF('Advanced Entry'!X$5="Exponential",EXP('Advanced Entry'!X72),'Advanced Entry'!X72)))-'Advanced Entry'!X$6)/('Advanced Entry'!X$7-'Advanced Entry'!X$6)),1))),"No data"))</f>
        <v/>
      </c>
      <c r="Y72" s="17">
        <f>IF('Advanced Entry'!Y72="","",IFERROR(MAX(0,MIN(10,ROUND(IF('Advanced Entry'!Y$8="Decrease Risk",10-10*((IF('Advanced Entry'!Y$5="Logarithm",LN(0.001+'Advanced Entry'!Y72),IF('Advanced Entry'!Y$5="Exponential",EXP('Advanced Entry'!Y72),'Advanced Entry'!Y72)))-'Advanced Entry'!Y$6)/('Advanced Entry'!Y$7-'Advanced Entry'!Y$6),10*((IF('Advanced Entry'!Y$5="Logarithm",LN(0.001+'Advanced Entry'!Y72),IF('Advanced Entry'!Y$5="Exponential",EXP('Advanced Entry'!Y72),'Advanced Entry'!Y72)))-'Advanced Entry'!Y$6)/('Advanced Entry'!Y$7-'Advanced Entry'!Y$6)),1))),"No data"))</f>
        <v/>
      </c>
      <c r="Z72" s="17">
        <f>IF('Advanced Entry'!Z72="","",IFERROR(MAX(0,MIN(10,ROUND(IF('Advanced Entry'!Z$8="Decrease Risk",10-10*((IF('Advanced Entry'!Z$5="Logarithm",LN(0.001+'Advanced Entry'!Z72),IF('Advanced Entry'!Z$5="Exponential",EXP('Advanced Entry'!Z72),'Advanced Entry'!Z72)))-'Advanced Entry'!Z$6)/('Advanced Entry'!Z$7-'Advanced Entry'!Z$6),10*((IF('Advanced Entry'!Z$5="Logarithm",LN(0.001+'Advanced Entry'!Z72),IF('Advanced Entry'!Z$5="Exponential",EXP('Advanced Entry'!Z72),'Advanced Entry'!Z72)))-'Advanced Entry'!Z$6)/('Advanced Entry'!Z$7-'Advanced Entry'!Z$6)),1))),"No data"))</f>
        <v/>
      </c>
      <c r="AA72" s="17">
        <f>IF('Advanced Entry'!AA72="","",IFERROR(MAX(0,MIN(10,ROUND(IF('Advanced Entry'!AA$8="Decrease Risk",10-10*((IF('Advanced Entry'!AA$5="Logarithm",LN(0.001+'Advanced Entry'!AA72),IF('Advanced Entry'!AA$5="Exponential",EXP('Advanced Entry'!AA72),'Advanced Entry'!AA72)))-'Advanced Entry'!AA$6)/('Advanced Entry'!AA$7-'Advanced Entry'!AA$6),10*((IF('Advanced Entry'!AA$5="Logarithm",LN(0.001+'Advanced Entry'!AA72),IF('Advanced Entry'!AA$5="Exponential",EXP('Advanced Entry'!AA72),'Advanced Entry'!AA72)))-'Advanced Entry'!AA$6)/('Advanced Entry'!AA$7-'Advanced Entry'!AA$6)),1))),"No data"))</f>
        <v/>
      </c>
      <c r="AB72" s="17">
        <f>IF('Advanced Entry'!AB72="","",IFERROR(MAX(0,MIN(10,ROUND(IF('Advanced Entry'!AB$8="Decrease Risk",10-10*((IF('Advanced Entry'!AB$5="Logarithm",LN(0.001+'Advanced Entry'!AB72),IF('Advanced Entry'!AB$5="Exponential",EXP('Advanced Entry'!AB72),'Advanced Entry'!AB72)))-'Advanced Entry'!AB$6)/('Advanced Entry'!AB$7-'Advanced Entry'!AB$6),10*((IF('Advanced Entry'!AB$5="Logarithm",LN(0.001+'Advanced Entry'!AB72),IF('Advanced Entry'!AB$5="Exponential",EXP('Advanced Entry'!AB72),'Advanced Entry'!AB72)))-'Advanced Entry'!AB$6)/('Advanced Entry'!AB$7-'Advanced Entry'!AB$6)),1))),"No data"))</f>
        <v/>
      </c>
    </row>
    <row r="73">
      <c r="A73" t="inlineStr">
        <is>
          <t>Kilimanjaro</t>
        </is>
      </c>
      <c r="B73" t="inlineStr">
        <is>
          <t>Siha District</t>
        </is>
      </c>
      <c r="C73" t="inlineStr">
        <is>
          <t>C022</t>
        </is>
      </c>
      <c r="D73" s="17">
        <f>IF('Advanced Entry'!D73="","",IFERROR(MAX(0,MIN(10,ROUND(IF('Advanced Entry'!D$8="Decrease Risk",10-10*((IF('Advanced Entry'!D$5="Logarithm",LN(0.001+'Advanced Entry'!D73),IF('Advanced Entry'!D$5="Exponential",EXP('Advanced Entry'!D73),'Advanced Entry'!D73)))-'Advanced Entry'!D$6)/('Advanced Entry'!D$7-'Advanced Entry'!D$6),10*((IF('Advanced Entry'!D$5="Logarithm",LN(0.001+'Advanced Entry'!D73),IF('Advanced Entry'!D$5="Exponential",EXP('Advanced Entry'!D73),'Advanced Entry'!D73)))-'Advanced Entry'!D$6)/('Advanced Entry'!D$7-'Advanced Entry'!D$6)),1))),"No data"))</f>
        <v/>
      </c>
      <c r="E73" s="17">
        <f>IF('Advanced Entry'!E73="","",IFERROR(MAX(0,MIN(10,ROUND(IF('Advanced Entry'!E$8="Decrease Risk",10-10*((IF('Advanced Entry'!E$5="Logarithm",LN(0.001+'Advanced Entry'!E73),IF('Advanced Entry'!E$5="Exponential",EXP('Advanced Entry'!E73),'Advanced Entry'!E73)))-'Advanced Entry'!E$6)/('Advanced Entry'!E$7-'Advanced Entry'!E$6),10*((IF('Advanced Entry'!E$5="Logarithm",LN(0.001+'Advanced Entry'!E73),IF('Advanced Entry'!E$5="Exponential",EXP('Advanced Entry'!E73),'Advanced Entry'!E73)))-'Advanced Entry'!E$6)/('Advanced Entry'!E$7-'Advanced Entry'!E$6)),1))),"No data"))</f>
        <v/>
      </c>
      <c r="F73" s="17">
        <f>IF('Advanced Entry'!F73="","",IFERROR(MAX(0,MIN(10,ROUND(IF('Advanced Entry'!F$8="Decrease Risk",10-10*((IF('Advanced Entry'!F$5="Logarithm",LN(0.001+'Advanced Entry'!F73),IF('Advanced Entry'!F$5="Exponential",EXP('Advanced Entry'!F73),'Advanced Entry'!F73)))-'Advanced Entry'!F$6)/('Advanced Entry'!F$7-'Advanced Entry'!F$6),10*((IF('Advanced Entry'!F$5="Logarithm",LN(0.001+'Advanced Entry'!F73),IF('Advanced Entry'!F$5="Exponential",EXP('Advanced Entry'!F73),'Advanced Entry'!F73)))-'Advanced Entry'!F$6)/('Advanced Entry'!F$7-'Advanced Entry'!F$6)),1))),"No data"))</f>
        <v/>
      </c>
      <c r="G73" s="17">
        <f>IF('Advanced Entry'!G73="","",IFERROR(MAX(0,MIN(10,ROUND(IF('Advanced Entry'!G$8="Decrease Risk",10-10*((IF('Advanced Entry'!G$5="Logarithm",LN(0.001+'Advanced Entry'!G73),IF('Advanced Entry'!G$5="Exponential",EXP('Advanced Entry'!G73),'Advanced Entry'!G73)))-'Advanced Entry'!G$6)/('Advanced Entry'!G$7-'Advanced Entry'!G$6),10*((IF('Advanced Entry'!G$5="Logarithm",LN(0.001+'Advanced Entry'!G73),IF('Advanced Entry'!G$5="Exponential",EXP('Advanced Entry'!G73),'Advanced Entry'!G73)))-'Advanced Entry'!G$6)/('Advanced Entry'!G$7-'Advanced Entry'!G$6)),1))),"No data"))</f>
        <v/>
      </c>
      <c r="H73" s="17">
        <f>IF('Advanced Entry'!H73="","",IFERROR(MAX(0,MIN(10,ROUND(IF('Advanced Entry'!H$8="Decrease Risk",10-10*((IF('Advanced Entry'!H$5="Logarithm",LN(0.001+'Advanced Entry'!H73),IF('Advanced Entry'!H$5="Exponential",EXP('Advanced Entry'!H73),'Advanced Entry'!H73)))-'Advanced Entry'!H$6)/('Advanced Entry'!H$7-'Advanced Entry'!H$6),10*((IF('Advanced Entry'!H$5="Logarithm",LN(0.001+'Advanced Entry'!H73),IF('Advanced Entry'!H$5="Exponential",EXP('Advanced Entry'!H73),'Advanced Entry'!H73)))-'Advanced Entry'!H$6)/('Advanced Entry'!H$7-'Advanced Entry'!H$6)),1))),"No data"))</f>
        <v/>
      </c>
      <c r="I73" s="17">
        <f>IF('Advanced Entry'!I73="","",IFERROR(MAX(0,MIN(10,ROUND(IF('Advanced Entry'!I$8="Decrease Risk",10-10*((IF('Advanced Entry'!I$5="Logarithm",LN(0.001+'Advanced Entry'!I73),IF('Advanced Entry'!I$5="Exponential",EXP('Advanced Entry'!I73),'Advanced Entry'!I73)))-'Advanced Entry'!I$6)/('Advanced Entry'!I$7-'Advanced Entry'!I$6),10*((IF('Advanced Entry'!I$5="Logarithm",LN(0.001+'Advanced Entry'!I73),IF('Advanced Entry'!I$5="Exponential",EXP('Advanced Entry'!I73),'Advanced Entry'!I73)))-'Advanced Entry'!I$6)/('Advanced Entry'!I$7-'Advanced Entry'!I$6)),1))),"No data"))</f>
        <v/>
      </c>
      <c r="J73" s="17">
        <f>IF('Advanced Entry'!J73="","",IFERROR(MAX(0,MIN(10,ROUND(IF('Advanced Entry'!J$8="Decrease Risk",10-10*((IF('Advanced Entry'!J$5="Logarithm",LN(0.001+'Advanced Entry'!J73),IF('Advanced Entry'!J$5="Exponential",EXP('Advanced Entry'!J73),'Advanced Entry'!J73)))-'Advanced Entry'!J$6)/('Advanced Entry'!J$7-'Advanced Entry'!J$6),10*((IF('Advanced Entry'!J$5="Logarithm",LN(0.001+'Advanced Entry'!J73),IF('Advanced Entry'!J$5="Exponential",EXP('Advanced Entry'!J73),'Advanced Entry'!J73)))-'Advanced Entry'!J$6)/('Advanced Entry'!J$7-'Advanced Entry'!J$6)),1))),"No data"))</f>
        <v/>
      </c>
      <c r="K73" s="17">
        <f>IF('Advanced Entry'!K73="","",IFERROR(MAX(0,MIN(10,ROUND(IF('Advanced Entry'!K$8="Decrease Risk",10-10*((IF('Advanced Entry'!K$5="Logarithm",LN(0.001+'Advanced Entry'!K73),IF('Advanced Entry'!K$5="Exponential",EXP('Advanced Entry'!K73),'Advanced Entry'!K73)))-'Advanced Entry'!K$6)/('Advanced Entry'!K$7-'Advanced Entry'!K$6),10*((IF('Advanced Entry'!K$5="Logarithm",LN(0.001+'Advanced Entry'!K73),IF('Advanced Entry'!K$5="Exponential",EXP('Advanced Entry'!K73),'Advanced Entry'!K73)))-'Advanced Entry'!K$6)/('Advanced Entry'!K$7-'Advanced Entry'!K$6)),1))),"No data"))</f>
        <v/>
      </c>
      <c r="L73" s="17">
        <f>IF('Advanced Entry'!L73="","",IFERROR(MAX(0,MIN(10,ROUND(IF('Advanced Entry'!L$8="Decrease Risk",10-10*((IF('Advanced Entry'!L$5="Logarithm",LN(0.001+'Advanced Entry'!L73),IF('Advanced Entry'!L$5="Exponential",EXP('Advanced Entry'!L73),'Advanced Entry'!L73)))-'Advanced Entry'!L$6)/('Advanced Entry'!L$7-'Advanced Entry'!L$6),10*((IF('Advanced Entry'!L$5="Logarithm",LN(0.001+'Advanced Entry'!L73),IF('Advanced Entry'!L$5="Exponential",EXP('Advanced Entry'!L73),'Advanced Entry'!L73)))-'Advanced Entry'!L$6)/('Advanced Entry'!L$7-'Advanced Entry'!L$6)),1))),"No data"))</f>
        <v/>
      </c>
      <c r="M73" s="17">
        <f>IF('Advanced Entry'!M73="","",IFERROR(MAX(0,MIN(10,ROUND(IF('Advanced Entry'!M$8="Decrease Risk",10-10*((IF('Advanced Entry'!M$5="Logarithm",LN(0.001+'Advanced Entry'!M73),IF('Advanced Entry'!M$5="Exponential",EXP('Advanced Entry'!M73),'Advanced Entry'!M73)))-'Advanced Entry'!M$6)/('Advanced Entry'!M$7-'Advanced Entry'!M$6),10*((IF('Advanced Entry'!M$5="Logarithm",LN(0.001+'Advanced Entry'!M73),IF('Advanced Entry'!M$5="Exponential",EXP('Advanced Entry'!M73),'Advanced Entry'!M73)))-'Advanced Entry'!M$6)/('Advanced Entry'!M$7-'Advanced Entry'!M$6)),1))),"No data"))</f>
        <v/>
      </c>
      <c r="N73" s="17">
        <f>IF('Advanced Entry'!N73="","",IFERROR(MAX(0,MIN(10,ROUND(IF('Advanced Entry'!N$8="Decrease Risk",10-10*((IF('Advanced Entry'!N$5="Logarithm",LN(0.001+'Advanced Entry'!N73),IF('Advanced Entry'!N$5="Exponential",EXP('Advanced Entry'!N73),'Advanced Entry'!N73)))-'Advanced Entry'!N$6)/('Advanced Entry'!N$7-'Advanced Entry'!N$6),10*((IF('Advanced Entry'!N$5="Logarithm",LN(0.001+'Advanced Entry'!N73),IF('Advanced Entry'!N$5="Exponential",EXP('Advanced Entry'!N73),'Advanced Entry'!N73)))-'Advanced Entry'!N$6)/('Advanced Entry'!N$7-'Advanced Entry'!N$6)),1))),"No data"))</f>
        <v/>
      </c>
      <c r="O73" s="17">
        <f>IF('Advanced Entry'!O73="","",IFERROR(MAX(0,MIN(10,ROUND(IF('Advanced Entry'!O$8="Decrease Risk",10-10*((IF('Advanced Entry'!O$5="Logarithm",LN(0.001+'Advanced Entry'!O73),IF('Advanced Entry'!O$5="Exponential",EXP('Advanced Entry'!O73),'Advanced Entry'!O73)))-'Advanced Entry'!O$6)/('Advanced Entry'!O$7-'Advanced Entry'!O$6),10*((IF('Advanced Entry'!O$5="Logarithm",LN(0.001+'Advanced Entry'!O73),IF('Advanced Entry'!O$5="Exponential",EXP('Advanced Entry'!O73),'Advanced Entry'!O73)))-'Advanced Entry'!O$6)/('Advanced Entry'!O$7-'Advanced Entry'!O$6)),1))),"No data"))</f>
        <v/>
      </c>
      <c r="P73" s="17">
        <f>IF('Advanced Entry'!P73="","",IFERROR(MAX(0,MIN(10,ROUND(IF('Advanced Entry'!P$8="Decrease Risk",10-10*((IF('Advanced Entry'!P$5="Logarithm",LN(0.001+'Advanced Entry'!P73),IF('Advanced Entry'!P$5="Exponential",EXP('Advanced Entry'!P73),'Advanced Entry'!P73)))-'Advanced Entry'!P$6)/('Advanced Entry'!P$7-'Advanced Entry'!P$6),10*((IF('Advanced Entry'!P$5="Logarithm",LN(0.001+'Advanced Entry'!P73),IF('Advanced Entry'!P$5="Exponential",EXP('Advanced Entry'!P73),'Advanced Entry'!P73)))-'Advanced Entry'!P$6)/('Advanced Entry'!P$7-'Advanced Entry'!P$6)),1))),"No data"))</f>
        <v/>
      </c>
      <c r="Q73" s="17">
        <f>IF('Advanced Entry'!Q73="","",IFERROR(MAX(0,MIN(10,ROUND(IF('Advanced Entry'!Q$8="Decrease Risk",10-10*((IF('Advanced Entry'!Q$5="Logarithm",LN(0.001+'Advanced Entry'!Q73),IF('Advanced Entry'!Q$5="Exponential",EXP('Advanced Entry'!Q73),'Advanced Entry'!Q73)))-'Advanced Entry'!Q$6)/('Advanced Entry'!Q$7-'Advanced Entry'!Q$6),10*((IF('Advanced Entry'!Q$5="Logarithm",LN(0.001+'Advanced Entry'!Q73),IF('Advanced Entry'!Q$5="Exponential",EXP('Advanced Entry'!Q73),'Advanced Entry'!Q73)))-'Advanced Entry'!Q$6)/('Advanced Entry'!Q$7-'Advanced Entry'!Q$6)),1))),"No data"))</f>
        <v/>
      </c>
      <c r="R73" s="17">
        <f>IF('Advanced Entry'!R73="","",IFERROR(MAX(0,MIN(10,ROUND(IF('Advanced Entry'!R$8="Decrease Risk",10-10*((IF('Advanced Entry'!R$5="Logarithm",LN(0.001+'Advanced Entry'!R73),IF('Advanced Entry'!R$5="Exponential",EXP('Advanced Entry'!R73),'Advanced Entry'!R73)))-'Advanced Entry'!R$6)/('Advanced Entry'!R$7-'Advanced Entry'!R$6),10*((IF('Advanced Entry'!R$5="Logarithm",LN(0.001+'Advanced Entry'!R73),IF('Advanced Entry'!R$5="Exponential",EXP('Advanced Entry'!R73),'Advanced Entry'!R73)))-'Advanced Entry'!R$6)/('Advanced Entry'!R$7-'Advanced Entry'!R$6)),1))),"No data"))</f>
        <v/>
      </c>
      <c r="S73" s="17">
        <f>IF('Advanced Entry'!S73="","",IFERROR(MAX(0,MIN(10,ROUND(IF('Advanced Entry'!S$8="Decrease Risk",10-10*((IF('Advanced Entry'!S$5="Logarithm",LN(0.001+'Advanced Entry'!S73),IF('Advanced Entry'!S$5="Exponential",EXP('Advanced Entry'!S73),'Advanced Entry'!S73)))-'Advanced Entry'!S$6)/('Advanced Entry'!S$7-'Advanced Entry'!S$6),10*((IF('Advanced Entry'!S$5="Logarithm",LN(0.001+'Advanced Entry'!S73),IF('Advanced Entry'!S$5="Exponential",EXP('Advanced Entry'!S73),'Advanced Entry'!S73)))-'Advanced Entry'!S$6)/('Advanced Entry'!S$7-'Advanced Entry'!S$6)),1))),"No data"))</f>
        <v/>
      </c>
      <c r="T73" s="17">
        <f>IF('Advanced Entry'!T73="","",IFERROR(MAX(0,MIN(10,ROUND(IF('Advanced Entry'!T$8="Decrease Risk",10-10*((IF('Advanced Entry'!T$5="Logarithm",LN(0.001+'Advanced Entry'!T73),IF('Advanced Entry'!T$5="Exponential",EXP('Advanced Entry'!T73),'Advanced Entry'!T73)))-'Advanced Entry'!T$6)/('Advanced Entry'!T$7-'Advanced Entry'!T$6),10*((IF('Advanced Entry'!T$5="Logarithm",LN(0.001+'Advanced Entry'!T73),IF('Advanced Entry'!T$5="Exponential",EXP('Advanced Entry'!T73),'Advanced Entry'!T73)))-'Advanced Entry'!T$6)/('Advanced Entry'!T$7-'Advanced Entry'!T$6)),1))),"No data"))</f>
        <v/>
      </c>
      <c r="U73" s="17">
        <f>IF('Advanced Entry'!U73="","",IFERROR(MAX(0,MIN(10,ROUND(IF('Advanced Entry'!U$8="Decrease Risk",10-10*((IF('Advanced Entry'!U$5="Logarithm",LN(0.001+'Advanced Entry'!U73),IF('Advanced Entry'!U$5="Exponential",EXP('Advanced Entry'!U73),'Advanced Entry'!U73)))-'Advanced Entry'!U$6)/('Advanced Entry'!U$7-'Advanced Entry'!U$6),10*((IF('Advanced Entry'!U$5="Logarithm",LN(0.001+'Advanced Entry'!U73),IF('Advanced Entry'!U$5="Exponential",EXP('Advanced Entry'!U73),'Advanced Entry'!U73)))-'Advanced Entry'!U$6)/('Advanced Entry'!U$7-'Advanced Entry'!U$6)),1))),"No data"))</f>
        <v/>
      </c>
      <c r="V73" s="17">
        <f>IF('Advanced Entry'!V73="","",IFERROR(MAX(0,MIN(10,ROUND(IF('Advanced Entry'!V$8="Decrease Risk",10-10*((IF('Advanced Entry'!V$5="Logarithm",LN(0.001+'Advanced Entry'!V73),IF('Advanced Entry'!V$5="Exponential",EXP('Advanced Entry'!V73),'Advanced Entry'!V73)))-'Advanced Entry'!V$6)/('Advanced Entry'!V$7-'Advanced Entry'!V$6),10*((IF('Advanced Entry'!V$5="Logarithm",LN(0.001+'Advanced Entry'!V73),IF('Advanced Entry'!V$5="Exponential",EXP('Advanced Entry'!V73),'Advanced Entry'!V73)))-'Advanced Entry'!V$6)/('Advanced Entry'!V$7-'Advanced Entry'!V$6)),1))),"No data"))</f>
        <v/>
      </c>
      <c r="W73" s="17">
        <f>IF('Advanced Entry'!W73="","",IFERROR(MAX(0,MIN(10,ROUND(IF('Advanced Entry'!W$8="Decrease Risk",10-10*((IF('Advanced Entry'!W$5="Logarithm",LN(0.001+'Advanced Entry'!W73),IF('Advanced Entry'!W$5="Exponential",EXP('Advanced Entry'!W73),'Advanced Entry'!W73)))-'Advanced Entry'!W$6)/('Advanced Entry'!W$7-'Advanced Entry'!W$6),10*((IF('Advanced Entry'!W$5="Logarithm",LN(0.001+'Advanced Entry'!W73),IF('Advanced Entry'!W$5="Exponential",EXP('Advanced Entry'!W73),'Advanced Entry'!W73)))-'Advanced Entry'!W$6)/('Advanced Entry'!W$7-'Advanced Entry'!W$6)),1))),"No data"))</f>
        <v/>
      </c>
      <c r="X73" s="17">
        <f>IF('Advanced Entry'!X73="","",IFERROR(MAX(0,MIN(10,ROUND(IF('Advanced Entry'!X$8="Decrease Risk",10-10*((IF('Advanced Entry'!X$5="Logarithm",LN(0.001+'Advanced Entry'!X73),IF('Advanced Entry'!X$5="Exponential",EXP('Advanced Entry'!X73),'Advanced Entry'!X73)))-'Advanced Entry'!X$6)/('Advanced Entry'!X$7-'Advanced Entry'!X$6),10*((IF('Advanced Entry'!X$5="Logarithm",LN(0.001+'Advanced Entry'!X73),IF('Advanced Entry'!X$5="Exponential",EXP('Advanced Entry'!X73),'Advanced Entry'!X73)))-'Advanced Entry'!X$6)/('Advanced Entry'!X$7-'Advanced Entry'!X$6)),1))),"No data"))</f>
        <v/>
      </c>
      <c r="Y73" s="17">
        <f>IF('Advanced Entry'!Y73="","",IFERROR(MAX(0,MIN(10,ROUND(IF('Advanced Entry'!Y$8="Decrease Risk",10-10*((IF('Advanced Entry'!Y$5="Logarithm",LN(0.001+'Advanced Entry'!Y73),IF('Advanced Entry'!Y$5="Exponential",EXP('Advanced Entry'!Y73),'Advanced Entry'!Y73)))-'Advanced Entry'!Y$6)/('Advanced Entry'!Y$7-'Advanced Entry'!Y$6),10*((IF('Advanced Entry'!Y$5="Logarithm",LN(0.001+'Advanced Entry'!Y73),IF('Advanced Entry'!Y$5="Exponential",EXP('Advanced Entry'!Y73),'Advanced Entry'!Y73)))-'Advanced Entry'!Y$6)/('Advanced Entry'!Y$7-'Advanced Entry'!Y$6)),1))),"No data"))</f>
        <v/>
      </c>
      <c r="Z73" s="17">
        <f>IF('Advanced Entry'!Z73="","",IFERROR(MAX(0,MIN(10,ROUND(IF('Advanced Entry'!Z$8="Decrease Risk",10-10*((IF('Advanced Entry'!Z$5="Logarithm",LN(0.001+'Advanced Entry'!Z73),IF('Advanced Entry'!Z$5="Exponential",EXP('Advanced Entry'!Z73),'Advanced Entry'!Z73)))-'Advanced Entry'!Z$6)/('Advanced Entry'!Z$7-'Advanced Entry'!Z$6),10*((IF('Advanced Entry'!Z$5="Logarithm",LN(0.001+'Advanced Entry'!Z73),IF('Advanced Entry'!Z$5="Exponential",EXP('Advanced Entry'!Z73),'Advanced Entry'!Z73)))-'Advanced Entry'!Z$6)/('Advanced Entry'!Z$7-'Advanced Entry'!Z$6)),1))),"No data"))</f>
        <v/>
      </c>
      <c r="AA73" s="17">
        <f>IF('Advanced Entry'!AA73="","",IFERROR(MAX(0,MIN(10,ROUND(IF('Advanced Entry'!AA$8="Decrease Risk",10-10*((IF('Advanced Entry'!AA$5="Logarithm",LN(0.001+'Advanced Entry'!AA73),IF('Advanced Entry'!AA$5="Exponential",EXP('Advanced Entry'!AA73),'Advanced Entry'!AA73)))-'Advanced Entry'!AA$6)/('Advanced Entry'!AA$7-'Advanced Entry'!AA$6),10*((IF('Advanced Entry'!AA$5="Logarithm",LN(0.001+'Advanced Entry'!AA73),IF('Advanced Entry'!AA$5="Exponential",EXP('Advanced Entry'!AA73),'Advanced Entry'!AA73)))-'Advanced Entry'!AA$6)/('Advanced Entry'!AA$7-'Advanced Entry'!AA$6)),1))),"No data"))</f>
        <v/>
      </c>
      <c r="AB73" s="17">
        <f>IF('Advanced Entry'!AB73="","",IFERROR(MAX(0,MIN(10,ROUND(IF('Advanced Entry'!AB$8="Decrease Risk",10-10*((IF('Advanced Entry'!AB$5="Logarithm",LN(0.001+'Advanced Entry'!AB73),IF('Advanced Entry'!AB$5="Exponential",EXP('Advanced Entry'!AB73),'Advanced Entry'!AB73)))-'Advanced Entry'!AB$6)/('Advanced Entry'!AB$7-'Advanced Entry'!AB$6),10*((IF('Advanced Entry'!AB$5="Logarithm",LN(0.001+'Advanced Entry'!AB73),IF('Advanced Entry'!AB$5="Exponential",EXP('Advanced Entry'!AB73),'Advanced Entry'!AB73)))-'Advanced Entry'!AB$6)/('Advanced Entry'!AB$7-'Advanced Entry'!AB$6)),1))),"No data"))</f>
        <v/>
      </c>
    </row>
    <row r="74">
      <c r="A74" t="inlineStr">
        <is>
          <t>Kusini Pemba</t>
        </is>
      </c>
      <c r="B74" t="inlineStr">
        <is>
          <t>Chake Chake Town</t>
        </is>
      </c>
      <c r="C74" t="inlineStr">
        <is>
          <t>C194</t>
        </is>
      </c>
      <c r="D74" s="17">
        <f>IF('Advanced Entry'!D74="","",IFERROR(MAX(0,MIN(10,ROUND(IF('Advanced Entry'!D$8="Decrease Risk",10-10*((IF('Advanced Entry'!D$5="Logarithm",LN(0.001+'Advanced Entry'!D74),IF('Advanced Entry'!D$5="Exponential",EXP('Advanced Entry'!D74),'Advanced Entry'!D74)))-'Advanced Entry'!D$6)/('Advanced Entry'!D$7-'Advanced Entry'!D$6),10*((IF('Advanced Entry'!D$5="Logarithm",LN(0.001+'Advanced Entry'!D74),IF('Advanced Entry'!D$5="Exponential",EXP('Advanced Entry'!D74),'Advanced Entry'!D74)))-'Advanced Entry'!D$6)/('Advanced Entry'!D$7-'Advanced Entry'!D$6)),1))),"No data"))</f>
        <v/>
      </c>
      <c r="E74" s="17">
        <f>IF('Advanced Entry'!E74="","",IFERROR(MAX(0,MIN(10,ROUND(IF('Advanced Entry'!E$8="Decrease Risk",10-10*((IF('Advanced Entry'!E$5="Logarithm",LN(0.001+'Advanced Entry'!E74),IF('Advanced Entry'!E$5="Exponential",EXP('Advanced Entry'!E74),'Advanced Entry'!E74)))-'Advanced Entry'!E$6)/('Advanced Entry'!E$7-'Advanced Entry'!E$6),10*((IF('Advanced Entry'!E$5="Logarithm",LN(0.001+'Advanced Entry'!E74),IF('Advanced Entry'!E$5="Exponential",EXP('Advanced Entry'!E74),'Advanced Entry'!E74)))-'Advanced Entry'!E$6)/('Advanced Entry'!E$7-'Advanced Entry'!E$6)),1))),"No data"))</f>
        <v/>
      </c>
      <c r="F74" s="17">
        <f>IF('Advanced Entry'!F74="","",IFERROR(MAX(0,MIN(10,ROUND(IF('Advanced Entry'!F$8="Decrease Risk",10-10*((IF('Advanced Entry'!F$5="Logarithm",LN(0.001+'Advanced Entry'!F74),IF('Advanced Entry'!F$5="Exponential",EXP('Advanced Entry'!F74),'Advanced Entry'!F74)))-'Advanced Entry'!F$6)/('Advanced Entry'!F$7-'Advanced Entry'!F$6),10*((IF('Advanced Entry'!F$5="Logarithm",LN(0.001+'Advanced Entry'!F74),IF('Advanced Entry'!F$5="Exponential",EXP('Advanced Entry'!F74),'Advanced Entry'!F74)))-'Advanced Entry'!F$6)/('Advanced Entry'!F$7-'Advanced Entry'!F$6)),1))),"No data"))</f>
        <v/>
      </c>
      <c r="G74" s="17">
        <f>IF('Advanced Entry'!G74="","",IFERROR(MAX(0,MIN(10,ROUND(IF('Advanced Entry'!G$8="Decrease Risk",10-10*((IF('Advanced Entry'!G$5="Logarithm",LN(0.001+'Advanced Entry'!G74),IF('Advanced Entry'!G$5="Exponential",EXP('Advanced Entry'!G74),'Advanced Entry'!G74)))-'Advanced Entry'!G$6)/('Advanced Entry'!G$7-'Advanced Entry'!G$6),10*((IF('Advanced Entry'!G$5="Logarithm",LN(0.001+'Advanced Entry'!G74),IF('Advanced Entry'!G$5="Exponential",EXP('Advanced Entry'!G74),'Advanced Entry'!G74)))-'Advanced Entry'!G$6)/('Advanced Entry'!G$7-'Advanced Entry'!G$6)),1))),"No data"))</f>
        <v/>
      </c>
      <c r="H74" s="17">
        <f>IF('Advanced Entry'!H74="","",IFERROR(MAX(0,MIN(10,ROUND(IF('Advanced Entry'!H$8="Decrease Risk",10-10*((IF('Advanced Entry'!H$5="Logarithm",LN(0.001+'Advanced Entry'!H74),IF('Advanced Entry'!H$5="Exponential",EXP('Advanced Entry'!H74),'Advanced Entry'!H74)))-'Advanced Entry'!H$6)/('Advanced Entry'!H$7-'Advanced Entry'!H$6),10*((IF('Advanced Entry'!H$5="Logarithm",LN(0.001+'Advanced Entry'!H74),IF('Advanced Entry'!H$5="Exponential",EXP('Advanced Entry'!H74),'Advanced Entry'!H74)))-'Advanced Entry'!H$6)/('Advanced Entry'!H$7-'Advanced Entry'!H$6)),1))),"No data"))</f>
        <v/>
      </c>
      <c r="I74" s="17">
        <f>IF('Advanced Entry'!I74="","",IFERROR(MAX(0,MIN(10,ROUND(IF('Advanced Entry'!I$8="Decrease Risk",10-10*((IF('Advanced Entry'!I$5="Logarithm",LN(0.001+'Advanced Entry'!I74),IF('Advanced Entry'!I$5="Exponential",EXP('Advanced Entry'!I74),'Advanced Entry'!I74)))-'Advanced Entry'!I$6)/('Advanced Entry'!I$7-'Advanced Entry'!I$6),10*((IF('Advanced Entry'!I$5="Logarithm",LN(0.001+'Advanced Entry'!I74),IF('Advanced Entry'!I$5="Exponential",EXP('Advanced Entry'!I74),'Advanced Entry'!I74)))-'Advanced Entry'!I$6)/('Advanced Entry'!I$7-'Advanced Entry'!I$6)),1))),"No data"))</f>
        <v/>
      </c>
      <c r="J74" s="17">
        <f>IF('Advanced Entry'!J74="","",IFERROR(MAX(0,MIN(10,ROUND(IF('Advanced Entry'!J$8="Decrease Risk",10-10*((IF('Advanced Entry'!J$5="Logarithm",LN(0.001+'Advanced Entry'!J74),IF('Advanced Entry'!J$5="Exponential",EXP('Advanced Entry'!J74),'Advanced Entry'!J74)))-'Advanced Entry'!J$6)/('Advanced Entry'!J$7-'Advanced Entry'!J$6),10*((IF('Advanced Entry'!J$5="Logarithm",LN(0.001+'Advanced Entry'!J74),IF('Advanced Entry'!J$5="Exponential",EXP('Advanced Entry'!J74),'Advanced Entry'!J74)))-'Advanced Entry'!J$6)/('Advanced Entry'!J$7-'Advanced Entry'!J$6)),1))),"No data"))</f>
        <v/>
      </c>
      <c r="K74" s="17">
        <f>IF('Advanced Entry'!K74="","",IFERROR(MAX(0,MIN(10,ROUND(IF('Advanced Entry'!K$8="Decrease Risk",10-10*((IF('Advanced Entry'!K$5="Logarithm",LN(0.001+'Advanced Entry'!K74),IF('Advanced Entry'!K$5="Exponential",EXP('Advanced Entry'!K74),'Advanced Entry'!K74)))-'Advanced Entry'!K$6)/('Advanced Entry'!K$7-'Advanced Entry'!K$6),10*((IF('Advanced Entry'!K$5="Logarithm",LN(0.001+'Advanced Entry'!K74),IF('Advanced Entry'!K$5="Exponential",EXP('Advanced Entry'!K74),'Advanced Entry'!K74)))-'Advanced Entry'!K$6)/('Advanced Entry'!K$7-'Advanced Entry'!K$6)),1))),"No data"))</f>
        <v/>
      </c>
      <c r="L74" s="17">
        <f>IF('Advanced Entry'!L74="","",IFERROR(MAX(0,MIN(10,ROUND(IF('Advanced Entry'!L$8="Decrease Risk",10-10*((IF('Advanced Entry'!L$5="Logarithm",LN(0.001+'Advanced Entry'!L74),IF('Advanced Entry'!L$5="Exponential",EXP('Advanced Entry'!L74),'Advanced Entry'!L74)))-'Advanced Entry'!L$6)/('Advanced Entry'!L$7-'Advanced Entry'!L$6),10*((IF('Advanced Entry'!L$5="Logarithm",LN(0.001+'Advanced Entry'!L74),IF('Advanced Entry'!L$5="Exponential",EXP('Advanced Entry'!L74),'Advanced Entry'!L74)))-'Advanced Entry'!L$6)/('Advanced Entry'!L$7-'Advanced Entry'!L$6)),1))),"No data"))</f>
        <v/>
      </c>
      <c r="M74" s="17">
        <f>IF('Advanced Entry'!M74="","",IFERROR(MAX(0,MIN(10,ROUND(IF('Advanced Entry'!M$8="Decrease Risk",10-10*((IF('Advanced Entry'!M$5="Logarithm",LN(0.001+'Advanced Entry'!M74),IF('Advanced Entry'!M$5="Exponential",EXP('Advanced Entry'!M74),'Advanced Entry'!M74)))-'Advanced Entry'!M$6)/('Advanced Entry'!M$7-'Advanced Entry'!M$6),10*((IF('Advanced Entry'!M$5="Logarithm",LN(0.001+'Advanced Entry'!M74),IF('Advanced Entry'!M$5="Exponential",EXP('Advanced Entry'!M74),'Advanced Entry'!M74)))-'Advanced Entry'!M$6)/('Advanced Entry'!M$7-'Advanced Entry'!M$6)),1))),"No data"))</f>
        <v/>
      </c>
      <c r="N74" s="17">
        <f>IF('Advanced Entry'!N74="","",IFERROR(MAX(0,MIN(10,ROUND(IF('Advanced Entry'!N$8="Decrease Risk",10-10*((IF('Advanced Entry'!N$5="Logarithm",LN(0.001+'Advanced Entry'!N74),IF('Advanced Entry'!N$5="Exponential",EXP('Advanced Entry'!N74),'Advanced Entry'!N74)))-'Advanced Entry'!N$6)/('Advanced Entry'!N$7-'Advanced Entry'!N$6),10*((IF('Advanced Entry'!N$5="Logarithm",LN(0.001+'Advanced Entry'!N74),IF('Advanced Entry'!N$5="Exponential",EXP('Advanced Entry'!N74),'Advanced Entry'!N74)))-'Advanced Entry'!N$6)/('Advanced Entry'!N$7-'Advanced Entry'!N$6)),1))),"No data"))</f>
        <v/>
      </c>
      <c r="O74" s="17">
        <f>IF('Advanced Entry'!O74="","",IFERROR(MAX(0,MIN(10,ROUND(IF('Advanced Entry'!O$8="Decrease Risk",10-10*((IF('Advanced Entry'!O$5="Logarithm",LN(0.001+'Advanced Entry'!O74),IF('Advanced Entry'!O$5="Exponential",EXP('Advanced Entry'!O74),'Advanced Entry'!O74)))-'Advanced Entry'!O$6)/('Advanced Entry'!O$7-'Advanced Entry'!O$6),10*((IF('Advanced Entry'!O$5="Logarithm",LN(0.001+'Advanced Entry'!O74),IF('Advanced Entry'!O$5="Exponential",EXP('Advanced Entry'!O74),'Advanced Entry'!O74)))-'Advanced Entry'!O$6)/('Advanced Entry'!O$7-'Advanced Entry'!O$6)),1))),"No data"))</f>
        <v/>
      </c>
      <c r="P74" s="17">
        <f>IF('Advanced Entry'!P74="","",IFERROR(MAX(0,MIN(10,ROUND(IF('Advanced Entry'!P$8="Decrease Risk",10-10*((IF('Advanced Entry'!P$5="Logarithm",LN(0.001+'Advanced Entry'!P74),IF('Advanced Entry'!P$5="Exponential",EXP('Advanced Entry'!P74),'Advanced Entry'!P74)))-'Advanced Entry'!P$6)/('Advanced Entry'!P$7-'Advanced Entry'!P$6),10*((IF('Advanced Entry'!P$5="Logarithm",LN(0.001+'Advanced Entry'!P74),IF('Advanced Entry'!P$5="Exponential",EXP('Advanced Entry'!P74),'Advanced Entry'!P74)))-'Advanced Entry'!P$6)/('Advanced Entry'!P$7-'Advanced Entry'!P$6)),1))),"No data"))</f>
        <v/>
      </c>
      <c r="Q74" s="17">
        <f>IF('Advanced Entry'!Q74="","",IFERROR(MAX(0,MIN(10,ROUND(IF('Advanced Entry'!Q$8="Decrease Risk",10-10*((IF('Advanced Entry'!Q$5="Logarithm",LN(0.001+'Advanced Entry'!Q74),IF('Advanced Entry'!Q$5="Exponential",EXP('Advanced Entry'!Q74),'Advanced Entry'!Q74)))-'Advanced Entry'!Q$6)/('Advanced Entry'!Q$7-'Advanced Entry'!Q$6),10*((IF('Advanced Entry'!Q$5="Logarithm",LN(0.001+'Advanced Entry'!Q74),IF('Advanced Entry'!Q$5="Exponential",EXP('Advanced Entry'!Q74),'Advanced Entry'!Q74)))-'Advanced Entry'!Q$6)/('Advanced Entry'!Q$7-'Advanced Entry'!Q$6)),1))),"No data"))</f>
        <v/>
      </c>
      <c r="R74" s="17">
        <f>IF('Advanced Entry'!R74="","",IFERROR(MAX(0,MIN(10,ROUND(IF('Advanced Entry'!R$8="Decrease Risk",10-10*((IF('Advanced Entry'!R$5="Logarithm",LN(0.001+'Advanced Entry'!R74),IF('Advanced Entry'!R$5="Exponential",EXP('Advanced Entry'!R74),'Advanced Entry'!R74)))-'Advanced Entry'!R$6)/('Advanced Entry'!R$7-'Advanced Entry'!R$6),10*((IF('Advanced Entry'!R$5="Logarithm",LN(0.001+'Advanced Entry'!R74),IF('Advanced Entry'!R$5="Exponential",EXP('Advanced Entry'!R74),'Advanced Entry'!R74)))-'Advanced Entry'!R$6)/('Advanced Entry'!R$7-'Advanced Entry'!R$6)),1))),"No data"))</f>
        <v/>
      </c>
      <c r="S74" s="17">
        <f>IF('Advanced Entry'!S74="","",IFERROR(MAX(0,MIN(10,ROUND(IF('Advanced Entry'!S$8="Decrease Risk",10-10*((IF('Advanced Entry'!S$5="Logarithm",LN(0.001+'Advanced Entry'!S74),IF('Advanced Entry'!S$5="Exponential",EXP('Advanced Entry'!S74),'Advanced Entry'!S74)))-'Advanced Entry'!S$6)/('Advanced Entry'!S$7-'Advanced Entry'!S$6),10*((IF('Advanced Entry'!S$5="Logarithm",LN(0.001+'Advanced Entry'!S74),IF('Advanced Entry'!S$5="Exponential",EXP('Advanced Entry'!S74),'Advanced Entry'!S74)))-'Advanced Entry'!S$6)/('Advanced Entry'!S$7-'Advanced Entry'!S$6)),1))),"No data"))</f>
        <v/>
      </c>
      <c r="T74" s="17">
        <f>IF('Advanced Entry'!T74="","",IFERROR(MAX(0,MIN(10,ROUND(IF('Advanced Entry'!T$8="Decrease Risk",10-10*((IF('Advanced Entry'!T$5="Logarithm",LN(0.001+'Advanced Entry'!T74),IF('Advanced Entry'!T$5="Exponential",EXP('Advanced Entry'!T74),'Advanced Entry'!T74)))-'Advanced Entry'!T$6)/('Advanced Entry'!T$7-'Advanced Entry'!T$6),10*((IF('Advanced Entry'!T$5="Logarithm",LN(0.001+'Advanced Entry'!T74),IF('Advanced Entry'!T$5="Exponential",EXP('Advanced Entry'!T74),'Advanced Entry'!T74)))-'Advanced Entry'!T$6)/('Advanced Entry'!T$7-'Advanced Entry'!T$6)),1))),"No data"))</f>
        <v/>
      </c>
      <c r="U74" s="17">
        <f>IF('Advanced Entry'!U74="","",IFERROR(MAX(0,MIN(10,ROUND(IF('Advanced Entry'!U$8="Decrease Risk",10-10*((IF('Advanced Entry'!U$5="Logarithm",LN(0.001+'Advanced Entry'!U74),IF('Advanced Entry'!U$5="Exponential",EXP('Advanced Entry'!U74),'Advanced Entry'!U74)))-'Advanced Entry'!U$6)/('Advanced Entry'!U$7-'Advanced Entry'!U$6),10*((IF('Advanced Entry'!U$5="Logarithm",LN(0.001+'Advanced Entry'!U74),IF('Advanced Entry'!U$5="Exponential",EXP('Advanced Entry'!U74),'Advanced Entry'!U74)))-'Advanced Entry'!U$6)/('Advanced Entry'!U$7-'Advanced Entry'!U$6)),1))),"No data"))</f>
        <v/>
      </c>
      <c r="V74" s="17">
        <f>IF('Advanced Entry'!V74="","",IFERROR(MAX(0,MIN(10,ROUND(IF('Advanced Entry'!V$8="Decrease Risk",10-10*((IF('Advanced Entry'!V$5="Logarithm",LN(0.001+'Advanced Entry'!V74),IF('Advanced Entry'!V$5="Exponential",EXP('Advanced Entry'!V74),'Advanced Entry'!V74)))-'Advanced Entry'!V$6)/('Advanced Entry'!V$7-'Advanced Entry'!V$6),10*((IF('Advanced Entry'!V$5="Logarithm",LN(0.001+'Advanced Entry'!V74),IF('Advanced Entry'!V$5="Exponential",EXP('Advanced Entry'!V74),'Advanced Entry'!V74)))-'Advanced Entry'!V$6)/('Advanced Entry'!V$7-'Advanced Entry'!V$6)),1))),"No data"))</f>
        <v/>
      </c>
      <c r="W74" s="17">
        <f>IF('Advanced Entry'!W74="","",IFERROR(MAX(0,MIN(10,ROUND(IF('Advanced Entry'!W$8="Decrease Risk",10-10*((IF('Advanced Entry'!W$5="Logarithm",LN(0.001+'Advanced Entry'!W74),IF('Advanced Entry'!W$5="Exponential",EXP('Advanced Entry'!W74),'Advanced Entry'!W74)))-'Advanced Entry'!W$6)/('Advanced Entry'!W$7-'Advanced Entry'!W$6),10*((IF('Advanced Entry'!W$5="Logarithm",LN(0.001+'Advanced Entry'!W74),IF('Advanced Entry'!W$5="Exponential",EXP('Advanced Entry'!W74),'Advanced Entry'!W74)))-'Advanced Entry'!W$6)/('Advanced Entry'!W$7-'Advanced Entry'!W$6)),1))),"No data"))</f>
        <v/>
      </c>
      <c r="X74" s="17">
        <f>IF('Advanced Entry'!X74="","",IFERROR(MAX(0,MIN(10,ROUND(IF('Advanced Entry'!X$8="Decrease Risk",10-10*((IF('Advanced Entry'!X$5="Logarithm",LN(0.001+'Advanced Entry'!X74),IF('Advanced Entry'!X$5="Exponential",EXP('Advanced Entry'!X74),'Advanced Entry'!X74)))-'Advanced Entry'!X$6)/('Advanced Entry'!X$7-'Advanced Entry'!X$6),10*((IF('Advanced Entry'!X$5="Logarithm",LN(0.001+'Advanced Entry'!X74),IF('Advanced Entry'!X$5="Exponential",EXP('Advanced Entry'!X74),'Advanced Entry'!X74)))-'Advanced Entry'!X$6)/('Advanced Entry'!X$7-'Advanced Entry'!X$6)),1))),"No data"))</f>
        <v/>
      </c>
      <c r="Y74" s="17">
        <f>IF('Advanced Entry'!Y74="","",IFERROR(MAX(0,MIN(10,ROUND(IF('Advanced Entry'!Y$8="Decrease Risk",10-10*((IF('Advanced Entry'!Y$5="Logarithm",LN(0.001+'Advanced Entry'!Y74),IF('Advanced Entry'!Y$5="Exponential",EXP('Advanced Entry'!Y74),'Advanced Entry'!Y74)))-'Advanced Entry'!Y$6)/('Advanced Entry'!Y$7-'Advanced Entry'!Y$6),10*((IF('Advanced Entry'!Y$5="Logarithm",LN(0.001+'Advanced Entry'!Y74),IF('Advanced Entry'!Y$5="Exponential",EXP('Advanced Entry'!Y74),'Advanced Entry'!Y74)))-'Advanced Entry'!Y$6)/('Advanced Entry'!Y$7-'Advanced Entry'!Y$6)),1))),"No data"))</f>
        <v/>
      </c>
      <c r="Z74" s="17">
        <f>IF('Advanced Entry'!Z74="","",IFERROR(MAX(0,MIN(10,ROUND(IF('Advanced Entry'!Z$8="Decrease Risk",10-10*((IF('Advanced Entry'!Z$5="Logarithm",LN(0.001+'Advanced Entry'!Z74),IF('Advanced Entry'!Z$5="Exponential",EXP('Advanced Entry'!Z74),'Advanced Entry'!Z74)))-'Advanced Entry'!Z$6)/('Advanced Entry'!Z$7-'Advanced Entry'!Z$6),10*((IF('Advanced Entry'!Z$5="Logarithm",LN(0.001+'Advanced Entry'!Z74),IF('Advanced Entry'!Z$5="Exponential",EXP('Advanced Entry'!Z74),'Advanced Entry'!Z74)))-'Advanced Entry'!Z$6)/('Advanced Entry'!Z$7-'Advanced Entry'!Z$6)),1))),"No data"))</f>
        <v/>
      </c>
      <c r="AA74" s="17">
        <f>IF('Advanced Entry'!AA74="","",IFERROR(MAX(0,MIN(10,ROUND(IF('Advanced Entry'!AA$8="Decrease Risk",10-10*((IF('Advanced Entry'!AA$5="Logarithm",LN(0.001+'Advanced Entry'!AA74),IF('Advanced Entry'!AA$5="Exponential",EXP('Advanced Entry'!AA74),'Advanced Entry'!AA74)))-'Advanced Entry'!AA$6)/('Advanced Entry'!AA$7-'Advanced Entry'!AA$6),10*((IF('Advanced Entry'!AA$5="Logarithm",LN(0.001+'Advanced Entry'!AA74),IF('Advanced Entry'!AA$5="Exponential",EXP('Advanced Entry'!AA74),'Advanced Entry'!AA74)))-'Advanced Entry'!AA$6)/('Advanced Entry'!AA$7-'Advanced Entry'!AA$6)),1))),"No data"))</f>
        <v/>
      </c>
      <c r="AB74" s="17">
        <f>IF('Advanced Entry'!AB74="","",IFERROR(MAX(0,MIN(10,ROUND(IF('Advanced Entry'!AB$8="Decrease Risk",10-10*((IF('Advanced Entry'!AB$5="Logarithm",LN(0.001+'Advanced Entry'!AB74),IF('Advanced Entry'!AB$5="Exponential",EXP('Advanced Entry'!AB74),'Advanced Entry'!AB74)))-'Advanced Entry'!AB$6)/('Advanced Entry'!AB$7-'Advanced Entry'!AB$6),10*((IF('Advanced Entry'!AB$5="Logarithm",LN(0.001+'Advanced Entry'!AB74),IF('Advanced Entry'!AB$5="Exponential",EXP('Advanced Entry'!AB74),'Advanced Entry'!AB74)))-'Advanced Entry'!AB$6)/('Advanced Entry'!AB$7-'Advanced Entry'!AB$6)),1))),"No data"))</f>
        <v/>
      </c>
    </row>
    <row r="75">
      <c r="A75" t="inlineStr">
        <is>
          <t>Kusini Pemba</t>
        </is>
      </c>
      <c r="B75" t="inlineStr">
        <is>
          <t>Mkoani Town</t>
        </is>
      </c>
      <c r="C75" t="inlineStr">
        <is>
          <t>C195</t>
        </is>
      </c>
      <c r="D75" s="17">
        <f>IF('Advanced Entry'!D75="","",IFERROR(MAX(0,MIN(10,ROUND(IF('Advanced Entry'!D$8="Decrease Risk",10-10*((IF('Advanced Entry'!D$5="Logarithm",LN(0.001+'Advanced Entry'!D75),IF('Advanced Entry'!D$5="Exponential",EXP('Advanced Entry'!D75),'Advanced Entry'!D75)))-'Advanced Entry'!D$6)/('Advanced Entry'!D$7-'Advanced Entry'!D$6),10*((IF('Advanced Entry'!D$5="Logarithm",LN(0.001+'Advanced Entry'!D75),IF('Advanced Entry'!D$5="Exponential",EXP('Advanced Entry'!D75),'Advanced Entry'!D75)))-'Advanced Entry'!D$6)/('Advanced Entry'!D$7-'Advanced Entry'!D$6)),1))),"No data"))</f>
        <v/>
      </c>
      <c r="E75" s="17">
        <f>IF('Advanced Entry'!E75="","",IFERROR(MAX(0,MIN(10,ROUND(IF('Advanced Entry'!E$8="Decrease Risk",10-10*((IF('Advanced Entry'!E$5="Logarithm",LN(0.001+'Advanced Entry'!E75),IF('Advanced Entry'!E$5="Exponential",EXP('Advanced Entry'!E75),'Advanced Entry'!E75)))-'Advanced Entry'!E$6)/('Advanced Entry'!E$7-'Advanced Entry'!E$6),10*((IF('Advanced Entry'!E$5="Logarithm",LN(0.001+'Advanced Entry'!E75),IF('Advanced Entry'!E$5="Exponential",EXP('Advanced Entry'!E75),'Advanced Entry'!E75)))-'Advanced Entry'!E$6)/('Advanced Entry'!E$7-'Advanced Entry'!E$6)),1))),"No data"))</f>
        <v/>
      </c>
      <c r="F75" s="17">
        <f>IF('Advanced Entry'!F75="","",IFERROR(MAX(0,MIN(10,ROUND(IF('Advanced Entry'!F$8="Decrease Risk",10-10*((IF('Advanced Entry'!F$5="Logarithm",LN(0.001+'Advanced Entry'!F75),IF('Advanced Entry'!F$5="Exponential",EXP('Advanced Entry'!F75),'Advanced Entry'!F75)))-'Advanced Entry'!F$6)/('Advanced Entry'!F$7-'Advanced Entry'!F$6),10*((IF('Advanced Entry'!F$5="Logarithm",LN(0.001+'Advanced Entry'!F75),IF('Advanced Entry'!F$5="Exponential",EXP('Advanced Entry'!F75),'Advanced Entry'!F75)))-'Advanced Entry'!F$6)/('Advanced Entry'!F$7-'Advanced Entry'!F$6)),1))),"No data"))</f>
        <v/>
      </c>
      <c r="G75" s="17">
        <f>IF('Advanced Entry'!G75="","",IFERROR(MAX(0,MIN(10,ROUND(IF('Advanced Entry'!G$8="Decrease Risk",10-10*((IF('Advanced Entry'!G$5="Logarithm",LN(0.001+'Advanced Entry'!G75),IF('Advanced Entry'!G$5="Exponential",EXP('Advanced Entry'!G75),'Advanced Entry'!G75)))-'Advanced Entry'!G$6)/('Advanced Entry'!G$7-'Advanced Entry'!G$6),10*((IF('Advanced Entry'!G$5="Logarithm",LN(0.001+'Advanced Entry'!G75),IF('Advanced Entry'!G$5="Exponential",EXP('Advanced Entry'!G75),'Advanced Entry'!G75)))-'Advanced Entry'!G$6)/('Advanced Entry'!G$7-'Advanced Entry'!G$6)),1))),"No data"))</f>
        <v/>
      </c>
      <c r="H75" s="17">
        <f>IF('Advanced Entry'!H75="","",IFERROR(MAX(0,MIN(10,ROUND(IF('Advanced Entry'!H$8="Decrease Risk",10-10*((IF('Advanced Entry'!H$5="Logarithm",LN(0.001+'Advanced Entry'!H75),IF('Advanced Entry'!H$5="Exponential",EXP('Advanced Entry'!H75),'Advanced Entry'!H75)))-'Advanced Entry'!H$6)/('Advanced Entry'!H$7-'Advanced Entry'!H$6),10*((IF('Advanced Entry'!H$5="Logarithm",LN(0.001+'Advanced Entry'!H75),IF('Advanced Entry'!H$5="Exponential",EXP('Advanced Entry'!H75),'Advanced Entry'!H75)))-'Advanced Entry'!H$6)/('Advanced Entry'!H$7-'Advanced Entry'!H$6)),1))),"No data"))</f>
        <v/>
      </c>
      <c r="I75" s="17">
        <f>IF('Advanced Entry'!I75="","",IFERROR(MAX(0,MIN(10,ROUND(IF('Advanced Entry'!I$8="Decrease Risk",10-10*((IF('Advanced Entry'!I$5="Logarithm",LN(0.001+'Advanced Entry'!I75),IF('Advanced Entry'!I$5="Exponential",EXP('Advanced Entry'!I75),'Advanced Entry'!I75)))-'Advanced Entry'!I$6)/('Advanced Entry'!I$7-'Advanced Entry'!I$6),10*((IF('Advanced Entry'!I$5="Logarithm",LN(0.001+'Advanced Entry'!I75),IF('Advanced Entry'!I$5="Exponential",EXP('Advanced Entry'!I75),'Advanced Entry'!I75)))-'Advanced Entry'!I$6)/('Advanced Entry'!I$7-'Advanced Entry'!I$6)),1))),"No data"))</f>
        <v/>
      </c>
      <c r="J75" s="17">
        <f>IF('Advanced Entry'!J75="","",IFERROR(MAX(0,MIN(10,ROUND(IF('Advanced Entry'!J$8="Decrease Risk",10-10*((IF('Advanced Entry'!J$5="Logarithm",LN(0.001+'Advanced Entry'!J75),IF('Advanced Entry'!J$5="Exponential",EXP('Advanced Entry'!J75),'Advanced Entry'!J75)))-'Advanced Entry'!J$6)/('Advanced Entry'!J$7-'Advanced Entry'!J$6),10*((IF('Advanced Entry'!J$5="Logarithm",LN(0.001+'Advanced Entry'!J75),IF('Advanced Entry'!J$5="Exponential",EXP('Advanced Entry'!J75),'Advanced Entry'!J75)))-'Advanced Entry'!J$6)/('Advanced Entry'!J$7-'Advanced Entry'!J$6)),1))),"No data"))</f>
        <v/>
      </c>
      <c r="K75" s="17">
        <f>IF('Advanced Entry'!K75="","",IFERROR(MAX(0,MIN(10,ROUND(IF('Advanced Entry'!K$8="Decrease Risk",10-10*((IF('Advanced Entry'!K$5="Logarithm",LN(0.001+'Advanced Entry'!K75),IF('Advanced Entry'!K$5="Exponential",EXP('Advanced Entry'!K75),'Advanced Entry'!K75)))-'Advanced Entry'!K$6)/('Advanced Entry'!K$7-'Advanced Entry'!K$6),10*((IF('Advanced Entry'!K$5="Logarithm",LN(0.001+'Advanced Entry'!K75),IF('Advanced Entry'!K$5="Exponential",EXP('Advanced Entry'!K75),'Advanced Entry'!K75)))-'Advanced Entry'!K$6)/('Advanced Entry'!K$7-'Advanced Entry'!K$6)),1))),"No data"))</f>
        <v/>
      </c>
      <c r="L75" s="17">
        <f>IF('Advanced Entry'!L75="","",IFERROR(MAX(0,MIN(10,ROUND(IF('Advanced Entry'!L$8="Decrease Risk",10-10*((IF('Advanced Entry'!L$5="Logarithm",LN(0.001+'Advanced Entry'!L75),IF('Advanced Entry'!L$5="Exponential",EXP('Advanced Entry'!L75),'Advanced Entry'!L75)))-'Advanced Entry'!L$6)/('Advanced Entry'!L$7-'Advanced Entry'!L$6),10*((IF('Advanced Entry'!L$5="Logarithm",LN(0.001+'Advanced Entry'!L75),IF('Advanced Entry'!L$5="Exponential",EXP('Advanced Entry'!L75),'Advanced Entry'!L75)))-'Advanced Entry'!L$6)/('Advanced Entry'!L$7-'Advanced Entry'!L$6)),1))),"No data"))</f>
        <v/>
      </c>
      <c r="M75" s="17">
        <f>IF('Advanced Entry'!M75="","",IFERROR(MAX(0,MIN(10,ROUND(IF('Advanced Entry'!M$8="Decrease Risk",10-10*((IF('Advanced Entry'!M$5="Logarithm",LN(0.001+'Advanced Entry'!M75),IF('Advanced Entry'!M$5="Exponential",EXP('Advanced Entry'!M75),'Advanced Entry'!M75)))-'Advanced Entry'!M$6)/('Advanced Entry'!M$7-'Advanced Entry'!M$6),10*((IF('Advanced Entry'!M$5="Logarithm",LN(0.001+'Advanced Entry'!M75),IF('Advanced Entry'!M$5="Exponential",EXP('Advanced Entry'!M75),'Advanced Entry'!M75)))-'Advanced Entry'!M$6)/('Advanced Entry'!M$7-'Advanced Entry'!M$6)),1))),"No data"))</f>
        <v/>
      </c>
      <c r="N75" s="17">
        <f>IF('Advanced Entry'!N75="","",IFERROR(MAX(0,MIN(10,ROUND(IF('Advanced Entry'!N$8="Decrease Risk",10-10*((IF('Advanced Entry'!N$5="Logarithm",LN(0.001+'Advanced Entry'!N75),IF('Advanced Entry'!N$5="Exponential",EXP('Advanced Entry'!N75),'Advanced Entry'!N75)))-'Advanced Entry'!N$6)/('Advanced Entry'!N$7-'Advanced Entry'!N$6),10*((IF('Advanced Entry'!N$5="Logarithm",LN(0.001+'Advanced Entry'!N75),IF('Advanced Entry'!N$5="Exponential",EXP('Advanced Entry'!N75),'Advanced Entry'!N75)))-'Advanced Entry'!N$6)/('Advanced Entry'!N$7-'Advanced Entry'!N$6)),1))),"No data"))</f>
        <v/>
      </c>
      <c r="O75" s="17">
        <f>IF('Advanced Entry'!O75="","",IFERROR(MAX(0,MIN(10,ROUND(IF('Advanced Entry'!O$8="Decrease Risk",10-10*((IF('Advanced Entry'!O$5="Logarithm",LN(0.001+'Advanced Entry'!O75),IF('Advanced Entry'!O$5="Exponential",EXP('Advanced Entry'!O75),'Advanced Entry'!O75)))-'Advanced Entry'!O$6)/('Advanced Entry'!O$7-'Advanced Entry'!O$6),10*((IF('Advanced Entry'!O$5="Logarithm",LN(0.001+'Advanced Entry'!O75),IF('Advanced Entry'!O$5="Exponential",EXP('Advanced Entry'!O75),'Advanced Entry'!O75)))-'Advanced Entry'!O$6)/('Advanced Entry'!O$7-'Advanced Entry'!O$6)),1))),"No data"))</f>
        <v/>
      </c>
      <c r="P75" s="17">
        <f>IF('Advanced Entry'!P75="","",IFERROR(MAX(0,MIN(10,ROUND(IF('Advanced Entry'!P$8="Decrease Risk",10-10*((IF('Advanced Entry'!P$5="Logarithm",LN(0.001+'Advanced Entry'!P75),IF('Advanced Entry'!P$5="Exponential",EXP('Advanced Entry'!P75),'Advanced Entry'!P75)))-'Advanced Entry'!P$6)/('Advanced Entry'!P$7-'Advanced Entry'!P$6),10*((IF('Advanced Entry'!P$5="Logarithm",LN(0.001+'Advanced Entry'!P75),IF('Advanced Entry'!P$5="Exponential",EXP('Advanced Entry'!P75),'Advanced Entry'!P75)))-'Advanced Entry'!P$6)/('Advanced Entry'!P$7-'Advanced Entry'!P$6)),1))),"No data"))</f>
        <v/>
      </c>
      <c r="Q75" s="17">
        <f>IF('Advanced Entry'!Q75="","",IFERROR(MAX(0,MIN(10,ROUND(IF('Advanced Entry'!Q$8="Decrease Risk",10-10*((IF('Advanced Entry'!Q$5="Logarithm",LN(0.001+'Advanced Entry'!Q75),IF('Advanced Entry'!Q$5="Exponential",EXP('Advanced Entry'!Q75),'Advanced Entry'!Q75)))-'Advanced Entry'!Q$6)/('Advanced Entry'!Q$7-'Advanced Entry'!Q$6),10*((IF('Advanced Entry'!Q$5="Logarithm",LN(0.001+'Advanced Entry'!Q75),IF('Advanced Entry'!Q$5="Exponential",EXP('Advanced Entry'!Q75),'Advanced Entry'!Q75)))-'Advanced Entry'!Q$6)/('Advanced Entry'!Q$7-'Advanced Entry'!Q$6)),1))),"No data"))</f>
        <v/>
      </c>
      <c r="R75" s="17">
        <f>IF('Advanced Entry'!R75="","",IFERROR(MAX(0,MIN(10,ROUND(IF('Advanced Entry'!R$8="Decrease Risk",10-10*((IF('Advanced Entry'!R$5="Logarithm",LN(0.001+'Advanced Entry'!R75),IF('Advanced Entry'!R$5="Exponential",EXP('Advanced Entry'!R75),'Advanced Entry'!R75)))-'Advanced Entry'!R$6)/('Advanced Entry'!R$7-'Advanced Entry'!R$6),10*((IF('Advanced Entry'!R$5="Logarithm",LN(0.001+'Advanced Entry'!R75),IF('Advanced Entry'!R$5="Exponential",EXP('Advanced Entry'!R75),'Advanced Entry'!R75)))-'Advanced Entry'!R$6)/('Advanced Entry'!R$7-'Advanced Entry'!R$6)),1))),"No data"))</f>
        <v/>
      </c>
      <c r="S75" s="17">
        <f>IF('Advanced Entry'!S75="","",IFERROR(MAX(0,MIN(10,ROUND(IF('Advanced Entry'!S$8="Decrease Risk",10-10*((IF('Advanced Entry'!S$5="Logarithm",LN(0.001+'Advanced Entry'!S75),IF('Advanced Entry'!S$5="Exponential",EXP('Advanced Entry'!S75),'Advanced Entry'!S75)))-'Advanced Entry'!S$6)/('Advanced Entry'!S$7-'Advanced Entry'!S$6),10*((IF('Advanced Entry'!S$5="Logarithm",LN(0.001+'Advanced Entry'!S75),IF('Advanced Entry'!S$5="Exponential",EXP('Advanced Entry'!S75),'Advanced Entry'!S75)))-'Advanced Entry'!S$6)/('Advanced Entry'!S$7-'Advanced Entry'!S$6)),1))),"No data"))</f>
        <v/>
      </c>
      <c r="T75" s="17">
        <f>IF('Advanced Entry'!T75="","",IFERROR(MAX(0,MIN(10,ROUND(IF('Advanced Entry'!T$8="Decrease Risk",10-10*((IF('Advanced Entry'!T$5="Logarithm",LN(0.001+'Advanced Entry'!T75),IF('Advanced Entry'!T$5="Exponential",EXP('Advanced Entry'!T75),'Advanced Entry'!T75)))-'Advanced Entry'!T$6)/('Advanced Entry'!T$7-'Advanced Entry'!T$6),10*((IF('Advanced Entry'!T$5="Logarithm",LN(0.001+'Advanced Entry'!T75),IF('Advanced Entry'!T$5="Exponential",EXP('Advanced Entry'!T75),'Advanced Entry'!T75)))-'Advanced Entry'!T$6)/('Advanced Entry'!T$7-'Advanced Entry'!T$6)),1))),"No data"))</f>
        <v/>
      </c>
      <c r="U75" s="17">
        <f>IF('Advanced Entry'!U75="","",IFERROR(MAX(0,MIN(10,ROUND(IF('Advanced Entry'!U$8="Decrease Risk",10-10*((IF('Advanced Entry'!U$5="Logarithm",LN(0.001+'Advanced Entry'!U75),IF('Advanced Entry'!U$5="Exponential",EXP('Advanced Entry'!U75),'Advanced Entry'!U75)))-'Advanced Entry'!U$6)/('Advanced Entry'!U$7-'Advanced Entry'!U$6),10*((IF('Advanced Entry'!U$5="Logarithm",LN(0.001+'Advanced Entry'!U75),IF('Advanced Entry'!U$5="Exponential",EXP('Advanced Entry'!U75),'Advanced Entry'!U75)))-'Advanced Entry'!U$6)/('Advanced Entry'!U$7-'Advanced Entry'!U$6)),1))),"No data"))</f>
        <v/>
      </c>
      <c r="V75" s="17">
        <f>IF('Advanced Entry'!V75="","",IFERROR(MAX(0,MIN(10,ROUND(IF('Advanced Entry'!V$8="Decrease Risk",10-10*((IF('Advanced Entry'!V$5="Logarithm",LN(0.001+'Advanced Entry'!V75),IF('Advanced Entry'!V$5="Exponential",EXP('Advanced Entry'!V75),'Advanced Entry'!V75)))-'Advanced Entry'!V$6)/('Advanced Entry'!V$7-'Advanced Entry'!V$6),10*((IF('Advanced Entry'!V$5="Logarithm",LN(0.001+'Advanced Entry'!V75),IF('Advanced Entry'!V$5="Exponential",EXP('Advanced Entry'!V75),'Advanced Entry'!V75)))-'Advanced Entry'!V$6)/('Advanced Entry'!V$7-'Advanced Entry'!V$6)),1))),"No data"))</f>
        <v/>
      </c>
      <c r="W75" s="17">
        <f>IF('Advanced Entry'!W75="","",IFERROR(MAX(0,MIN(10,ROUND(IF('Advanced Entry'!W$8="Decrease Risk",10-10*((IF('Advanced Entry'!W$5="Logarithm",LN(0.001+'Advanced Entry'!W75),IF('Advanced Entry'!W$5="Exponential",EXP('Advanced Entry'!W75),'Advanced Entry'!W75)))-'Advanced Entry'!W$6)/('Advanced Entry'!W$7-'Advanced Entry'!W$6),10*((IF('Advanced Entry'!W$5="Logarithm",LN(0.001+'Advanced Entry'!W75),IF('Advanced Entry'!W$5="Exponential",EXP('Advanced Entry'!W75),'Advanced Entry'!W75)))-'Advanced Entry'!W$6)/('Advanced Entry'!W$7-'Advanced Entry'!W$6)),1))),"No data"))</f>
        <v/>
      </c>
      <c r="X75" s="17">
        <f>IF('Advanced Entry'!X75="","",IFERROR(MAX(0,MIN(10,ROUND(IF('Advanced Entry'!X$8="Decrease Risk",10-10*((IF('Advanced Entry'!X$5="Logarithm",LN(0.001+'Advanced Entry'!X75),IF('Advanced Entry'!X$5="Exponential",EXP('Advanced Entry'!X75),'Advanced Entry'!X75)))-'Advanced Entry'!X$6)/('Advanced Entry'!X$7-'Advanced Entry'!X$6),10*((IF('Advanced Entry'!X$5="Logarithm",LN(0.001+'Advanced Entry'!X75),IF('Advanced Entry'!X$5="Exponential",EXP('Advanced Entry'!X75),'Advanced Entry'!X75)))-'Advanced Entry'!X$6)/('Advanced Entry'!X$7-'Advanced Entry'!X$6)),1))),"No data"))</f>
        <v/>
      </c>
      <c r="Y75" s="17">
        <f>IF('Advanced Entry'!Y75="","",IFERROR(MAX(0,MIN(10,ROUND(IF('Advanced Entry'!Y$8="Decrease Risk",10-10*((IF('Advanced Entry'!Y$5="Logarithm",LN(0.001+'Advanced Entry'!Y75),IF('Advanced Entry'!Y$5="Exponential",EXP('Advanced Entry'!Y75),'Advanced Entry'!Y75)))-'Advanced Entry'!Y$6)/('Advanced Entry'!Y$7-'Advanced Entry'!Y$6),10*((IF('Advanced Entry'!Y$5="Logarithm",LN(0.001+'Advanced Entry'!Y75),IF('Advanced Entry'!Y$5="Exponential",EXP('Advanced Entry'!Y75),'Advanced Entry'!Y75)))-'Advanced Entry'!Y$6)/('Advanced Entry'!Y$7-'Advanced Entry'!Y$6)),1))),"No data"))</f>
        <v/>
      </c>
      <c r="Z75" s="17">
        <f>IF('Advanced Entry'!Z75="","",IFERROR(MAX(0,MIN(10,ROUND(IF('Advanced Entry'!Z$8="Decrease Risk",10-10*((IF('Advanced Entry'!Z$5="Logarithm",LN(0.001+'Advanced Entry'!Z75),IF('Advanced Entry'!Z$5="Exponential",EXP('Advanced Entry'!Z75),'Advanced Entry'!Z75)))-'Advanced Entry'!Z$6)/('Advanced Entry'!Z$7-'Advanced Entry'!Z$6),10*((IF('Advanced Entry'!Z$5="Logarithm",LN(0.001+'Advanced Entry'!Z75),IF('Advanced Entry'!Z$5="Exponential",EXP('Advanced Entry'!Z75),'Advanced Entry'!Z75)))-'Advanced Entry'!Z$6)/('Advanced Entry'!Z$7-'Advanced Entry'!Z$6)),1))),"No data"))</f>
        <v/>
      </c>
      <c r="AA75" s="17">
        <f>IF('Advanced Entry'!AA75="","",IFERROR(MAX(0,MIN(10,ROUND(IF('Advanced Entry'!AA$8="Decrease Risk",10-10*((IF('Advanced Entry'!AA$5="Logarithm",LN(0.001+'Advanced Entry'!AA75),IF('Advanced Entry'!AA$5="Exponential",EXP('Advanced Entry'!AA75),'Advanced Entry'!AA75)))-'Advanced Entry'!AA$6)/('Advanced Entry'!AA$7-'Advanced Entry'!AA$6),10*((IF('Advanced Entry'!AA$5="Logarithm",LN(0.001+'Advanced Entry'!AA75),IF('Advanced Entry'!AA$5="Exponential",EXP('Advanced Entry'!AA75),'Advanced Entry'!AA75)))-'Advanced Entry'!AA$6)/('Advanced Entry'!AA$7-'Advanced Entry'!AA$6)),1))),"No data"))</f>
        <v/>
      </c>
      <c r="AB75" s="17">
        <f>IF('Advanced Entry'!AB75="","",IFERROR(MAX(0,MIN(10,ROUND(IF('Advanced Entry'!AB$8="Decrease Risk",10-10*((IF('Advanced Entry'!AB$5="Logarithm",LN(0.001+'Advanced Entry'!AB75),IF('Advanced Entry'!AB$5="Exponential",EXP('Advanced Entry'!AB75),'Advanced Entry'!AB75)))-'Advanced Entry'!AB$6)/('Advanced Entry'!AB$7-'Advanced Entry'!AB$6),10*((IF('Advanced Entry'!AB$5="Logarithm",LN(0.001+'Advanced Entry'!AB75),IF('Advanced Entry'!AB$5="Exponential",EXP('Advanced Entry'!AB75),'Advanced Entry'!AB75)))-'Advanced Entry'!AB$6)/('Advanced Entry'!AB$7-'Advanced Entry'!AB$6)),1))),"No data"))</f>
        <v/>
      </c>
    </row>
    <row r="76">
      <c r="A76" t="inlineStr">
        <is>
          <t>Kusini Unguja</t>
        </is>
      </c>
      <c r="B76" t="inlineStr">
        <is>
          <t>Kati Town</t>
        </is>
      </c>
      <c r="C76" t="inlineStr">
        <is>
          <t>C187</t>
        </is>
      </c>
      <c r="D76" s="17">
        <f>IF('Advanced Entry'!D76="","",IFERROR(MAX(0,MIN(10,ROUND(IF('Advanced Entry'!D$8="Decrease Risk",10-10*((IF('Advanced Entry'!D$5="Logarithm",LN(0.001+'Advanced Entry'!D76),IF('Advanced Entry'!D$5="Exponential",EXP('Advanced Entry'!D76),'Advanced Entry'!D76)))-'Advanced Entry'!D$6)/('Advanced Entry'!D$7-'Advanced Entry'!D$6),10*((IF('Advanced Entry'!D$5="Logarithm",LN(0.001+'Advanced Entry'!D76),IF('Advanced Entry'!D$5="Exponential",EXP('Advanced Entry'!D76),'Advanced Entry'!D76)))-'Advanced Entry'!D$6)/('Advanced Entry'!D$7-'Advanced Entry'!D$6)),1))),"No data"))</f>
        <v/>
      </c>
      <c r="E76" s="17">
        <f>IF('Advanced Entry'!E76="","",IFERROR(MAX(0,MIN(10,ROUND(IF('Advanced Entry'!E$8="Decrease Risk",10-10*((IF('Advanced Entry'!E$5="Logarithm",LN(0.001+'Advanced Entry'!E76),IF('Advanced Entry'!E$5="Exponential",EXP('Advanced Entry'!E76),'Advanced Entry'!E76)))-'Advanced Entry'!E$6)/('Advanced Entry'!E$7-'Advanced Entry'!E$6),10*((IF('Advanced Entry'!E$5="Logarithm",LN(0.001+'Advanced Entry'!E76),IF('Advanced Entry'!E$5="Exponential",EXP('Advanced Entry'!E76),'Advanced Entry'!E76)))-'Advanced Entry'!E$6)/('Advanced Entry'!E$7-'Advanced Entry'!E$6)),1))),"No data"))</f>
        <v/>
      </c>
      <c r="F76" s="17">
        <f>IF('Advanced Entry'!F76="","",IFERROR(MAX(0,MIN(10,ROUND(IF('Advanced Entry'!F$8="Decrease Risk",10-10*((IF('Advanced Entry'!F$5="Logarithm",LN(0.001+'Advanced Entry'!F76),IF('Advanced Entry'!F$5="Exponential",EXP('Advanced Entry'!F76),'Advanced Entry'!F76)))-'Advanced Entry'!F$6)/('Advanced Entry'!F$7-'Advanced Entry'!F$6),10*((IF('Advanced Entry'!F$5="Logarithm",LN(0.001+'Advanced Entry'!F76),IF('Advanced Entry'!F$5="Exponential",EXP('Advanced Entry'!F76),'Advanced Entry'!F76)))-'Advanced Entry'!F$6)/('Advanced Entry'!F$7-'Advanced Entry'!F$6)),1))),"No data"))</f>
        <v/>
      </c>
      <c r="G76" s="17">
        <f>IF('Advanced Entry'!G76="","",IFERROR(MAX(0,MIN(10,ROUND(IF('Advanced Entry'!G$8="Decrease Risk",10-10*((IF('Advanced Entry'!G$5="Logarithm",LN(0.001+'Advanced Entry'!G76),IF('Advanced Entry'!G$5="Exponential",EXP('Advanced Entry'!G76),'Advanced Entry'!G76)))-'Advanced Entry'!G$6)/('Advanced Entry'!G$7-'Advanced Entry'!G$6),10*((IF('Advanced Entry'!G$5="Logarithm",LN(0.001+'Advanced Entry'!G76),IF('Advanced Entry'!G$5="Exponential",EXP('Advanced Entry'!G76),'Advanced Entry'!G76)))-'Advanced Entry'!G$6)/('Advanced Entry'!G$7-'Advanced Entry'!G$6)),1))),"No data"))</f>
        <v/>
      </c>
      <c r="H76" s="17">
        <f>IF('Advanced Entry'!H76="","",IFERROR(MAX(0,MIN(10,ROUND(IF('Advanced Entry'!H$8="Decrease Risk",10-10*((IF('Advanced Entry'!H$5="Logarithm",LN(0.001+'Advanced Entry'!H76),IF('Advanced Entry'!H$5="Exponential",EXP('Advanced Entry'!H76),'Advanced Entry'!H76)))-'Advanced Entry'!H$6)/('Advanced Entry'!H$7-'Advanced Entry'!H$6),10*((IF('Advanced Entry'!H$5="Logarithm",LN(0.001+'Advanced Entry'!H76),IF('Advanced Entry'!H$5="Exponential",EXP('Advanced Entry'!H76),'Advanced Entry'!H76)))-'Advanced Entry'!H$6)/('Advanced Entry'!H$7-'Advanced Entry'!H$6)),1))),"No data"))</f>
        <v/>
      </c>
      <c r="I76" s="17">
        <f>IF('Advanced Entry'!I76="","",IFERROR(MAX(0,MIN(10,ROUND(IF('Advanced Entry'!I$8="Decrease Risk",10-10*((IF('Advanced Entry'!I$5="Logarithm",LN(0.001+'Advanced Entry'!I76),IF('Advanced Entry'!I$5="Exponential",EXP('Advanced Entry'!I76),'Advanced Entry'!I76)))-'Advanced Entry'!I$6)/('Advanced Entry'!I$7-'Advanced Entry'!I$6),10*((IF('Advanced Entry'!I$5="Logarithm",LN(0.001+'Advanced Entry'!I76),IF('Advanced Entry'!I$5="Exponential",EXP('Advanced Entry'!I76),'Advanced Entry'!I76)))-'Advanced Entry'!I$6)/('Advanced Entry'!I$7-'Advanced Entry'!I$6)),1))),"No data"))</f>
        <v/>
      </c>
      <c r="J76" s="17">
        <f>IF('Advanced Entry'!J76="","",IFERROR(MAX(0,MIN(10,ROUND(IF('Advanced Entry'!J$8="Decrease Risk",10-10*((IF('Advanced Entry'!J$5="Logarithm",LN(0.001+'Advanced Entry'!J76),IF('Advanced Entry'!J$5="Exponential",EXP('Advanced Entry'!J76),'Advanced Entry'!J76)))-'Advanced Entry'!J$6)/('Advanced Entry'!J$7-'Advanced Entry'!J$6),10*((IF('Advanced Entry'!J$5="Logarithm",LN(0.001+'Advanced Entry'!J76),IF('Advanced Entry'!J$5="Exponential",EXP('Advanced Entry'!J76),'Advanced Entry'!J76)))-'Advanced Entry'!J$6)/('Advanced Entry'!J$7-'Advanced Entry'!J$6)),1))),"No data"))</f>
        <v/>
      </c>
      <c r="K76" s="17">
        <f>IF('Advanced Entry'!K76="","",IFERROR(MAX(0,MIN(10,ROUND(IF('Advanced Entry'!K$8="Decrease Risk",10-10*((IF('Advanced Entry'!K$5="Logarithm",LN(0.001+'Advanced Entry'!K76),IF('Advanced Entry'!K$5="Exponential",EXP('Advanced Entry'!K76),'Advanced Entry'!K76)))-'Advanced Entry'!K$6)/('Advanced Entry'!K$7-'Advanced Entry'!K$6),10*((IF('Advanced Entry'!K$5="Logarithm",LN(0.001+'Advanced Entry'!K76),IF('Advanced Entry'!K$5="Exponential",EXP('Advanced Entry'!K76),'Advanced Entry'!K76)))-'Advanced Entry'!K$6)/('Advanced Entry'!K$7-'Advanced Entry'!K$6)),1))),"No data"))</f>
        <v/>
      </c>
      <c r="L76" s="17">
        <f>IF('Advanced Entry'!L76="","",IFERROR(MAX(0,MIN(10,ROUND(IF('Advanced Entry'!L$8="Decrease Risk",10-10*((IF('Advanced Entry'!L$5="Logarithm",LN(0.001+'Advanced Entry'!L76),IF('Advanced Entry'!L$5="Exponential",EXP('Advanced Entry'!L76),'Advanced Entry'!L76)))-'Advanced Entry'!L$6)/('Advanced Entry'!L$7-'Advanced Entry'!L$6),10*((IF('Advanced Entry'!L$5="Logarithm",LN(0.001+'Advanced Entry'!L76),IF('Advanced Entry'!L$5="Exponential",EXP('Advanced Entry'!L76),'Advanced Entry'!L76)))-'Advanced Entry'!L$6)/('Advanced Entry'!L$7-'Advanced Entry'!L$6)),1))),"No data"))</f>
        <v/>
      </c>
      <c r="M76" s="17">
        <f>IF('Advanced Entry'!M76="","",IFERROR(MAX(0,MIN(10,ROUND(IF('Advanced Entry'!M$8="Decrease Risk",10-10*((IF('Advanced Entry'!M$5="Logarithm",LN(0.001+'Advanced Entry'!M76),IF('Advanced Entry'!M$5="Exponential",EXP('Advanced Entry'!M76),'Advanced Entry'!M76)))-'Advanced Entry'!M$6)/('Advanced Entry'!M$7-'Advanced Entry'!M$6),10*((IF('Advanced Entry'!M$5="Logarithm",LN(0.001+'Advanced Entry'!M76),IF('Advanced Entry'!M$5="Exponential",EXP('Advanced Entry'!M76),'Advanced Entry'!M76)))-'Advanced Entry'!M$6)/('Advanced Entry'!M$7-'Advanced Entry'!M$6)),1))),"No data"))</f>
        <v/>
      </c>
      <c r="N76" s="17">
        <f>IF('Advanced Entry'!N76="","",IFERROR(MAX(0,MIN(10,ROUND(IF('Advanced Entry'!N$8="Decrease Risk",10-10*((IF('Advanced Entry'!N$5="Logarithm",LN(0.001+'Advanced Entry'!N76),IF('Advanced Entry'!N$5="Exponential",EXP('Advanced Entry'!N76),'Advanced Entry'!N76)))-'Advanced Entry'!N$6)/('Advanced Entry'!N$7-'Advanced Entry'!N$6),10*((IF('Advanced Entry'!N$5="Logarithm",LN(0.001+'Advanced Entry'!N76),IF('Advanced Entry'!N$5="Exponential",EXP('Advanced Entry'!N76),'Advanced Entry'!N76)))-'Advanced Entry'!N$6)/('Advanced Entry'!N$7-'Advanced Entry'!N$6)),1))),"No data"))</f>
        <v/>
      </c>
      <c r="O76" s="17">
        <f>IF('Advanced Entry'!O76="","",IFERROR(MAX(0,MIN(10,ROUND(IF('Advanced Entry'!O$8="Decrease Risk",10-10*((IF('Advanced Entry'!O$5="Logarithm",LN(0.001+'Advanced Entry'!O76),IF('Advanced Entry'!O$5="Exponential",EXP('Advanced Entry'!O76),'Advanced Entry'!O76)))-'Advanced Entry'!O$6)/('Advanced Entry'!O$7-'Advanced Entry'!O$6),10*((IF('Advanced Entry'!O$5="Logarithm",LN(0.001+'Advanced Entry'!O76),IF('Advanced Entry'!O$5="Exponential",EXP('Advanced Entry'!O76),'Advanced Entry'!O76)))-'Advanced Entry'!O$6)/('Advanced Entry'!O$7-'Advanced Entry'!O$6)),1))),"No data"))</f>
        <v/>
      </c>
      <c r="P76" s="17">
        <f>IF('Advanced Entry'!P76="","",IFERROR(MAX(0,MIN(10,ROUND(IF('Advanced Entry'!P$8="Decrease Risk",10-10*((IF('Advanced Entry'!P$5="Logarithm",LN(0.001+'Advanced Entry'!P76),IF('Advanced Entry'!P$5="Exponential",EXP('Advanced Entry'!P76),'Advanced Entry'!P76)))-'Advanced Entry'!P$6)/('Advanced Entry'!P$7-'Advanced Entry'!P$6),10*((IF('Advanced Entry'!P$5="Logarithm",LN(0.001+'Advanced Entry'!P76),IF('Advanced Entry'!P$5="Exponential",EXP('Advanced Entry'!P76),'Advanced Entry'!P76)))-'Advanced Entry'!P$6)/('Advanced Entry'!P$7-'Advanced Entry'!P$6)),1))),"No data"))</f>
        <v/>
      </c>
      <c r="Q76" s="17">
        <f>IF('Advanced Entry'!Q76="","",IFERROR(MAX(0,MIN(10,ROUND(IF('Advanced Entry'!Q$8="Decrease Risk",10-10*((IF('Advanced Entry'!Q$5="Logarithm",LN(0.001+'Advanced Entry'!Q76),IF('Advanced Entry'!Q$5="Exponential",EXP('Advanced Entry'!Q76),'Advanced Entry'!Q76)))-'Advanced Entry'!Q$6)/('Advanced Entry'!Q$7-'Advanced Entry'!Q$6),10*((IF('Advanced Entry'!Q$5="Logarithm",LN(0.001+'Advanced Entry'!Q76),IF('Advanced Entry'!Q$5="Exponential",EXP('Advanced Entry'!Q76),'Advanced Entry'!Q76)))-'Advanced Entry'!Q$6)/('Advanced Entry'!Q$7-'Advanced Entry'!Q$6)),1))),"No data"))</f>
        <v/>
      </c>
      <c r="R76" s="17">
        <f>IF('Advanced Entry'!R76="","",IFERROR(MAX(0,MIN(10,ROUND(IF('Advanced Entry'!R$8="Decrease Risk",10-10*((IF('Advanced Entry'!R$5="Logarithm",LN(0.001+'Advanced Entry'!R76),IF('Advanced Entry'!R$5="Exponential",EXP('Advanced Entry'!R76),'Advanced Entry'!R76)))-'Advanced Entry'!R$6)/('Advanced Entry'!R$7-'Advanced Entry'!R$6),10*((IF('Advanced Entry'!R$5="Logarithm",LN(0.001+'Advanced Entry'!R76),IF('Advanced Entry'!R$5="Exponential",EXP('Advanced Entry'!R76),'Advanced Entry'!R76)))-'Advanced Entry'!R$6)/('Advanced Entry'!R$7-'Advanced Entry'!R$6)),1))),"No data"))</f>
        <v/>
      </c>
      <c r="S76" s="17">
        <f>IF('Advanced Entry'!S76="","",IFERROR(MAX(0,MIN(10,ROUND(IF('Advanced Entry'!S$8="Decrease Risk",10-10*((IF('Advanced Entry'!S$5="Logarithm",LN(0.001+'Advanced Entry'!S76),IF('Advanced Entry'!S$5="Exponential",EXP('Advanced Entry'!S76),'Advanced Entry'!S76)))-'Advanced Entry'!S$6)/('Advanced Entry'!S$7-'Advanced Entry'!S$6),10*((IF('Advanced Entry'!S$5="Logarithm",LN(0.001+'Advanced Entry'!S76),IF('Advanced Entry'!S$5="Exponential",EXP('Advanced Entry'!S76),'Advanced Entry'!S76)))-'Advanced Entry'!S$6)/('Advanced Entry'!S$7-'Advanced Entry'!S$6)),1))),"No data"))</f>
        <v/>
      </c>
      <c r="T76" s="17">
        <f>IF('Advanced Entry'!T76="","",IFERROR(MAX(0,MIN(10,ROUND(IF('Advanced Entry'!T$8="Decrease Risk",10-10*((IF('Advanced Entry'!T$5="Logarithm",LN(0.001+'Advanced Entry'!T76),IF('Advanced Entry'!T$5="Exponential",EXP('Advanced Entry'!T76),'Advanced Entry'!T76)))-'Advanced Entry'!T$6)/('Advanced Entry'!T$7-'Advanced Entry'!T$6),10*((IF('Advanced Entry'!T$5="Logarithm",LN(0.001+'Advanced Entry'!T76),IF('Advanced Entry'!T$5="Exponential",EXP('Advanced Entry'!T76),'Advanced Entry'!T76)))-'Advanced Entry'!T$6)/('Advanced Entry'!T$7-'Advanced Entry'!T$6)),1))),"No data"))</f>
        <v/>
      </c>
      <c r="U76" s="17">
        <f>IF('Advanced Entry'!U76="","",IFERROR(MAX(0,MIN(10,ROUND(IF('Advanced Entry'!U$8="Decrease Risk",10-10*((IF('Advanced Entry'!U$5="Logarithm",LN(0.001+'Advanced Entry'!U76),IF('Advanced Entry'!U$5="Exponential",EXP('Advanced Entry'!U76),'Advanced Entry'!U76)))-'Advanced Entry'!U$6)/('Advanced Entry'!U$7-'Advanced Entry'!U$6),10*((IF('Advanced Entry'!U$5="Logarithm",LN(0.001+'Advanced Entry'!U76),IF('Advanced Entry'!U$5="Exponential",EXP('Advanced Entry'!U76),'Advanced Entry'!U76)))-'Advanced Entry'!U$6)/('Advanced Entry'!U$7-'Advanced Entry'!U$6)),1))),"No data"))</f>
        <v/>
      </c>
      <c r="V76" s="17">
        <f>IF('Advanced Entry'!V76="","",IFERROR(MAX(0,MIN(10,ROUND(IF('Advanced Entry'!V$8="Decrease Risk",10-10*((IF('Advanced Entry'!V$5="Logarithm",LN(0.001+'Advanced Entry'!V76),IF('Advanced Entry'!V$5="Exponential",EXP('Advanced Entry'!V76),'Advanced Entry'!V76)))-'Advanced Entry'!V$6)/('Advanced Entry'!V$7-'Advanced Entry'!V$6),10*((IF('Advanced Entry'!V$5="Logarithm",LN(0.001+'Advanced Entry'!V76),IF('Advanced Entry'!V$5="Exponential",EXP('Advanced Entry'!V76),'Advanced Entry'!V76)))-'Advanced Entry'!V$6)/('Advanced Entry'!V$7-'Advanced Entry'!V$6)),1))),"No data"))</f>
        <v/>
      </c>
      <c r="W76" s="17">
        <f>IF('Advanced Entry'!W76="","",IFERROR(MAX(0,MIN(10,ROUND(IF('Advanced Entry'!W$8="Decrease Risk",10-10*((IF('Advanced Entry'!W$5="Logarithm",LN(0.001+'Advanced Entry'!W76),IF('Advanced Entry'!W$5="Exponential",EXP('Advanced Entry'!W76),'Advanced Entry'!W76)))-'Advanced Entry'!W$6)/('Advanced Entry'!W$7-'Advanced Entry'!W$6),10*((IF('Advanced Entry'!W$5="Logarithm",LN(0.001+'Advanced Entry'!W76),IF('Advanced Entry'!W$5="Exponential",EXP('Advanced Entry'!W76),'Advanced Entry'!W76)))-'Advanced Entry'!W$6)/('Advanced Entry'!W$7-'Advanced Entry'!W$6)),1))),"No data"))</f>
        <v/>
      </c>
      <c r="X76" s="17">
        <f>IF('Advanced Entry'!X76="","",IFERROR(MAX(0,MIN(10,ROUND(IF('Advanced Entry'!X$8="Decrease Risk",10-10*((IF('Advanced Entry'!X$5="Logarithm",LN(0.001+'Advanced Entry'!X76),IF('Advanced Entry'!X$5="Exponential",EXP('Advanced Entry'!X76),'Advanced Entry'!X76)))-'Advanced Entry'!X$6)/('Advanced Entry'!X$7-'Advanced Entry'!X$6),10*((IF('Advanced Entry'!X$5="Logarithm",LN(0.001+'Advanced Entry'!X76),IF('Advanced Entry'!X$5="Exponential",EXP('Advanced Entry'!X76),'Advanced Entry'!X76)))-'Advanced Entry'!X$6)/('Advanced Entry'!X$7-'Advanced Entry'!X$6)),1))),"No data"))</f>
        <v/>
      </c>
      <c r="Y76" s="17">
        <f>IF('Advanced Entry'!Y76="","",IFERROR(MAX(0,MIN(10,ROUND(IF('Advanced Entry'!Y$8="Decrease Risk",10-10*((IF('Advanced Entry'!Y$5="Logarithm",LN(0.001+'Advanced Entry'!Y76),IF('Advanced Entry'!Y$5="Exponential",EXP('Advanced Entry'!Y76),'Advanced Entry'!Y76)))-'Advanced Entry'!Y$6)/('Advanced Entry'!Y$7-'Advanced Entry'!Y$6),10*((IF('Advanced Entry'!Y$5="Logarithm",LN(0.001+'Advanced Entry'!Y76),IF('Advanced Entry'!Y$5="Exponential",EXP('Advanced Entry'!Y76),'Advanced Entry'!Y76)))-'Advanced Entry'!Y$6)/('Advanced Entry'!Y$7-'Advanced Entry'!Y$6)),1))),"No data"))</f>
        <v/>
      </c>
      <c r="Z76" s="17">
        <f>IF('Advanced Entry'!Z76="","",IFERROR(MAX(0,MIN(10,ROUND(IF('Advanced Entry'!Z$8="Decrease Risk",10-10*((IF('Advanced Entry'!Z$5="Logarithm",LN(0.001+'Advanced Entry'!Z76),IF('Advanced Entry'!Z$5="Exponential",EXP('Advanced Entry'!Z76),'Advanced Entry'!Z76)))-'Advanced Entry'!Z$6)/('Advanced Entry'!Z$7-'Advanced Entry'!Z$6),10*((IF('Advanced Entry'!Z$5="Logarithm",LN(0.001+'Advanced Entry'!Z76),IF('Advanced Entry'!Z$5="Exponential",EXP('Advanced Entry'!Z76),'Advanced Entry'!Z76)))-'Advanced Entry'!Z$6)/('Advanced Entry'!Z$7-'Advanced Entry'!Z$6)),1))),"No data"))</f>
        <v/>
      </c>
      <c r="AA76" s="17">
        <f>IF('Advanced Entry'!AA76="","",IFERROR(MAX(0,MIN(10,ROUND(IF('Advanced Entry'!AA$8="Decrease Risk",10-10*((IF('Advanced Entry'!AA$5="Logarithm",LN(0.001+'Advanced Entry'!AA76),IF('Advanced Entry'!AA$5="Exponential",EXP('Advanced Entry'!AA76),'Advanced Entry'!AA76)))-'Advanced Entry'!AA$6)/('Advanced Entry'!AA$7-'Advanced Entry'!AA$6),10*((IF('Advanced Entry'!AA$5="Logarithm",LN(0.001+'Advanced Entry'!AA76),IF('Advanced Entry'!AA$5="Exponential",EXP('Advanced Entry'!AA76),'Advanced Entry'!AA76)))-'Advanced Entry'!AA$6)/('Advanced Entry'!AA$7-'Advanced Entry'!AA$6)),1))),"No data"))</f>
        <v/>
      </c>
      <c r="AB76" s="17">
        <f>IF('Advanced Entry'!AB76="","",IFERROR(MAX(0,MIN(10,ROUND(IF('Advanced Entry'!AB$8="Decrease Risk",10-10*((IF('Advanced Entry'!AB$5="Logarithm",LN(0.001+'Advanced Entry'!AB76),IF('Advanced Entry'!AB$5="Exponential",EXP('Advanced Entry'!AB76),'Advanced Entry'!AB76)))-'Advanced Entry'!AB$6)/('Advanced Entry'!AB$7-'Advanced Entry'!AB$6),10*((IF('Advanced Entry'!AB$5="Logarithm",LN(0.001+'Advanced Entry'!AB76),IF('Advanced Entry'!AB$5="Exponential",EXP('Advanced Entry'!AB76),'Advanced Entry'!AB76)))-'Advanced Entry'!AB$6)/('Advanced Entry'!AB$7-'Advanced Entry'!AB$6)),1))),"No data"))</f>
        <v/>
      </c>
    </row>
    <row r="77">
      <c r="A77" t="inlineStr">
        <is>
          <t>Kusini Unguja</t>
        </is>
      </c>
      <c r="B77" t="inlineStr">
        <is>
          <t>Kusini District</t>
        </is>
      </c>
      <c r="C77" t="inlineStr">
        <is>
          <t>C188</t>
        </is>
      </c>
      <c r="D77" s="17">
        <f>IF('Advanced Entry'!D77="","",IFERROR(MAX(0,MIN(10,ROUND(IF('Advanced Entry'!D$8="Decrease Risk",10-10*((IF('Advanced Entry'!D$5="Logarithm",LN(0.001+'Advanced Entry'!D77),IF('Advanced Entry'!D$5="Exponential",EXP('Advanced Entry'!D77),'Advanced Entry'!D77)))-'Advanced Entry'!D$6)/('Advanced Entry'!D$7-'Advanced Entry'!D$6),10*((IF('Advanced Entry'!D$5="Logarithm",LN(0.001+'Advanced Entry'!D77),IF('Advanced Entry'!D$5="Exponential",EXP('Advanced Entry'!D77),'Advanced Entry'!D77)))-'Advanced Entry'!D$6)/('Advanced Entry'!D$7-'Advanced Entry'!D$6)),1))),"No data"))</f>
        <v/>
      </c>
      <c r="E77" s="17">
        <f>IF('Advanced Entry'!E77="","",IFERROR(MAX(0,MIN(10,ROUND(IF('Advanced Entry'!E$8="Decrease Risk",10-10*((IF('Advanced Entry'!E$5="Logarithm",LN(0.001+'Advanced Entry'!E77),IF('Advanced Entry'!E$5="Exponential",EXP('Advanced Entry'!E77),'Advanced Entry'!E77)))-'Advanced Entry'!E$6)/('Advanced Entry'!E$7-'Advanced Entry'!E$6),10*((IF('Advanced Entry'!E$5="Logarithm",LN(0.001+'Advanced Entry'!E77),IF('Advanced Entry'!E$5="Exponential",EXP('Advanced Entry'!E77),'Advanced Entry'!E77)))-'Advanced Entry'!E$6)/('Advanced Entry'!E$7-'Advanced Entry'!E$6)),1))),"No data"))</f>
        <v/>
      </c>
      <c r="F77" s="17">
        <f>IF('Advanced Entry'!F77="","",IFERROR(MAX(0,MIN(10,ROUND(IF('Advanced Entry'!F$8="Decrease Risk",10-10*((IF('Advanced Entry'!F$5="Logarithm",LN(0.001+'Advanced Entry'!F77),IF('Advanced Entry'!F$5="Exponential",EXP('Advanced Entry'!F77),'Advanced Entry'!F77)))-'Advanced Entry'!F$6)/('Advanced Entry'!F$7-'Advanced Entry'!F$6),10*((IF('Advanced Entry'!F$5="Logarithm",LN(0.001+'Advanced Entry'!F77),IF('Advanced Entry'!F$5="Exponential",EXP('Advanced Entry'!F77),'Advanced Entry'!F77)))-'Advanced Entry'!F$6)/('Advanced Entry'!F$7-'Advanced Entry'!F$6)),1))),"No data"))</f>
        <v/>
      </c>
      <c r="G77" s="17">
        <f>IF('Advanced Entry'!G77="","",IFERROR(MAX(0,MIN(10,ROUND(IF('Advanced Entry'!G$8="Decrease Risk",10-10*((IF('Advanced Entry'!G$5="Logarithm",LN(0.001+'Advanced Entry'!G77),IF('Advanced Entry'!G$5="Exponential",EXP('Advanced Entry'!G77),'Advanced Entry'!G77)))-'Advanced Entry'!G$6)/('Advanced Entry'!G$7-'Advanced Entry'!G$6),10*((IF('Advanced Entry'!G$5="Logarithm",LN(0.001+'Advanced Entry'!G77),IF('Advanced Entry'!G$5="Exponential",EXP('Advanced Entry'!G77),'Advanced Entry'!G77)))-'Advanced Entry'!G$6)/('Advanced Entry'!G$7-'Advanced Entry'!G$6)),1))),"No data"))</f>
        <v/>
      </c>
      <c r="H77" s="17">
        <f>IF('Advanced Entry'!H77="","",IFERROR(MAX(0,MIN(10,ROUND(IF('Advanced Entry'!H$8="Decrease Risk",10-10*((IF('Advanced Entry'!H$5="Logarithm",LN(0.001+'Advanced Entry'!H77),IF('Advanced Entry'!H$5="Exponential",EXP('Advanced Entry'!H77),'Advanced Entry'!H77)))-'Advanced Entry'!H$6)/('Advanced Entry'!H$7-'Advanced Entry'!H$6),10*((IF('Advanced Entry'!H$5="Logarithm",LN(0.001+'Advanced Entry'!H77),IF('Advanced Entry'!H$5="Exponential",EXP('Advanced Entry'!H77),'Advanced Entry'!H77)))-'Advanced Entry'!H$6)/('Advanced Entry'!H$7-'Advanced Entry'!H$6)),1))),"No data"))</f>
        <v/>
      </c>
      <c r="I77" s="17">
        <f>IF('Advanced Entry'!I77="","",IFERROR(MAX(0,MIN(10,ROUND(IF('Advanced Entry'!I$8="Decrease Risk",10-10*((IF('Advanced Entry'!I$5="Logarithm",LN(0.001+'Advanced Entry'!I77),IF('Advanced Entry'!I$5="Exponential",EXP('Advanced Entry'!I77),'Advanced Entry'!I77)))-'Advanced Entry'!I$6)/('Advanced Entry'!I$7-'Advanced Entry'!I$6),10*((IF('Advanced Entry'!I$5="Logarithm",LN(0.001+'Advanced Entry'!I77),IF('Advanced Entry'!I$5="Exponential",EXP('Advanced Entry'!I77),'Advanced Entry'!I77)))-'Advanced Entry'!I$6)/('Advanced Entry'!I$7-'Advanced Entry'!I$6)),1))),"No data"))</f>
        <v/>
      </c>
      <c r="J77" s="17">
        <f>IF('Advanced Entry'!J77="","",IFERROR(MAX(0,MIN(10,ROUND(IF('Advanced Entry'!J$8="Decrease Risk",10-10*((IF('Advanced Entry'!J$5="Logarithm",LN(0.001+'Advanced Entry'!J77),IF('Advanced Entry'!J$5="Exponential",EXP('Advanced Entry'!J77),'Advanced Entry'!J77)))-'Advanced Entry'!J$6)/('Advanced Entry'!J$7-'Advanced Entry'!J$6),10*((IF('Advanced Entry'!J$5="Logarithm",LN(0.001+'Advanced Entry'!J77),IF('Advanced Entry'!J$5="Exponential",EXP('Advanced Entry'!J77),'Advanced Entry'!J77)))-'Advanced Entry'!J$6)/('Advanced Entry'!J$7-'Advanced Entry'!J$6)),1))),"No data"))</f>
        <v/>
      </c>
      <c r="K77" s="17">
        <f>IF('Advanced Entry'!K77="","",IFERROR(MAX(0,MIN(10,ROUND(IF('Advanced Entry'!K$8="Decrease Risk",10-10*((IF('Advanced Entry'!K$5="Logarithm",LN(0.001+'Advanced Entry'!K77),IF('Advanced Entry'!K$5="Exponential",EXP('Advanced Entry'!K77),'Advanced Entry'!K77)))-'Advanced Entry'!K$6)/('Advanced Entry'!K$7-'Advanced Entry'!K$6),10*((IF('Advanced Entry'!K$5="Logarithm",LN(0.001+'Advanced Entry'!K77),IF('Advanced Entry'!K$5="Exponential",EXP('Advanced Entry'!K77),'Advanced Entry'!K77)))-'Advanced Entry'!K$6)/('Advanced Entry'!K$7-'Advanced Entry'!K$6)),1))),"No data"))</f>
        <v/>
      </c>
      <c r="L77" s="17">
        <f>IF('Advanced Entry'!L77="","",IFERROR(MAX(0,MIN(10,ROUND(IF('Advanced Entry'!L$8="Decrease Risk",10-10*((IF('Advanced Entry'!L$5="Logarithm",LN(0.001+'Advanced Entry'!L77),IF('Advanced Entry'!L$5="Exponential",EXP('Advanced Entry'!L77),'Advanced Entry'!L77)))-'Advanced Entry'!L$6)/('Advanced Entry'!L$7-'Advanced Entry'!L$6),10*((IF('Advanced Entry'!L$5="Logarithm",LN(0.001+'Advanced Entry'!L77),IF('Advanced Entry'!L$5="Exponential",EXP('Advanced Entry'!L77),'Advanced Entry'!L77)))-'Advanced Entry'!L$6)/('Advanced Entry'!L$7-'Advanced Entry'!L$6)),1))),"No data"))</f>
        <v/>
      </c>
      <c r="M77" s="17">
        <f>IF('Advanced Entry'!M77="","",IFERROR(MAX(0,MIN(10,ROUND(IF('Advanced Entry'!M$8="Decrease Risk",10-10*((IF('Advanced Entry'!M$5="Logarithm",LN(0.001+'Advanced Entry'!M77),IF('Advanced Entry'!M$5="Exponential",EXP('Advanced Entry'!M77),'Advanced Entry'!M77)))-'Advanced Entry'!M$6)/('Advanced Entry'!M$7-'Advanced Entry'!M$6),10*((IF('Advanced Entry'!M$5="Logarithm",LN(0.001+'Advanced Entry'!M77),IF('Advanced Entry'!M$5="Exponential",EXP('Advanced Entry'!M77),'Advanced Entry'!M77)))-'Advanced Entry'!M$6)/('Advanced Entry'!M$7-'Advanced Entry'!M$6)),1))),"No data"))</f>
        <v/>
      </c>
      <c r="N77" s="17">
        <f>IF('Advanced Entry'!N77="","",IFERROR(MAX(0,MIN(10,ROUND(IF('Advanced Entry'!N$8="Decrease Risk",10-10*((IF('Advanced Entry'!N$5="Logarithm",LN(0.001+'Advanced Entry'!N77),IF('Advanced Entry'!N$5="Exponential",EXP('Advanced Entry'!N77),'Advanced Entry'!N77)))-'Advanced Entry'!N$6)/('Advanced Entry'!N$7-'Advanced Entry'!N$6),10*((IF('Advanced Entry'!N$5="Logarithm",LN(0.001+'Advanced Entry'!N77),IF('Advanced Entry'!N$5="Exponential",EXP('Advanced Entry'!N77),'Advanced Entry'!N77)))-'Advanced Entry'!N$6)/('Advanced Entry'!N$7-'Advanced Entry'!N$6)),1))),"No data"))</f>
        <v/>
      </c>
      <c r="O77" s="17">
        <f>IF('Advanced Entry'!O77="","",IFERROR(MAX(0,MIN(10,ROUND(IF('Advanced Entry'!O$8="Decrease Risk",10-10*((IF('Advanced Entry'!O$5="Logarithm",LN(0.001+'Advanced Entry'!O77),IF('Advanced Entry'!O$5="Exponential",EXP('Advanced Entry'!O77),'Advanced Entry'!O77)))-'Advanced Entry'!O$6)/('Advanced Entry'!O$7-'Advanced Entry'!O$6),10*((IF('Advanced Entry'!O$5="Logarithm",LN(0.001+'Advanced Entry'!O77),IF('Advanced Entry'!O$5="Exponential",EXP('Advanced Entry'!O77),'Advanced Entry'!O77)))-'Advanced Entry'!O$6)/('Advanced Entry'!O$7-'Advanced Entry'!O$6)),1))),"No data"))</f>
        <v/>
      </c>
      <c r="P77" s="17">
        <f>IF('Advanced Entry'!P77="","",IFERROR(MAX(0,MIN(10,ROUND(IF('Advanced Entry'!P$8="Decrease Risk",10-10*((IF('Advanced Entry'!P$5="Logarithm",LN(0.001+'Advanced Entry'!P77),IF('Advanced Entry'!P$5="Exponential",EXP('Advanced Entry'!P77),'Advanced Entry'!P77)))-'Advanced Entry'!P$6)/('Advanced Entry'!P$7-'Advanced Entry'!P$6),10*((IF('Advanced Entry'!P$5="Logarithm",LN(0.001+'Advanced Entry'!P77),IF('Advanced Entry'!P$5="Exponential",EXP('Advanced Entry'!P77),'Advanced Entry'!P77)))-'Advanced Entry'!P$6)/('Advanced Entry'!P$7-'Advanced Entry'!P$6)),1))),"No data"))</f>
        <v/>
      </c>
      <c r="Q77" s="17">
        <f>IF('Advanced Entry'!Q77="","",IFERROR(MAX(0,MIN(10,ROUND(IF('Advanced Entry'!Q$8="Decrease Risk",10-10*((IF('Advanced Entry'!Q$5="Logarithm",LN(0.001+'Advanced Entry'!Q77),IF('Advanced Entry'!Q$5="Exponential",EXP('Advanced Entry'!Q77),'Advanced Entry'!Q77)))-'Advanced Entry'!Q$6)/('Advanced Entry'!Q$7-'Advanced Entry'!Q$6),10*((IF('Advanced Entry'!Q$5="Logarithm",LN(0.001+'Advanced Entry'!Q77),IF('Advanced Entry'!Q$5="Exponential",EXP('Advanced Entry'!Q77),'Advanced Entry'!Q77)))-'Advanced Entry'!Q$6)/('Advanced Entry'!Q$7-'Advanced Entry'!Q$6)),1))),"No data"))</f>
        <v/>
      </c>
      <c r="R77" s="17">
        <f>IF('Advanced Entry'!R77="","",IFERROR(MAX(0,MIN(10,ROUND(IF('Advanced Entry'!R$8="Decrease Risk",10-10*((IF('Advanced Entry'!R$5="Logarithm",LN(0.001+'Advanced Entry'!R77),IF('Advanced Entry'!R$5="Exponential",EXP('Advanced Entry'!R77),'Advanced Entry'!R77)))-'Advanced Entry'!R$6)/('Advanced Entry'!R$7-'Advanced Entry'!R$6),10*((IF('Advanced Entry'!R$5="Logarithm",LN(0.001+'Advanced Entry'!R77),IF('Advanced Entry'!R$5="Exponential",EXP('Advanced Entry'!R77),'Advanced Entry'!R77)))-'Advanced Entry'!R$6)/('Advanced Entry'!R$7-'Advanced Entry'!R$6)),1))),"No data"))</f>
        <v/>
      </c>
      <c r="S77" s="17">
        <f>IF('Advanced Entry'!S77="","",IFERROR(MAX(0,MIN(10,ROUND(IF('Advanced Entry'!S$8="Decrease Risk",10-10*((IF('Advanced Entry'!S$5="Logarithm",LN(0.001+'Advanced Entry'!S77),IF('Advanced Entry'!S$5="Exponential",EXP('Advanced Entry'!S77),'Advanced Entry'!S77)))-'Advanced Entry'!S$6)/('Advanced Entry'!S$7-'Advanced Entry'!S$6),10*((IF('Advanced Entry'!S$5="Logarithm",LN(0.001+'Advanced Entry'!S77),IF('Advanced Entry'!S$5="Exponential",EXP('Advanced Entry'!S77),'Advanced Entry'!S77)))-'Advanced Entry'!S$6)/('Advanced Entry'!S$7-'Advanced Entry'!S$6)),1))),"No data"))</f>
        <v/>
      </c>
      <c r="T77" s="17">
        <f>IF('Advanced Entry'!T77="","",IFERROR(MAX(0,MIN(10,ROUND(IF('Advanced Entry'!T$8="Decrease Risk",10-10*((IF('Advanced Entry'!T$5="Logarithm",LN(0.001+'Advanced Entry'!T77),IF('Advanced Entry'!T$5="Exponential",EXP('Advanced Entry'!T77),'Advanced Entry'!T77)))-'Advanced Entry'!T$6)/('Advanced Entry'!T$7-'Advanced Entry'!T$6),10*((IF('Advanced Entry'!T$5="Logarithm",LN(0.001+'Advanced Entry'!T77),IF('Advanced Entry'!T$5="Exponential",EXP('Advanced Entry'!T77),'Advanced Entry'!T77)))-'Advanced Entry'!T$6)/('Advanced Entry'!T$7-'Advanced Entry'!T$6)),1))),"No data"))</f>
        <v/>
      </c>
      <c r="U77" s="17">
        <f>IF('Advanced Entry'!U77="","",IFERROR(MAX(0,MIN(10,ROUND(IF('Advanced Entry'!U$8="Decrease Risk",10-10*((IF('Advanced Entry'!U$5="Logarithm",LN(0.001+'Advanced Entry'!U77),IF('Advanced Entry'!U$5="Exponential",EXP('Advanced Entry'!U77),'Advanced Entry'!U77)))-'Advanced Entry'!U$6)/('Advanced Entry'!U$7-'Advanced Entry'!U$6),10*((IF('Advanced Entry'!U$5="Logarithm",LN(0.001+'Advanced Entry'!U77),IF('Advanced Entry'!U$5="Exponential",EXP('Advanced Entry'!U77),'Advanced Entry'!U77)))-'Advanced Entry'!U$6)/('Advanced Entry'!U$7-'Advanced Entry'!U$6)),1))),"No data"))</f>
        <v/>
      </c>
      <c r="V77" s="17">
        <f>IF('Advanced Entry'!V77="","",IFERROR(MAX(0,MIN(10,ROUND(IF('Advanced Entry'!V$8="Decrease Risk",10-10*((IF('Advanced Entry'!V$5="Logarithm",LN(0.001+'Advanced Entry'!V77),IF('Advanced Entry'!V$5="Exponential",EXP('Advanced Entry'!V77),'Advanced Entry'!V77)))-'Advanced Entry'!V$6)/('Advanced Entry'!V$7-'Advanced Entry'!V$6),10*((IF('Advanced Entry'!V$5="Logarithm",LN(0.001+'Advanced Entry'!V77),IF('Advanced Entry'!V$5="Exponential",EXP('Advanced Entry'!V77),'Advanced Entry'!V77)))-'Advanced Entry'!V$6)/('Advanced Entry'!V$7-'Advanced Entry'!V$6)),1))),"No data"))</f>
        <v/>
      </c>
      <c r="W77" s="17">
        <f>IF('Advanced Entry'!W77="","",IFERROR(MAX(0,MIN(10,ROUND(IF('Advanced Entry'!W$8="Decrease Risk",10-10*((IF('Advanced Entry'!W$5="Logarithm",LN(0.001+'Advanced Entry'!W77),IF('Advanced Entry'!W$5="Exponential",EXP('Advanced Entry'!W77),'Advanced Entry'!W77)))-'Advanced Entry'!W$6)/('Advanced Entry'!W$7-'Advanced Entry'!W$6),10*((IF('Advanced Entry'!W$5="Logarithm",LN(0.001+'Advanced Entry'!W77),IF('Advanced Entry'!W$5="Exponential",EXP('Advanced Entry'!W77),'Advanced Entry'!W77)))-'Advanced Entry'!W$6)/('Advanced Entry'!W$7-'Advanced Entry'!W$6)),1))),"No data"))</f>
        <v/>
      </c>
      <c r="X77" s="17">
        <f>IF('Advanced Entry'!X77="","",IFERROR(MAX(0,MIN(10,ROUND(IF('Advanced Entry'!X$8="Decrease Risk",10-10*((IF('Advanced Entry'!X$5="Logarithm",LN(0.001+'Advanced Entry'!X77),IF('Advanced Entry'!X$5="Exponential",EXP('Advanced Entry'!X77),'Advanced Entry'!X77)))-'Advanced Entry'!X$6)/('Advanced Entry'!X$7-'Advanced Entry'!X$6),10*((IF('Advanced Entry'!X$5="Logarithm",LN(0.001+'Advanced Entry'!X77),IF('Advanced Entry'!X$5="Exponential",EXP('Advanced Entry'!X77),'Advanced Entry'!X77)))-'Advanced Entry'!X$6)/('Advanced Entry'!X$7-'Advanced Entry'!X$6)),1))),"No data"))</f>
        <v/>
      </c>
      <c r="Y77" s="17">
        <f>IF('Advanced Entry'!Y77="","",IFERROR(MAX(0,MIN(10,ROUND(IF('Advanced Entry'!Y$8="Decrease Risk",10-10*((IF('Advanced Entry'!Y$5="Logarithm",LN(0.001+'Advanced Entry'!Y77),IF('Advanced Entry'!Y$5="Exponential",EXP('Advanced Entry'!Y77),'Advanced Entry'!Y77)))-'Advanced Entry'!Y$6)/('Advanced Entry'!Y$7-'Advanced Entry'!Y$6),10*((IF('Advanced Entry'!Y$5="Logarithm",LN(0.001+'Advanced Entry'!Y77),IF('Advanced Entry'!Y$5="Exponential",EXP('Advanced Entry'!Y77),'Advanced Entry'!Y77)))-'Advanced Entry'!Y$6)/('Advanced Entry'!Y$7-'Advanced Entry'!Y$6)),1))),"No data"))</f>
        <v/>
      </c>
      <c r="Z77" s="17">
        <f>IF('Advanced Entry'!Z77="","",IFERROR(MAX(0,MIN(10,ROUND(IF('Advanced Entry'!Z$8="Decrease Risk",10-10*((IF('Advanced Entry'!Z$5="Logarithm",LN(0.001+'Advanced Entry'!Z77),IF('Advanced Entry'!Z$5="Exponential",EXP('Advanced Entry'!Z77),'Advanced Entry'!Z77)))-'Advanced Entry'!Z$6)/('Advanced Entry'!Z$7-'Advanced Entry'!Z$6),10*((IF('Advanced Entry'!Z$5="Logarithm",LN(0.001+'Advanced Entry'!Z77),IF('Advanced Entry'!Z$5="Exponential",EXP('Advanced Entry'!Z77),'Advanced Entry'!Z77)))-'Advanced Entry'!Z$6)/('Advanced Entry'!Z$7-'Advanced Entry'!Z$6)),1))),"No data"))</f>
        <v/>
      </c>
      <c r="AA77" s="17">
        <f>IF('Advanced Entry'!AA77="","",IFERROR(MAX(0,MIN(10,ROUND(IF('Advanced Entry'!AA$8="Decrease Risk",10-10*((IF('Advanced Entry'!AA$5="Logarithm",LN(0.001+'Advanced Entry'!AA77),IF('Advanced Entry'!AA$5="Exponential",EXP('Advanced Entry'!AA77),'Advanced Entry'!AA77)))-'Advanced Entry'!AA$6)/('Advanced Entry'!AA$7-'Advanced Entry'!AA$6),10*((IF('Advanced Entry'!AA$5="Logarithm",LN(0.001+'Advanced Entry'!AA77),IF('Advanced Entry'!AA$5="Exponential",EXP('Advanced Entry'!AA77),'Advanced Entry'!AA77)))-'Advanced Entry'!AA$6)/('Advanced Entry'!AA$7-'Advanced Entry'!AA$6)),1))),"No data"))</f>
        <v/>
      </c>
      <c r="AB77" s="17">
        <f>IF('Advanced Entry'!AB77="","",IFERROR(MAX(0,MIN(10,ROUND(IF('Advanced Entry'!AB$8="Decrease Risk",10-10*((IF('Advanced Entry'!AB$5="Logarithm",LN(0.001+'Advanced Entry'!AB77),IF('Advanced Entry'!AB$5="Exponential",EXP('Advanced Entry'!AB77),'Advanced Entry'!AB77)))-'Advanced Entry'!AB$6)/('Advanced Entry'!AB$7-'Advanced Entry'!AB$6),10*((IF('Advanced Entry'!AB$5="Logarithm",LN(0.001+'Advanced Entry'!AB77),IF('Advanced Entry'!AB$5="Exponential",EXP('Advanced Entry'!AB77),'Advanced Entry'!AB77)))-'Advanced Entry'!AB$6)/('Advanced Entry'!AB$7-'Advanced Entry'!AB$6)),1))),"No data"))</f>
        <v/>
      </c>
    </row>
    <row r="78">
      <c r="A78" t="inlineStr">
        <is>
          <t>Lindi</t>
        </is>
      </c>
      <c r="B78" t="inlineStr">
        <is>
          <t>Kilwa District</t>
        </is>
      </c>
      <c r="C78" t="inlineStr">
        <is>
          <t>C057</t>
        </is>
      </c>
      <c r="D78" s="17">
        <f>IF('Advanced Entry'!D78="","",IFERROR(MAX(0,MIN(10,ROUND(IF('Advanced Entry'!D$8="Decrease Risk",10-10*((IF('Advanced Entry'!D$5="Logarithm",LN(0.001+'Advanced Entry'!D78),IF('Advanced Entry'!D$5="Exponential",EXP('Advanced Entry'!D78),'Advanced Entry'!D78)))-'Advanced Entry'!D$6)/('Advanced Entry'!D$7-'Advanced Entry'!D$6),10*((IF('Advanced Entry'!D$5="Logarithm",LN(0.001+'Advanced Entry'!D78),IF('Advanced Entry'!D$5="Exponential",EXP('Advanced Entry'!D78),'Advanced Entry'!D78)))-'Advanced Entry'!D$6)/('Advanced Entry'!D$7-'Advanced Entry'!D$6)),1))),"No data"))</f>
        <v/>
      </c>
      <c r="E78" s="17">
        <f>IF('Advanced Entry'!E78="","",IFERROR(MAX(0,MIN(10,ROUND(IF('Advanced Entry'!E$8="Decrease Risk",10-10*((IF('Advanced Entry'!E$5="Logarithm",LN(0.001+'Advanced Entry'!E78),IF('Advanced Entry'!E$5="Exponential",EXP('Advanced Entry'!E78),'Advanced Entry'!E78)))-'Advanced Entry'!E$6)/('Advanced Entry'!E$7-'Advanced Entry'!E$6),10*((IF('Advanced Entry'!E$5="Logarithm",LN(0.001+'Advanced Entry'!E78),IF('Advanced Entry'!E$5="Exponential",EXP('Advanced Entry'!E78),'Advanced Entry'!E78)))-'Advanced Entry'!E$6)/('Advanced Entry'!E$7-'Advanced Entry'!E$6)),1))),"No data"))</f>
        <v/>
      </c>
      <c r="F78" s="17">
        <f>IF('Advanced Entry'!F78="","",IFERROR(MAX(0,MIN(10,ROUND(IF('Advanced Entry'!F$8="Decrease Risk",10-10*((IF('Advanced Entry'!F$5="Logarithm",LN(0.001+'Advanced Entry'!F78),IF('Advanced Entry'!F$5="Exponential",EXP('Advanced Entry'!F78),'Advanced Entry'!F78)))-'Advanced Entry'!F$6)/('Advanced Entry'!F$7-'Advanced Entry'!F$6),10*((IF('Advanced Entry'!F$5="Logarithm",LN(0.001+'Advanced Entry'!F78),IF('Advanced Entry'!F$5="Exponential",EXP('Advanced Entry'!F78),'Advanced Entry'!F78)))-'Advanced Entry'!F$6)/('Advanced Entry'!F$7-'Advanced Entry'!F$6)),1))),"No data"))</f>
        <v/>
      </c>
      <c r="G78" s="17">
        <f>IF('Advanced Entry'!G78="","",IFERROR(MAX(0,MIN(10,ROUND(IF('Advanced Entry'!G$8="Decrease Risk",10-10*((IF('Advanced Entry'!G$5="Logarithm",LN(0.001+'Advanced Entry'!G78),IF('Advanced Entry'!G$5="Exponential",EXP('Advanced Entry'!G78),'Advanced Entry'!G78)))-'Advanced Entry'!G$6)/('Advanced Entry'!G$7-'Advanced Entry'!G$6),10*((IF('Advanced Entry'!G$5="Logarithm",LN(0.001+'Advanced Entry'!G78),IF('Advanced Entry'!G$5="Exponential",EXP('Advanced Entry'!G78),'Advanced Entry'!G78)))-'Advanced Entry'!G$6)/('Advanced Entry'!G$7-'Advanced Entry'!G$6)),1))),"No data"))</f>
        <v/>
      </c>
      <c r="H78" s="17">
        <f>IF('Advanced Entry'!H78="","",IFERROR(MAX(0,MIN(10,ROUND(IF('Advanced Entry'!H$8="Decrease Risk",10-10*((IF('Advanced Entry'!H$5="Logarithm",LN(0.001+'Advanced Entry'!H78),IF('Advanced Entry'!H$5="Exponential",EXP('Advanced Entry'!H78),'Advanced Entry'!H78)))-'Advanced Entry'!H$6)/('Advanced Entry'!H$7-'Advanced Entry'!H$6),10*((IF('Advanced Entry'!H$5="Logarithm",LN(0.001+'Advanced Entry'!H78),IF('Advanced Entry'!H$5="Exponential",EXP('Advanced Entry'!H78),'Advanced Entry'!H78)))-'Advanced Entry'!H$6)/('Advanced Entry'!H$7-'Advanced Entry'!H$6)),1))),"No data"))</f>
        <v/>
      </c>
      <c r="I78" s="17">
        <f>IF('Advanced Entry'!I78="","",IFERROR(MAX(0,MIN(10,ROUND(IF('Advanced Entry'!I$8="Decrease Risk",10-10*((IF('Advanced Entry'!I$5="Logarithm",LN(0.001+'Advanced Entry'!I78),IF('Advanced Entry'!I$5="Exponential",EXP('Advanced Entry'!I78),'Advanced Entry'!I78)))-'Advanced Entry'!I$6)/('Advanced Entry'!I$7-'Advanced Entry'!I$6),10*((IF('Advanced Entry'!I$5="Logarithm",LN(0.001+'Advanced Entry'!I78),IF('Advanced Entry'!I$5="Exponential",EXP('Advanced Entry'!I78),'Advanced Entry'!I78)))-'Advanced Entry'!I$6)/('Advanced Entry'!I$7-'Advanced Entry'!I$6)),1))),"No data"))</f>
        <v/>
      </c>
      <c r="J78" s="17">
        <f>IF('Advanced Entry'!J78="","",IFERROR(MAX(0,MIN(10,ROUND(IF('Advanced Entry'!J$8="Decrease Risk",10-10*((IF('Advanced Entry'!J$5="Logarithm",LN(0.001+'Advanced Entry'!J78),IF('Advanced Entry'!J$5="Exponential",EXP('Advanced Entry'!J78),'Advanced Entry'!J78)))-'Advanced Entry'!J$6)/('Advanced Entry'!J$7-'Advanced Entry'!J$6),10*((IF('Advanced Entry'!J$5="Logarithm",LN(0.001+'Advanced Entry'!J78),IF('Advanced Entry'!J$5="Exponential",EXP('Advanced Entry'!J78),'Advanced Entry'!J78)))-'Advanced Entry'!J$6)/('Advanced Entry'!J$7-'Advanced Entry'!J$6)),1))),"No data"))</f>
        <v/>
      </c>
      <c r="K78" s="17">
        <f>IF('Advanced Entry'!K78="","",IFERROR(MAX(0,MIN(10,ROUND(IF('Advanced Entry'!K$8="Decrease Risk",10-10*((IF('Advanced Entry'!K$5="Logarithm",LN(0.001+'Advanced Entry'!K78),IF('Advanced Entry'!K$5="Exponential",EXP('Advanced Entry'!K78),'Advanced Entry'!K78)))-'Advanced Entry'!K$6)/('Advanced Entry'!K$7-'Advanced Entry'!K$6),10*((IF('Advanced Entry'!K$5="Logarithm",LN(0.001+'Advanced Entry'!K78),IF('Advanced Entry'!K$5="Exponential",EXP('Advanced Entry'!K78),'Advanced Entry'!K78)))-'Advanced Entry'!K$6)/('Advanced Entry'!K$7-'Advanced Entry'!K$6)),1))),"No data"))</f>
        <v/>
      </c>
      <c r="L78" s="17">
        <f>IF('Advanced Entry'!L78="","",IFERROR(MAX(0,MIN(10,ROUND(IF('Advanced Entry'!L$8="Decrease Risk",10-10*((IF('Advanced Entry'!L$5="Logarithm",LN(0.001+'Advanced Entry'!L78),IF('Advanced Entry'!L$5="Exponential",EXP('Advanced Entry'!L78),'Advanced Entry'!L78)))-'Advanced Entry'!L$6)/('Advanced Entry'!L$7-'Advanced Entry'!L$6),10*((IF('Advanced Entry'!L$5="Logarithm",LN(0.001+'Advanced Entry'!L78),IF('Advanced Entry'!L$5="Exponential",EXP('Advanced Entry'!L78),'Advanced Entry'!L78)))-'Advanced Entry'!L$6)/('Advanced Entry'!L$7-'Advanced Entry'!L$6)),1))),"No data"))</f>
        <v/>
      </c>
      <c r="M78" s="17">
        <f>IF('Advanced Entry'!M78="","",IFERROR(MAX(0,MIN(10,ROUND(IF('Advanced Entry'!M$8="Decrease Risk",10-10*((IF('Advanced Entry'!M$5="Logarithm",LN(0.001+'Advanced Entry'!M78),IF('Advanced Entry'!M$5="Exponential",EXP('Advanced Entry'!M78),'Advanced Entry'!M78)))-'Advanced Entry'!M$6)/('Advanced Entry'!M$7-'Advanced Entry'!M$6),10*((IF('Advanced Entry'!M$5="Logarithm",LN(0.001+'Advanced Entry'!M78),IF('Advanced Entry'!M$5="Exponential",EXP('Advanced Entry'!M78),'Advanced Entry'!M78)))-'Advanced Entry'!M$6)/('Advanced Entry'!M$7-'Advanced Entry'!M$6)),1))),"No data"))</f>
        <v/>
      </c>
      <c r="N78" s="17">
        <f>IF('Advanced Entry'!N78="","",IFERROR(MAX(0,MIN(10,ROUND(IF('Advanced Entry'!N$8="Decrease Risk",10-10*((IF('Advanced Entry'!N$5="Logarithm",LN(0.001+'Advanced Entry'!N78),IF('Advanced Entry'!N$5="Exponential",EXP('Advanced Entry'!N78),'Advanced Entry'!N78)))-'Advanced Entry'!N$6)/('Advanced Entry'!N$7-'Advanced Entry'!N$6),10*((IF('Advanced Entry'!N$5="Logarithm",LN(0.001+'Advanced Entry'!N78),IF('Advanced Entry'!N$5="Exponential",EXP('Advanced Entry'!N78),'Advanced Entry'!N78)))-'Advanced Entry'!N$6)/('Advanced Entry'!N$7-'Advanced Entry'!N$6)),1))),"No data"))</f>
        <v/>
      </c>
      <c r="O78" s="17">
        <f>IF('Advanced Entry'!O78="","",IFERROR(MAX(0,MIN(10,ROUND(IF('Advanced Entry'!O$8="Decrease Risk",10-10*((IF('Advanced Entry'!O$5="Logarithm",LN(0.001+'Advanced Entry'!O78),IF('Advanced Entry'!O$5="Exponential",EXP('Advanced Entry'!O78),'Advanced Entry'!O78)))-'Advanced Entry'!O$6)/('Advanced Entry'!O$7-'Advanced Entry'!O$6),10*((IF('Advanced Entry'!O$5="Logarithm",LN(0.001+'Advanced Entry'!O78),IF('Advanced Entry'!O$5="Exponential",EXP('Advanced Entry'!O78),'Advanced Entry'!O78)))-'Advanced Entry'!O$6)/('Advanced Entry'!O$7-'Advanced Entry'!O$6)),1))),"No data"))</f>
        <v/>
      </c>
      <c r="P78" s="17">
        <f>IF('Advanced Entry'!P78="","",IFERROR(MAX(0,MIN(10,ROUND(IF('Advanced Entry'!P$8="Decrease Risk",10-10*((IF('Advanced Entry'!P$5="Logarithm",LN(0.001+'Advanced Entry'!P78),IF('Advanced Entry'!P$5="Exponential",EXP('Advanced Entry'!P78),'Advanced Entry'!P78)))-'Advanced Entry'!P$6)/('Advanced Entry'!P$7-'Advanced Entry'!P$6),10*((IF('Advanced Entry'!P$5="Logarithm",LN(0.001+'Advanced Entry'!P78),IF('Advanced Entry'!P$5="Exponential",EXP('Advanced Entry'!P78),'Advanced Entry'!P78)))-'Advanced Entry'!P$6)/('Advanced Entry'!P$7-'Advanced Entry'!P$6)),1))),"No data"))</f>
        <v/>
      </c>
      <c r="Q78" s="17">
        <f>IF('Advanced Entry'!Q78="","",IFERROR(MAX(0,MIN(10,ROUND(IF('Advanced Entry'!Q$8="Decrease Risk",10-10*((IF('Advanced Entry'!Q$5="Logarithm",LN(0.001+'Advanced Entry'!Q78),IF('Advanced Entry'!Q$5="Exponential",EXP('Advanced Entry'!Q78),'Advanced Entry'!Q78)))-'Advanced Entry'!Q$6)/('Advanced Entry'!Q$7-'Advanced Entry'!Q$6),10*((IF('Advanced Entry'!Q$5="Logarithm",LN(0.001+'Advanced Entry'!Q78),IF('Advanced Entry'!Q$5="Exponential",EXP('Advanced Entry'!Q78),'Advanced Entry'!Q78)))-'Advanced Entry'!Q$6)/('Advanced Entry'!Q$7-'Advanced Entry'!Q$6)),1))),"No data"))</f>
        <v/>
      </c>
      <c r="R78" s="17">
        <f>IF('Advanced Entry'!R78="","",IFERROR(MAX(0,MIN(10,ROUND(IF('Advanced Entry'!R$8="Decrease Risk",10-10*((IF('Advanced Entry'!R$5="Logarithm",LN(0.001+'Advanced Entry'!R78),IF('Advanced Entry'!R$5="Exponential",EXP('Advanced Entry'!R78),'Advanced Entry'!R78)))-'Advanced Entry'!R$6)/('Advanced Entry'!R$7-'Advanced Entry'!R$6),10*((IF('Advanced Entry'!R$5="Logarithm",LN(0.001+'Advanced Entry'!R78),IF('Advanced Entry'!R$5="Exponential",EXP('Advanced Entry'!R78),'Advanced Entry'!R78)))-'Advanced Entry'!R$6)/('Advanced Entry'!R$7-'Advanced Entry'!R$6)),1))),"No data"))</f>
        <v/>
      </c>
      <c r="S78" s="17">
        <f>IF('Advanced Entry'!S78="","",IFERROR(MAX(0,MIN(10,ROUND(IF('Advanced Entry'!S$8="Decrease Risk",10-10*((IF('Advanced Entry'!S$5="Logarithm",LN(0.001+'Advanced Entry'!S78),IF('Advanced Entry'!S$5="Exponential",EXP('Advanced Entry'!S78),'Advanced Entry'!S78)))-'Advanced Entry'!S$6)/('Advanced Entry'!S$7-'Advanced Entry'!S$6),10*((IF('Advanced Entry'!S$5="Logarithm",LN(0.001+'Advanced Entry'!S78),IF('Advanced Entry'!S$5="Exponential",EXP('Advanced Entry'!S78),'Advanced Entry'!S78)))-'Advanced Entry'!S$6)/('Advanced Entry'!S$7-'Advanced Entry'!S$6)),1))),"No data"))</f>
        <v/>
      </c>
      <c r="T78" s="17">
        <f>IF('Advanced Entry'!T78="","",IFERROR(MAX(0,MIN(10,ROUND(IF('Advanced Entry'!T$8="Decrease Risk",10-10*((IF('Advanced Entry'!T$5="Logarithm",LN(0.001+'Advanced Entry'!T78),IF('Advanced Entry'!T$5="Exponential",EXP('Advanced Entry'!T78),'Advanced Entry'!T78)))-'Advanced Entry'!T$6)/('Advanced Entry'!T$7-'Advanced Entry'!T$6),10*((IF('Advanced Entry'!T$5="Logarithm",LN(0.001+'Advanced Entry'!T78),IF('Advanced Entry'!T$5="Exponential",EXP('Advanced Entry'!T78),'Advanced Entry'!T78)))-'Advanced Entry'!T$6)/('Advanced Entry'!T$7-'Advanced Entry'!T$6)),1))),"No data"))</f>
        <v/>
      </c>
      <c r="U78" s="17">
        <f>IF('Advanced Entry'!U78="","",IFERROR(MAX(0,MIN(10,ROUND(IF('Advanced Entry'!U$8="Decrease Risk",10-10*((IF('Advanced Entry'!U$5="Logarithm",LN(0.001+'Advanced Entry'!U78),IF('Advanced Entry'!U$5="Exponential",EXP('Advanced Entry'!U78),'Advanced Entry'!U78)))-'Advanced Entry'!U$6)/('Advanced Entry'!U$7-'Advanced Entry'!U$6),10*((IF('Advanced Entry'!U$5="Logarithm",LN(0.001+'Advanced Entry'!U78),IF('Advanced Entry'!U$5="Exponential",EXP('Advanced Entry'!U78),'Advanced Entry'!U78)))-'Advanced Entry'!U$6)/('Advanced Entry'!U$7-'Advanced Entry'!U$6)),1))),"No data"))</f>
        <v/>
      </c>
      <c r="V78" s="17">
        <f>IF('Advanced Entry'!V78="","",IFERROR(MAX(0,MIN(10,ROUND(IF('Advanced Entry'!V$8="Decrease Risk",10-10*((IF('Advanced Entry'!V$5="Logarithm",LN(0.001+'Advanced Entry'!V78),IF('Advanced Entry'!V$5="Exponential",EXP('Advanced Entry'!V78),'Advanced Entry'!V78)))-'Advanced Entry'!V$6)/('Advanced Entry'!V$7-'Advanced Entry'!V$6),10*((IF('Advanced Entry'!V$5="Logarithm",LN(0.001+'Advanced Entry'!V78),IF('Advanced Entry'!V$5="Exponential",EXP('Advanced Entry'!V78),'Advanced Entry'!V78)))-'Advanced Entry'!V$6)/('Advanced Entry'!V$7-'Advanced Entry'!V$6)),1))),"No data"))</f>
        <v/>
      </c>
      <c r="W78" s="17">
        <f>IF('Advanced Entry'!W78="","",IFERROR(MAX(0,MIN(10,ROUND(IF('Advanced Entry'!W$8="Decrease Risk",10-10*((IF('Advanced Entry'!W$5="Logarithm",LN(0.001+'Advanced Entry'!W78),IF('Advanced Entry'!W$5="Exponential",EXP('Advanced Entry'!W78),'Advanced Entry'!W78)))-'Advanced Entry'!W$6)/('Advanced Entry'!W$7-'Advanced Entry'!W$6),10*((IF('Advanced Entry'!W$5="Logarithm",LN(0.001+'Advanced Entry'!W78),IF('Advanced Entry'!W$5="Exponential",EXP('Advanced Entry'!W78),'Advanced Entry'!W78)))-'Advanced Entry'!W$6)/('Advanced Entry'!W$7-'Advanced Entry'!W$6)),1))),"No data"))</f>
        <v/>
      </c>
      <c r="X78" s="17">
        <f>IF('Advanced Entry'!X78="","",IFERROR(MAX(0,MIN(10,ROUND(IF('Advanced Entry'!X$8="Decrease Risk",10-10*((IF('Advanced Entry'!X$5="Logarithm",LN(0.001+'Advanced Entry'!X78),IF('Advanced Entry'!X$5="Exponential",EXP('Advanced Entry'!X78),'Advanced Entry'!X78)))-'Advanced Entry'!X$6)/('Advanced Entry'!X$7-'Advanced Entry'!X$6),10*((IF('Advanced Entry'!X$5="Logarithm",LN(0.001+'Advanced Entry'!X78),IF('Advanced Entry'!X$5="Exponential",EXP('Advanced Entry'!X78),'Advanced Entry'!X78)))-'Advanced Entry'!X$6)/('Advanced Entry'!X$7-'Advanced Entry'!X$6)),1))),"No data"))</f>
        <v/>
      </c>
      <c r="Y78" s="17">
        <f>IF('Advanced Entry'!Y78="","",IFERROR(MAX(0,MIN(10,ROUND(IF('Advanced Entry'!Y$8="Decrease Risk",10-10*((IF('Advanced Entry'!Y$5="Logarithm",LN(0.001+'Advanced Entry'!Y78),IF('Advanced Entry'!Y$5="Exponential",EXP('Advanced Entry'!Y78),'Advanced Entry'!Y78)))-'Advanced Entry'!Y$6)/('Advanced Entry'!Y$7-'Advanced Entry'!Y$6),10*((IF('Advanced Entry'!Y$5="Logarithm",LN(0.001+'Advanced Entry'!Y78),IF('Advanced Entry'!Y$5="Exponential",EXP('Advanced Entry'!Y78),'Advanced Entry'!Y78)))-'Advanced Entry'!Y$6)/('Advanced Entry'!Y$7-'Advanced Entry'!Y$6)),1))),"No data"))</f>
        <v/>
      </c>
      <c r="Z78" s="17">
        <f>IF('Advanced Entry'!Z78="","",IFERROR(MAX(0,MIN(10,ROUND(IF('Advanced Entry'!Z$8="Decrease Risk",10-10*((IF('Advanced Entry'!Z$5="Logarithm",LN(0.001+'Advanced Entry'!Z78),IF('Advanced Entry'!Z$5="Exponential",EXP('Advanced Entry'!Z78),'Advanced Entry'!Z78)))-'Advanced Entry'!Z$6)/('Advanced Entry'!Z$7-'Advanced Entry'!Z$6),10*((IF('Advanced Entry'!Z$5="Logarithm",LN(0.001+'Advanced Entry'!Z78),IF('Advanced Entry'!Z$5="Exponential",EXP('Advanced Entry'!Z78),'Advanced Entry'!Z78)))-'Advanced Entry'!Z$6)/('Advanced Entry'!Z$7-'Advanced Entry'!Z$6)),1))),"No data"))</f>
        <v/>
      </c>
      <c r="AA78" s="17">
        <f>IF('Advanced Entry'!AA78="","",IFERROR(MAX(0,MIN(10,ROUND(IF('Advanced Entry'!AA$8="Decrease Risk",10-10*((IF('Advanced Entry'!AA$5="Logarithm",LN(0.001+'Advanced Entry'!AA78),IF('Advanced Entry'!AA$5="Exponential",EXP('Advanced Entry'!AA78),'Advanced Entry'!AA78)))-'Advanced Entry'!AA$6)/('Advanced Entry'!AA$7-'Advanced Entry'!AA$6),10*((IF('Advanced Entry'!AA$5="Logarithm",LN(0.001+'Advanced Entry'!AA78),IF('Advanced Entry'!AA$5="Exponential",EXP('Advanced Entry'!AA78),'Advanced Entry'!AA78)))-'Advanced Entry'!AA$6)/('Advanced Entry'!AA$7-'Advanced Entry'!AA$6)),1))),"No data"))</f>
        <v/>
      </c>
      <c r="AB78" s="17">
        <f>IF('Advanced Entry'!AB78="","",IFERROR(MAX(0,MIN(10,ROUND(IF('Advanced Entry'!AB$8="Decrease Risk",10-10*((IF('Advanced Entry'!AB$5="Logarithm",LN(0.001+'Advanced Entry'!AB78),IF('Advanced Entry'!AB$5="Exponential",EXP('Advanced Entry'!AB78),'Advanced Entry'!AB78)))-'Advanced Entry'!AB$6)/('Advanced Entry'!AB$7-'Advanced Entry'!AB$6),10*((IF('Advanced Entry'!AB$5="Logarithm",LN(0.001+'Advanced Entry'!AB78),IF('Advanced Entry'!AB$5="Exponential",EXP('Advanced Entry'!AB78),'Advanced Entry'!AB78)))-'Advanced Entry'!AB$6)/('Advanced Entry'!AB$7-'Advanced Entry'!AB$6)),1))),"No data"))</f>
        <v/>
      </c>
    </row>
    <row r="79">
      <c r="A79" t="inlineStr">
        <is>
          <t>Lindi</t>
        </is>
      </c>
      <c r="B79" t="inlineStr">
        <is>
          <t>Lindi Municipal</t>
        </is>
      </c>
      <c r="C79" t="inlineStr">
        <is>
          <t>C059</t>
        </is>
      </c>
      <c r="D79" s="17">
        <f>IF('Advanced Entry'!D79="","",IFERROR(MAX(0,MIN(10,ROUND(IF('Advanced Entry'!D$8="Decrease Risk",10-10*((IF('Advanced Entry'!D$5="Logarithm",LN(0.001+'Advanced Entry'!D79),IF('Advanced Entry'!D$5="Exponential",EXP('Advanced Entry'!D79),'Advanced Entry'!D79)))-'Advanced Entry'!D$6)/('Advanced Entry'!D$7-'Advanced Entry'!D$6),10*((IF('Advanced Entry'!D$5="Logarithm",LN(0.001+'Advanced Entry'!D79),IF('Advanced Entry'!D$5="Exponential",EXP('Advanced Entry'!D79),'Advanced Entry'!D79)))-'Advanced Entry'!D$6)/('Advanced Entry'!D$7-'Advanced Entry'!D$6)),1))),"No data"))</f>
        <v/>
      </c>
      <c r="E79" s="17">
        <f>IF('Advanced Entry'!E79="","",IFERROR(MAX(0,MIN(10,ROUND(IF('Advanced Entry'!E$8="Decrease Risk",10-10*((IF('Advanced Entry'!E$5="Logarithm",LN(0.001+'Advanced Entry'!E79),IF('Advanced Entry'!E$5="Exponential",EXP('Advanced Entry'!E79),'Advanced Entry'!E79)))-'Advanced Entry'!E$6)/('Advanced Entry'!E$7-'Advanced Entry'!E$6),10*((IF('Advanced Entry'!E$5="Logarithm",LN(0.001+'Advanced Entry'!E79),IF('Advanced Entry'!E$5="Exponential",EXP('Advanced Entry'!E79),'Advanced Entry'!E79)))-'Advanced Entry'!E$6)/('Advanced Entry'!E$7-'Advanced Entry'!E$6)),1))),"No data"))</f>
        <v/>
      </c>
      <c r="F79" s="17">
        <f>IF('Advanced Entry'!F79="","",IFERROR(MAX(0,MIN(10,ROUND(IF('Advanced Entry'!F$8="Decrease Risk",10-10*((IF('Advanced Entry'!F$5="Logarithm",LN(0.001+'Advanced Entry'!F79),IF('Advanced Entry'!F$5="Exponential",EXP('Advanced Entry'!F79),'Advanced Entry'!F79)))-'Advanced Entry'!F$6)/('Advanced Entry'!F$7-'Advanced Entry'!F$6),10*((IF('Advanced Entry'!F$5="Logarithm",LN(0.001+'Advanced Entry'!F79),IF('Advanced Entry'!F$5="Exponential",EXP('Advanced Entry'!F79),'Advanced Entry'!F79)))-'Advanced Entry'!F$6)/('Advanced Entry'!F$7-'Advanced Entry'!F$6)),1))),"No data"))</f>
        <v/>
      </c>
      <c r="G79" s="17">
        <f>IF('Advanced Entry'!G79="","",IFERROR(MAX(0,MIN(10,ROUND(IF('Advanced Entry'!G$8="Decrease Risk",10-10*((IF('Advanced Entry'!G$5="Logarithm",LN(0.001+'Advanced Entry'!G79),IF('Advanced Entry'!G$5="Exponential",EXP('Advanced Entry'!G79),'Advanced Entry'!G79)))-'Advanced Entry'!G$6)/('Advanced Entry'!G$7-'Advanced Entry'!G$6),10*((IF('Advanced Entry'!G$5="Logarithm",LN(0.001+'Advanced Entry'!G79),IF('Advanced Entry'!G$5="Exponential",EXP('Advanced Entry'!G79),'Advanced Entry'!G79)))-'Advanced Entry'!G$6)/('Advanced Entry'!G$7-'Advanced Entry'!G$6)),1))),"No data"))</f>
        <v/>
      </c>
      <c r="H79" s="17">
        <f>IF('Advanced Entry'!H79="","",IFERROR(MAX(0,MIN(10,ROUND(IF('Advanced Entry'!H$8="Decrease Risk",10-10*((IF('Advanced Entry'!H$5="Logarithm",LN(0.001+'Advanced Entry'!H79),IF('Advanced Entry'!H$5="Exponential",EXP('Advanced Entry'!H79),'Advanced Entry'!H79)))-'Advanced Entry'!H$6)/('Advanced Entry'!H$7-'Advanced Entry'!H$6),10*((IF('Advanced Entry'!H$5="Logarithm",LN(0.001+'Advanced Entry'!H79),IF('Advanced Entry'!H$5="Exponential",EXP('Advanced Entry'!H79),'Advanced Entry'!H79)))-'Advanced Entry'!H$6)/('Advanced Entry'!H$7-'Advanced Entry'!H$6)),1))),"No data"))</f>
        <v/>
      </c>
      <c r="I79" s="17">
        <f>IF('Advanced Entry'!I79="","",IFERROR(MAX(0,MIN(10,ROUND(IF('Advanced Entry'!I$8="Decrease Risk",10-10*((IF('Advanced Entry'!I$5="Logarithm",LN(0.001+'Advanced Entry'!I79),IF('Advanced Entry'!I$5="Exponential",EXP('Advanced Entry'!I79),'Advanced Entry'!I79)))-'Advanced Entry'!I$6)/('Advanced Entry'!I$7-'Advanced Entry'!I$6),10*((IF('Advanced Entry'!I$5="Logarithm",LN(0.001+'Advanced Entry'!I79),IF('Advanced Entry'!I$5="Exponential",EXP('Advanced Entry'!I79),'Advanced Entry'!I79)))-'Advanced Entry'!I$6)/('Advanced Entry'!I$7-'Advanced Entry'!I$6)),1))),"No data"))</f>
        <v/>
      </c>
      <c r="J79" s="17">
        <f>IF('Advanced Entry'!J79="","",IFERROR(MAX(0,MIN(10,ROUND(IF('Advanced Entry'!J$8="Decrease Risk",10-10*((IF('Advanced Entry'!J$5="Logarithm",LN(0.001+'Advanced Entry'!J79),IF('Advanced Entry'!J$5="Exponential",EXP('Advanced Entry'!J79),'Advanced Entry'!J79)))-'Advanced Entry'!J$6)/('Advanced Entry'!J$7-'Advanced Entry'!J$6),10*((IF('Advanced Entry'!J$5="Logarithm",LN(0.001+'Advanced Entry'!J79),IF('Advanced Entry'!J$5="Exponential",EXP('Advanced Entry'!J79),'Advanced Entry'!J79)))-'Advanced Entry'!J$6)/('Advanced Entry'!J$7-'Advanced Entry'!J$6)),1))),"No data"))</f>
        <v/>
      </c>
      <c r="K79" s="17">
        <f>IF('Advanced Entry'!K79="","",IFERROR(MAX(0,MIN(10,ROUND(IF('Advanced Entry'!K$8="Decrease Risk",10-10*((IF('Advanced Entry'!K$5="Logarithm",LN(0.001+'Advanced Entry'!K79),IF('Advanced Entry'!K$5="Exponential",EXP('Advanced Entry'!K79),'Advanced Entry'!K79)))-'Advanced Entry'!K$6)/('Advanced Entry'!K$7-'Advanced Entry'!K$6),10*((IF('Advanced Entry'!K$5="Logarithm",LN(0.001+'Advanced Entry'!K79),IF('Advanced Entry'!K$5="Exponential",EXP('Advanced Entry'!K79),'Advanced Entry'!K79)))-'Advanced Entry'!K$6)/('Advanced Entry'!K$7-'Advanced Entry'!K$6)),1))),"No data"))</f>
        <v/>
      </c>
      <c r="L79" s="17">
        <f>IF('Advanced Entry'!L79="","",IFERROR(MAX(0,MIN(10,ROUND(IF('Advanced Entry'!L$8="Decrease Risk",10-10*((IF('Advanced Entry'!L$5="Logarithm",LN(0.001+'Advanced Entry'!L79),IF('Advanced Entry'!L$5="Exponential",EXP('Advanced Entry'!L79),'Advanced Entry'!L79)))-'Advanced Entry'!L$6)/('Advanced Entry'!L$7-'Advanced Entry'!L$6),10*((IF('Advanced Entry'!L$5="Logarithm",LN(0.001+'Advanced Entry'!L79),IF('Advanced Entry'!L$5="Exponential",EXP('Advanced Entry'!L79),'Advanced Entry'!L79)))-'Advanced Entry'!L$6)/('Advanced Entry'!L$7-'Advanced Entry'!L$6)),1))),"No data"))</f>
        <v/>
      </c>
      <c r="M79" s="17">
        <f>IF('Advanced Entry'!M79="","",IFERROR(MAX(0,MIN(10,ROUND(IF('Advanced Entry'!M$8="Decrease Risk",10-10*((IF('Advanced Entry'!M$5="Logarithm",LN(0.001+'Advanced Entry'!M79),IF('Advanced Entry'!M$5="Exponential",EXP('Advanced Entry'!M79),'Advanced Entry'!M79)))-'Advanced Entry'!M$6)/('Advanced Entry'!M$7-'Advanced Entry'!M$6),10*((IF('Advanced Entry'!M$5="Logarithm",LN(0.001+'Advanced Entry'!M79),IF('Advanced Entry'!M$5="Exponential",EXP('Advanced Entry'!M79),'Advanced Entry'!M79)))-'Advanced Entry'!M$6)/('Advanced Entry'!M$7-'Advanced Entry'!M$6)),1))),"No data"))</f>
        <v/>
      </c>
      <c r="N79" s="17">
        <f>IF('Advanced Entry'!N79="","",IFERROR(MAX(0,MIN(10,ROUND(IF('Advanced Entry'!N$8="Decrease Risk",10-10*((IF('Advanced Entry'!N$5="Logarithm",LN(0.001+'Advanced Entry'!N79),IF('Advanced Entry'!N$5="Exponential",EXP('Advanced Entry'!N79),'Advanced Entry'!N79)))-'Advanced Entry'!N$6)/('Advanced Entry'!N$7-'Advanced Entry'!N$6),10*((IF('Advanced Entry'!N$5="Logarithm",LN(0.001+'Advanced Entry'!N79),IF('Advanced Entry'!N$5="Exponential",EXP('Advanced Entry'!N79),'Advanced Entry'!N79)))-'Advanced Entry'!N$6)/('Advanced Entry'!N$7-'Advanced Entry'!N$6)),1))),"No data"))</f>
        <v/>
      </c>
      <c r="O79" s="17">
        <f>IF('Advanced Entry'!O79="","",IFERROR(MAX(0,MIN(10,ROUND(IF('Advanced Entry'!O$8="Decrease Risk",10-10*((IF('Advanced Entry'!O$5="Logarithm",LN(0.001+'Advanced Entry'!O79),IF('Advanced Entry'!O$5="Exponential",EXP('Advanced Entry'!O79),'Advanced Entry'!O79)))-'Advanced Entry'!O$6)/('Advanced Entry'!O$7-'Advanced Entry'!O$6),10*((IF('Advanced Entry'!O$5="Logarithm",LN(0.001+'Advanced Entry'!O79),IF('Advanced Entry'!O$5="Exponential",EXP('Advanced Entry'!O79),'Advanced Entry'!O79)))-'Advanced Entry'!O$6)/('Advanced Entry'!O$7-'Advanced Entry'!O$6)),1))),"No data"))</f>
        <v/>
      </c>
      <c r="P79" s="17">
        <f>IF('Advanced Entry'!P79="","",IFERROR(MAX(0,MIN(10,ROUND(IF('Advanced Entry'!P$8="Decrease Risk",10-10*((IF('Advanced Entry'!P$5="Logarithm",LN(0.001+'Advanced Entry'!P79),IF('Advanced Entry'!P$5="Exponential",EXP('Advanced Entry'!P79),'Advanced Entry'!P79)))-'Advanced Entry'!P$6)/('Advanced Entry'!P$7-'Advanced Entry'!P$6),10*((IF('Advanced Entry'!P$5="Logarithm",LN(0.001+'Advanced Entry'!P79),IF('Advanced Entry'!P$5="Exponential",EXP('Advanced Entry'!P79),'Advanced Entry'!P79)))-'Advanced Entry'!P$6)/('Advanced Entry'!P$7-'Advanced Entry'!P$6)),1))),"No data"))</f>
        <v/>
      </c>
      <c r="Q79" s="17">
        <f>IF('Advanced Entry'!Q79="","",IFERROR(MAX(0,MIN(10,ROUND(IF('Advanced Entry'!Q$8="Decrease Risk",10-10*((IF('Advanced Entry'!Q$5="Logarithm",LN(0.001+'Advanced Entry'!Q79),IF('Advanced Entry'!Q$5="Exponential",EXP('Advanced Entry'!Q79),'Advanced Entry'!Q79)))-'Advanced Entry'!Q$6)/('Advanced Entry'!Q$7-'Advanced Entry'!Q$6),10*((IF('Advanced Entry'!Q$5="Logarithm",LN(0.001+'Advanced Entry'!Q79),IF('Advanced Entry'!Q$5="Exponential",EXP('Advanced Entry'!Q79),'Advanced Entry'!Q79)))-'Advanced Entry'!Q$6)/('Advanced Entry'!Q$7-'Advanced Entry'!Q$6)),1))),"No data"))</f>
        <v/>
      </c>
      <c r="R79" s="17">
        <f>IF('Advanced Entry'!R79="","",IFERROR(MAX(0,MIN(10,ROUND(IF('Advanced Entry'!R$8="Decrease Risk",10-10*((IF('Advanced Entry'!R$5="Logarithm",LN(0.001+'Advanced Entry'!R79),IF('Advanced Entry'!R$5="Exponential",EXP('Advanced Entry'!R79),'Advanced Entry'!R79)))-'Advanced Entry'!R$6)/('Advanced Entry'!R$7-'Advanced Entry'!R$6),10*((IF('Advanced Entry'!R$5="Logarithm",LN(0.001+'Advanced Entry'!R79),IF('Advanced Entry'!R$5="Exponential",EXP('Advanced Entry'!R79),'Advanced Entry'!R79)))-'Advanced Entry'!R$6)/('Advanced Entry'!R$7-'Advanced Entry'!R$6)),1))),"No data"))</f>
        <v/>
      </c>
      <c r="S79" s="17">
        <f>IF('Advanced Entry'!S79="","",IFERROR(MAX(0,MIN(10,ROUND(IF('Advanced Entry'!S$8="Decrease Risk",10-10*((IF('Advanced Entry'!S$5="Logarithm",LN(0.001+'Advanced Entry'!S79),IF('Advanced Entry'!S$5="Exponential",EXP('Advanced Entry'!S79),'Advanced Entry'!S79)))-'Advanced Entry'!S$6)/('Advanced Entry'!S$7-'Advanced Entry'!S$6),10*((IF('Advanced Entry'!S$5="Logarithm",LN(0.001+'Advanced Entry'!S79),IF('Advanced Entry'!S$5="Exponential",EXP('Advanced Entry'!S79),'Advanced Entry'!S79)))-'Advanced Entry'!S$6)/('Advanced Entry'!S$7-'Advanced Entry'!S$6)),1))),"No data"))</f>
        <v/>
      </c>
      <c r="T79" s="17">
        <f>IF('Advanced Entry'!T79="","",IFERROR(MAX(0,MIN(10,ROUND(IF('Advanced Entry'!T$8="Decrease Risk",10-10*((IF('Advanced Entry'!T$5="Logarithm",LN(0.001+'Advanced Entry'!T79),IF('Advanced Entry'!T$5="Exponential",EXP('Advanced Entry'!T79),'Advanced Entry'!T79)))-'Advanced Entry'!T$6)/('Advanced Entry'!T$7-'Advanced Entry'!T$6),10*((IF('Advanced Entry'!T$5="Logarithm",LN(0.001+'Advanced Entry'!T79),IF('Advanced Entry'!T$5="Exponential",EXP('Advanced Entry'!T79),'Advanced Entry'!T79)))-'Advanced Entry'!T$6)/('Advanced Entry'!T$7-'Advanced Entry'!T$6)),1))),"No data"))</f>
        <v/>
      </c>
      <c r="U79" s="17">
        <f>IF('Advanced Entry'!U79="","",IFERROR(MAX(0,MIN(10,ROUND(IF('Advanced Entry'!U$8="Decrease Risk",10-10*((IF('Advanced Entry'!U$5="Logarithm",LN(0.001+'Advanced Entry'!U79),IF('Advanced Entry'!U$5="Exponential",EXP('Advanced Entry'!U79),'Advanced Entry'!U79)))-'Advanced Entry'!U$6)/('Advanced Entry'!U$7-'Advanced Entry'!U$6),10*((IF('Advanced Entry'!U$5="Logarithm",LN(0.001+'Advanced Entry'!U79),IF('Advanced Entry'!U$5="Exponential",EXP('Advanced Entry'!U79),'Advanced Entry'!U79)))-'Advanced Entry'!U$6)/('Advanced Entry'!U$7-'Advanced Entry'!U$6)),1))),"No data"))</f>
        <v/>
      </c>
      <c r="V79" s="17">
        <f>IF('Advanced Entry'!V79="","",IFERROR(MAX(0,MIN(10,ROUND(IF('Advanced Entry'!V$8="Decrease Risk",10-10*((IF('Advanced Entry'!V$5="Logarithm",LN(0.001+'Advanced Entry'!V79),IF('Advanced Entry'!V$5="Exponential",EXP('Advanced Entry'!V79),'Advanced Entry'!V79)))-'Advanced Entry'!V$6)/('Advanced Entry'!V$7-'Advanced Entry'!V$6),10*((IF('Advanced Entry'!V$5="Logarithm",LN(0.001+'Advanced Entry'!V79),IF('Advanced Entry'!V$5="Exponential",EXP('Advanced Entry'!V79),'Advanced Entry'!V79)))-'Advanced Entry'!V$6)/('Advanced Entry'!V$7-'Advanced Entry'!V$6)),1))),"No data"))</f>
        <v/>
      </c>
      <c r="W79" s="17">
        <f>IF('Advanced Entry'!W79="","",IFERROR(MAX(0,MIN(10,ROUND(IF('Advanced Entry'!W$8="Decrease Risk",10-10*((IF('Advanced Entry'!W$5="Logarithm",LN(0.001+'Advanced Entry'!W79),IF('Advanced Entry'!W$5="Exponential",EXP('Advanced Entry'!W79),'Advanced Entry'!W79)))-'Advanced Entry'!W$6)/('Advanced Entry'!W$7-'Advanced Entry'!W$6),10*((IF('Advanced Entry'!W$5="Logarithm",LN(0.001+'Advanced Entry'!W79),IF('Advanced Entry'!W$5="Exponential",EXP('Advanced Entry'!W79),'Advanced Entry'!W79)))-'Advanced Entry'!W$6)/('Advanced Entry'!W$7-'Advanced Entry'!W$6)),1))),"No data"))</f>
        <v/>
      </c>
      <c r="X79" s="17">
        <f>IF('Advanced Entry'!X79="","",IFERROR(MAX(0,MIN(10,ROUND(IF('Advanced Entry'!X$8="Decrease Risk",10-10*((IF('Advanced Entry'!X$5="Logarithm",LN(0.001+'Advanced Entry'!X79),IF('Advanced Entry'!X$5="Exponential",EXP('Advanced Entry'!X79),'Advanced Entry'!X79)))-'Advanced Entry'!X$6)/('Advanced Entry'!X$7-'Advanced Entry'!X$6),10*((IF('Advanced Entry'!X$5="Logarithm",LN(0.001+'Advanced Entry'!X79),IF('Advanced Entry'!X$5="Exponential",EXP('Advanced Entry'!X79),'Advanced Entry'!X79)))-'Advanced Entry'!X$6)/('Advanced Entry'!X$7-'Advanced Entry'!X$6)),1))),"No data"))</f>
        <v/>
      </c>
      <c r="Y79" s="17">
        <f>IF('Advanced Entry'!Y79="","",IFERROR(MAX(0,MIN(10,ROUND(IF('Advanced Entry'!Y$8="Decrease Risk",10-10*((IF('Advanced Entry'!Y$5="Logarithm",LN(0.001+'Advanced Entry'!Y79),IF('Advanced Entry'!Y$5="Exponential",EXP('Advanced Entry'!Y79),'Advanced Entry'!Y79)))-'Advanced Entry'!Y$6)/('Advanced Entry'!Y$7-'Advanced Entry'!Y$6),10*((IF('Advanced Entry'!Y$5="Logarithm",LN(0.001+'Advanced Entry'!Y79),IF('Advanced Entry'!Y$5="Exponential",EXP('Advanced Entry'!Y79),'Advanced Entry'!Y79)))-'Advanced Entry'!Y$6)/('Advanced Entry'!Y$7-'Advanced Entry'!Y$6)),1))),"No data"))</f>
        <v/>
      </c>
      <c r="Z79" s="17">
        <f>IF('Advanced Entry'!Z79="","",IFERROR(MAX(0,MIN(10,ROUND(IF('Advanced Entry'!Z$8="Decrease Risk",10-10*((IF('Advanced Entry'!Z$5="Logarithm",LN(0.001+'Advanced Entry'!Z79),IF('Advanced Entry'!Z$5="Exponential",EXP('Advanced Entry'!Z79),'Advanced Entry'!Z79)))-'Advanced Entry'!Z$6)/('Advanced Entry'!Z$7-'Advanced Entry'!Z$6),10*((IF('Advanced Entry'!Z$5="Logarithm",LN(0.001+'Advanced Entry'!Z79),IF('Advanced Entry'!Z$5="Exponential",EXP('Advanced Entry'!Z79),'Advanced Entry'!Z79)))-'Advanced Entry'!Z$6)/('Advanced Entry'!Z$7-'Advanced Entry'!Z$6)),1))),"No data"))</f>
        <v/>
      </c>
      <c r="AA79" s="17">
        <f>IF('Advanced Entry'!AA79="","",IFERROR(MAX(0,MIN(10,ROUND(IF('Advanced Entry'!AA$8="Decrease Risk",10-10*((IF('Advanced Entry'!AA$5="Logarithm",LN(0.001+'Advanced Entry'!AA79),IF('Advanced Entry'!AA$5="Exponential",EXP('Advanced Entry'!AA79),'Advanced Entry'!AA79)))-'Advanced Entry'!AA$6)/('Advanced Entry'!AA$7-'Advanced Entry'!AA$6),10*((IF('Advanced Entry'!AA$5="Logarithm",LN(0.001+'Advanced Entry'!AA79),IF('Advanced Entry'!AA$5="Exponential",EXP('Advanced Entry'!AA79),'Advanced Entry'!AA79)))-'Advanced Entry'!AA$6)/('Advanced Entry'!AA$7-'Advanced Entry'!AA$6)),1))),"No data"))</f>
        <v/>
      </c>
      <c r="AB79" s="17">
        <f>IF('Advanced Entry'!AB79="","",IFERROR(MAX(0,MIN(10,ROUND(IF('Advanced Entry'!AB$8="Decrease Risk",10-10*((IF('Advanced Entry'!AB$5="Logarithm",LN(0.001+'Advanced Entry'!AB79),IF('Advanced Entry'!AB$5="Exponential",EXP('Advanced Entry'!AB79),'Advanced Entry'!AB79)))-'Advanced Entry'!AB$6)/('Advanced Entry'!AB$7-'Advanced Entry'!AB$6),10*((IF('Advanced Entry'!AB$5="Logarithm",LN(0.001+'Advanced Entry'!AB79),IF('Advanced Entry'!AB$5="Exponential",EXP('Advanced Entry'!AB79),'Advanced Entry'!AB79)))-'Advanced Entry'!AB$6)/('Advanced Entry'!AB$7-'Advanced Entry'!AB$6)),1))),"No data"))</f>
        <v/>
      </c>
    </row>
    <row r="80">
      <c r="A80" t="inlineStr">
        <is>
          <t>Lindi</t>
        </is>
      </c>
      <c r="B80" t="inlineStr">
        <is>
          <t>Liwale District</t>
        </is>
      </c>
      <c r="C80" t="inlineStr">
        <is>
          <t>C061</t>
        </is>
      </c>
      <c r="D80" s="17">
        <f>IF('Advanced Entry'!D80="","",IFERROR(MAX(0,MIN(10,ROUND(IF('Advanced Entry'!D$8="Decrease Risk",10-10*((IF('Advanced Entry'!D$5="Logarithm",LN(0.001+'Advanced Entry'!D80),IF('Advanced Entry'!D$5="Exponential",EXP('Advanced Entry'!D80),'Advanced Entry'!D80)))-'Advanced Entry'!D$6)/('Advanced Entry'!D$7-'Advanced Entry'!D$6),10*((IF('Advanced Entry'!D$5="Logarithm",LN(0.001+'Advanced Entry'!D80),IF('Advanced Entry'!D$5="Exponential",EXP('Advanced Entry'!D80),'Advanced Entry'!D80)))-'Advanced Entry'!D$6)/('Advanced Entry'!D$7-'Advanced Entry'!D$6)),1))),"No data"))</f>
        <v/>
      </c>
      <c r="E80" s="17">
        <f>IF('Advanced Entry'!E80="","",IFERROR(MAX(0,MIN(10,ROUND(IF('Advanced Entry'!E$8="Decrease Risk",10-10*((IF('Advanced Entry'!E$5="Logarithm",LN(0.001+'Advanced Entry'!E80),IF('Advanced Entry'!E$5="Exponential",EXP('Advanced Entry'!E80),'Advanced Entry'!E80)))-'Advanced Entry'!E$6)/('Advanced Entry'!E$7-'Advanced Entry'!E$6),10*((IF('Advanced Entry'!E$5="Logarithm",LN(0.001+'Advanced Entry'!E80),IF('Advanced Entry'!E$5="Exponential",EXP('Advanced Entry'!E80),'Advanced Entry'!E80)))-'Advanced Entry'!E$6)/('Advanced Entry'!E$7-'Advanced Entry'!E$6)),1))),"No data"))</f>
        <v/>
      </c>
      <c r="F80" s="17">
        <f>IF('Advanced Entry'!F80="","",IFERROR(MAX(0,MIN(10,ROUND(IF('Advanced Entry'!F$8="Decrease Risk",10-10*((IF('Advanced Entry'!F$5="Logarithm",LN(0.001+'Advanced Entry'!F80),IF('Advanced Entry'!F$5="Exponential",EXP('Advanced Entry'!F80),'Advanced Entry'!F80)))-'Advanced Entry'!F$6)/('Advanced Entry'!F$7-'Advanced Entry'!F$6),10*((IF('Advanced Entry'!F$5="Logarithm",LN(0.001+'Advanced Entry'!F80),IF('Advanced Entry'!F$5="Exponential",EXP('Advanced Entry'!F80),'Advanced Entry'!F80)))-'Advanced Entry'!F$6)/('Advanced Entry'!F$7-'Advanced Entry'!F$6)),1))),"No data"))</f>
        <v/>
      </c>
      <c r="G80" s="17">
        <f>IF('Advanced Entry'!G80="","",IFERROR(MAX(0,MIN(10,ROUND(IF('Advanced Entry'!G$8="Decrease Risk",10-10*((IF('Advanced Entry'!G$5="Logarithm",LN(0.001+'Advanced Entry'!G80),IF('Advanced Entry'!G$5="Exponential",EXP('Advanced Entry'!G80),'Advanced Entry'!G80)))-'Advanced Entry'!G$6)/('Advanced Entry'!G$7-'Advanced Entry'!G$6),10*((IF('Advanced Entry'!G$5="Logarithm",LN(0.001+'Advanced Entry'!G80),IF('Advanced Entry'!G$5="Exponential",EXP('Advanced Entry'!G80),'Advanced Entry'!G80)))-'Advanced Entry'!G$6)/('Advanced Entry'!G$7-'Advanced Entry'!G$6)),1))),"No data"))</f>
        <v/>
      </c>
      <c r="H80" s="17">
        <f>IF('Advanced Entry'!H80="","",IFERROR(MAX(0,MIN(10,ROUND(IF('Advanced Entry'!H$8="Decrease Risk",10-10*((IF('Advanced Entry'!H$5="Logarithm",LN(0.001+'Advanced Entry'!H80),IF('Advanced Entry'!H$5="Exponential",EXP('Advanced Entry'!H80),'Advanced Entry'!H80)))-'Advanced Entry'!H$6)/('Advanced Entry'!H$7-'Advanced Entry'!H$6),10*((IF('Advanced Entry'!H$5="Logarithm",LN(0.001+'Advanced Entry'!H80),IF('Advanced Entry'!H$5="Exponential",EXP('Advanced Entry'!H80),'Advanced Entry'!H80)))-'Advanced Entry'!H$6)/('Advanced Entry'!H$7-'Advanced Entry'!H$6)),1))),"No data"))</f>
        <v/>
      </c>
      <c r="I80" s="17">
        <f>IF('Advanced Entry'!I80="","",IFERROR(MAX(0,MIN(10,ROUND(IF('Advanced Entry'!I$8="Decrease Risk",10-10*((IF('Advanced Entry'!I$5="Logarithm",LN(0.001+'Advanced Entry'!I80),IF('Advanced Entry'!I$5="Exponential",EXP('Advanced Entry'!I80),'Advanced Entry'!I80)))-'Advanced Entry'!I$6)/('Advanced Entry'!I$7-'Advanced Entry'!I$6),10*((IF('Advanced Entry'!I$5="Logarithm",LN(0.001+'Advanced Entry'!I80),IF('Advanced Entry'!I$5="Exponential",EXP('Advanced Entry'!I80),'Advanced Entry'!I80)))-'Advanced Entry'!I$6)/('Advanced Entry'!I$7-'Advanced Entry'!I$6)),1))),"No data"))</f>
        <v/>
      </c>
      <c r="J80" s="17">
        <f>IF('Advanced Entry'!J80="","",IFERROR(MAX(0,MIN(10,ROUND(IF('Advanced Entry'!J$8="Decrease Risk",10-10*((IF('Advanced Entry'!J$5="Logarithm",LN(0.001+'Advanced Entry'!J80),IF('Advanced Entry'!J$5="Exponential",EXP('Advanced Entry'!J80),'Advanced Entry'!J80)))-'Advanced Entry'!J$6)/('Advanced Entry'!J$7-'Advanced Entry'!J$6),10*((IF('Advanced Entry'!J$5="Logarithm",LN(0.001+'Advanced Entry'!J80),IF('Advanced Entry'!J$5="Exponential",EXP('Advanced Entry'!J80),'Advanced Entry'!J80)))-'Advanced Entry'!J$6)/('Advanced Entry'!J$7-'Advanced Entry'!J$6)),1))),"No data"))</f>
        <v/>
      </c>
      <c r="K80" s="17">
        <f>IF('Advanced Entry'!K80="","",IFERROR(MAX(0,MIN(10,ROUND(IF('Advanced Entry'!K$8="Decrease Risk",10-10*((IF('Advanced Entry'!K$5="Logarithm",LN(0.001+'Advanced Entry'!K80),IF('Advanced Entry'!K$5="Exponential",EXP('Advanced Entry'!K80),'Advanced Entry'!K80)))-'Advanced Entry'!K$6)/('Advanced Entry'!K$7-'Advanced Entry'!K$6),10*((IF('Advanced Entry'!K$5="Logarithm",LN(0.001+'Advanced Entry'!K80),IF('Advanced Entry'!K$5="Exponential",EXP('Advanced Entry'!K80),'Advanced Entry'!K80)))-'Advanced Entry'!K$6)/('Advanced Entry'!K$7-'Advanced Entry'!K$6)),1))),"No data"))</f>
        <v/>
      </c>
      <c r="L80" s="17">
        <f>IF('Advanced Entry'!L80="","",IFERROR(MAX(0,MIN(10,ROUND(IF('Advanced Entry'!L$8="Decrease Risk",10-10*((IF('Advanced Entry'!L$5="Logarithm",LN(0.001+'Advanced Entry'!L80),IF('Advanced Entry'!L$5="Exponential",EXP('Advanced Entry'!L80),'Advanced Entry'!L80)))-'Advanced Entry'!L$6)/('Advanced Entry'!L$7-'Advanced Entry'!L$6),10*((IF('Advanced Entry'!L$5="Logarithm",LN(0.001+'Advanced Entry'!L80),IF('Advanced Entry'!L$5="Exponential",EXP('Advanced Entry'!L80),'Advanced Entry'!L80)))-'Advanced Entry'!L$6)/('Advanced Entry'!L$7-'Advanced Entry'!L$6)),1))),"No data"))</f>
        <v/>
      </c>
      <c r="M80" s="17">
        <f>IF('Advanced Entry'!M80="","",IFERROR(MAX(0,MIN(10,ROUND(IF('Advanced Entry'!M$8="Decrease Risk",10-10*((IF('Advanced Entry'!M$5="Logarithm",LN(0.001+'Advanced Entry'!M80),IF('Advanced Entry'!M$5="Exponential",EXP('Advanced Entry'!M80),'Advanced Entry'!M80)))-'Advanced Entry'!M$6)/('Advanced Entry'!M$7-'Advanced Entry'!M$6),10*((IF('Advanced Entry'!M$5="Logarithm",LN(0.001+'Advanced Entry'!M80),IF('Advanced Entry'!M$5="Exponential",EXP('Advanced Entry'!M80),'Advanced Entry'!M80)))-'Advanced Entry'!M$6)/('Advanced Entry'!M$7-'Advanced Entry'!M$6)),1))),"No data"))</f>
        <v/>
      </c>
      <c r="N80" s="17">
        <f>IF('Advanced Entry'!N80="","",IFERROR(MAX(0,MIN(10,ROUND(IF('Advanced Entry'!N$8="Decrease Risk",10-10*((IF('Advanced Entry'!N$5="Logarithm",LN(0.001+'Advanced Entry'!N80),IF('Advanced Entry'!N$5="Exponential",EXP('Advanced Entry'!N80),'Advanced Entry'!N80)))-'Advanced Entry'!N$6)/('Advanced Entry'!N$7-'Advanced Entry'!N$6),10*((IF('Advanced Entry'!N$5="Logarithm",LN(0.001+'Advanced Entry'!N80),IF('Advanced Entry'!N$5="Exponential",EXP('Advanced Entry'!N80),'Advanced Entry'!N80)))-'Advanced Entry'!N$6)/('Advanced Entry'!N$7-'Advanced Entry'!N$6)),1))),"No data"))</f>
        <v/>
      </c>
      <c r="O80" s="17">
        <f>IF('Advanced Entry'!O80="","",IFERROR(MAX(0,MIN(10,ROUND(IF('Advanced Entry'!O$8="Decrease Risk",10-10*((IF('Advanced Entry'!O$5="Logarithm",LN(0.001+'Advanced Entry'!O80),IF('Advanced Entry'!O$5="Exponential",EXP('Advanced Entry'!O80),'Advanced Entry'!O80)))-'Advanced Entry'!O$6)/('Advanced Entry'!O$7-'Advanced Entry'!O$6),10*((IF('Advanced Entry'!O$5="Logarithm",LN(0.001+'Advanced Entry'!O80),IF('Advanced Entry'!O$5="Exponential",EXP('Advanced Entry'!O80),'Advanced Entry'!O80)))-'Advanced Entry'!O$6)/('Advanced Entry'!O$7-'Advanced Entry'!O$6)),1))),"No data"))</f>
        <v/>
      </c>
      <c r="P80" s="17">
        <f>IF('Advanced Entry'!P80="","",IFERROR(MAX(0,MIN(10,ROUND(IF('Advanced Entry'!P$8="Decrease Risk",10-10*((IF('Advanced Entry'!P$5="Logarithm",LN(0.001+'Advanced Entry'!P80),IF('Advanced Entry'!P$5="Exponential",EXP('Advanced Entry'!P80),'Advanced Entry'!P80)))-'Advanced Entry'!P$6)/('Advanced Entry'!P$7-'Advanced Entry'!P$6),10*((IF('Advanced Entry'!P$5="Logarithm",LN(0.001+'Advanced Entry'!P80),IF('Advanced Entry'!P$5="Exponential",EXP('Advanced Entry'!P80),'Advanced Entry'!P80)))-'Advanced Entry'!P$6)/('Advanced Entry'!P$7-'Advanced Entry'!P$6)),1))),"No data"))</f>
        <v/>
      </c>
      <c r="Q80" s="17">
        <f>IF('Advanced Entry'!Q80="","",IFERROR(MAX(0,MIN(10,ROUND(IF('Advanced Entry'!Q$8="Decrease Risk",10-10*((IF('Advanced Entry'!Q$5="Logarithm",LN(0.001+'Advanced Entry'!Q80),IF('Advanced Entry'!Q$5="Exponential",EXP('Advanced Entry'!Q80),'Advanced Entry'!Q80)))-'Advanced Entry'!Q$6)/('Advanced Entry'!Q$7-'Advanced Entry'!Q$6),10*((IF('Advanced Entry'!Q$5="Logarithm",LN(0.001+'Advanced Entry'!Q80),IF('Advanced Entry'!Q$5="Exponential",EXP('Advanced Entry'!Q80),'Advanced Entry'!Q80)))-'Advanced Entry'!Q$6)/('Advanced Entry'!Q$7-'Advanced Entry'!Q$6)),1))),"No data"))</f>
        <v/>
      </c>
      <c r="R80" s="17">
        <f>IF('Advanced Entry'!R80="","",IFERROR(MAX(0,MIN(10,ROUND(IF('Advanced Entry'!R$8="Decrease Risk",10-10*((IF('Advanced Entry'!R$5="Logarithm",LN(0.001+'Advanced Entry'!R80),IF('Advanced Entry'!R$5="Exponential",EXP('Advanced Entry'!R80),'Advanced Entry'!R80)))-'Advanced Entry'!R$6)/('Advanced Entry'!R$7-'Advanced Entry'!R$6),10*((IF('Advanced Entry'!R$5="Logarithm",LN(0.001+'Advanced Entry'!R80),IF('Advanced Entry'!R$5="Exponential",EXP('Advanced Entry'!R80),'Advanced Entry'!R80)))-'Advanced Entry'!R$6)/('Advanced Entry'!R$7-'Advanced Entry'!R$6)),1))),"No data"))</f>
        <v/>
      </c>
      <c r="S80" s="17">
        <f>IF('Advanced Entry'!S80="","",IFERROR(MAX(0,MIN(10,ROUND(IF('Advanced Entry'!S$8="Decrease Risk",10-10*((IF('Advanced Entry'!S$5="Logarithm",LN(0.001+'Advanced Entry'!S80),IF('Advanced Entry'!S$5="Exponential",EXP('Advanced Entry'!S80),'Advanced Entry'!S80)))-'Advanced Entry'!S$6)/('Advanced Entry'!S$7-'Advanced Entry'!S$6),10*((IF('Advanced Entry'!S$5="Logarithm",LN(0.001+'Advanced Entry'!S80),IF('Advanced Entry'!S$5="Exponential",EXP('Advanced Entry'!S80),'Advanced Entry'!S80)))-'Advanced Entry'!S$6)/('Advanced Entry'!S$7-'Advanced Entry'!S$6)),1))),"No data"))</f>
        <v/>
      </c>
      <c r="T80" s="17">
        <f>IF('Advanced Entry'!T80="","",IFERROR(MAX(0,MIN(10,ROUND(IF('Advanced Entry'!T$8="Decrease Risk",10-10*((IF('Advanced Entry'!T$5="Logarithm",LN(0.001+'Advanced Entry'!T80),IF('Advanced Entry'!T$5="Exponential",EXP('Advanced Entry'!T80),'Advanced Entry'!T80)))-'Advanced Entry'!T$6)/('Advanced Entry'!T$7-'Advanced Entry'!T$6),10*((IF('Advanced Entry'!T$5="Logarithm",LN(0.001+'Advanced Entry'!T80),IF('Advanced Entry'!T$5="Exponential",EXP('Advanced Entry'!T80),'Advanced Entry'!T80)))-'Advanced Entry'!T$6)/('Advanced Entry'!T$7-'Advanced Entry'!T$6)),1))),"No data"))</f>
        <v/>
      </c>
      <c r="U80" s="17">
        <f>IF('Advanced Entry'!U80="","",IFERROR(MAX(0,MIN(10,ROUND(IF('Advanced Entry'!U$8="Decrease Risk",10-10*((IF('Advanced Entry'!U$5="Logarithm",LN(0.001+'Advanced Entry'!U80),IF('Advanced Entry'!U$5="Exponential",EXP('Advanced Entry'!U80),'Advanced Entry'!U80)))-'Advanced Entry'!U$6)/('Advanced Entry'!U$7-'Advanced Entry'!U$6),10*((IF('Advanced Entry'!U$5="Logarithm",LN(0.001+'Advanced Entry'!U80),IF('Advanced Entry'!U$5="Exponential",EXP('Advanced Entry'!U80),'Advanced Entry'!U80)))-'Advanced Entry'!U$6)/('Advanced Entry'!U$7-'Advanced Entry'!U$6)),1))),"No data"))</f>
        <v/>
      </c>
      <c r="V80" s="17">
        <f>IF('Advanced Entry'!V80="","",IFERROR(MAX(0,MIN(10,ROUND(IF('Advanced Entry'!V$8="Decrease Risk",10-10*((IF('Advanced Entry'!V$5="Logarithm",LN(0.001+'Advanced Entry'!V80),IF('Advanced Entry'!V$5="Exponential",EXP('Advanced Entry'!V80),'Advanced Entry'!V80)))-'Advanced Entry'!V$6)/('Advanced Entry'!V$7-'Advanced Entry'!V$6),10*((IF('Advanced Entry'!V$5="Logarithm",LN(0.001+'Advanced Entry'!V80),IF('Advanced Entry'!V$5="Exponential",EXP('Advanced Entry'!V80),'Advanced Entry'!V80)))-'Advanced Entry'!V$6)/('Advanced Entry'!V$7-'Advanced Entry'!V$6)),1))),"No data"))</f>
        <v/>
      </c>
      <c r="W80" s="17">
        <f>IF('Advanced Entry'!W80="","",IFERROR(MAX(0,MIN(10,ROUND(IF('Advanced Entry'!W$8="Decrease Risk",10-10*((IF('Advanced Entry'!W$5="Logarithm",LN(0.001+'Advanced Entry'!W80),IF('Advanced Entry'!W$5="Exponential",EXP('Advanced Entry'!W80),'Advanced Entry'!W80)))-'Advanced Entry'!W$6)/('Advanced Entry'!W$7-'Advanced Entry'!W$6),10*((IF('Advanced Entry'!W$5="Logarithm",LN(0.001+'Advanced Entry'!W80),IF('Advanced Entry'!W$5="Exponential",EXP('Advanced Entry'!W80),'Advanced Entry'!W80)))-'Advanced Entry'!W$6)/('Advanced Entry'!W$7-'Advanced Entry'!W$6)),1))),"No data"))</f>
        <v/>
      </c>
      <c r="X80" s="17">
        <f>IF('Advanced Entry'!X80="","",IFERROR(MAX(0,MIN(10,ROUND(IF('Advanced Entry'!X$8="Decrease Risk",10-10*((IF('Advanced Entry'!X$5="Logarithm",LN(0.001+'Advanced Entry'!X80),IF('Advanced Entry'!X$5="Exponential",EXP('Advanced Entry'!X80),'Advanced Entry'!X80)))-'Advanced Entry'!X$6)/('Advanced Entry'!X$7-'Advanced Entry'!X$6),10*((IF('Advanced Entry'!X$5="Logarithm",LN(0.001+'Advanced Entry'!X80),IF('Advanced Entry'!X$5="Exponential",EXP('Advanced Entry'!X80),'Advanced Entry'!X80)))-'Advanced Entry'!X$6)/('Advanced Entry'!X$7-'Advanced Entry'!X$6)),1))),"No data"))</f>
        <v/>
      </c>
      <c r="Y80" s="17">
        <f>IF('Advanced Entry'!Y80="","",IFERROR(MAX(0,MIN(10,ROUND(IF('Advanced Entry'!Y$8="Decrease Risk",10-10*((IF('Advanced Entry'!Y$5="Logarithm",LN(0.001+'Advanced Entry'!Y80),IF('Advanced Entry'!Y$5="Exponential",EXP('Advanced Entry'!Y80),'Advanced Entry'!Y80)))-'Advanced Entry'!Y$6)/('Advanced Entry'!Y$7-'Advanced Entry'!Y$6),10*((IF('Advanced Entry'!Y$5="Logarithm",LN(0.001+'Advanced Entry'!Y80),IF('Advanced Entry'!Y$5="Exponential",EXP('Advanced Entry'!Y80),'Advanced Entry'!Y80)))-'Advanced Entry'!Y$6)/('Advanced Entry'!Y$7-'Advanced Entry'!Y$6)),1))),"No data"))</f>
        <v/>
      </c>
      <c r="Z80" s="17">
        <f>IF('Advanced Entry'!Z80="","",IFERROR(MAX(0,MIN(10,ROUND(IF('Advanced Entry'!Z$8="Decrease Risk",10-10*((IF('Advanced Entry'!Z$5="Logarithm",LN(0.001+'Advanced Entry'!Z80),IF('Advanced Entry'!Z$5="Exponential",EXP('Advanced Entry'!Z80),'Advanced Entry'!Z80)))-'Advanced Entry'!Z$6)/('Advanced Entry'!Z$7-'Advanced Entry'!Z$6),10*((IF('Advanced Entry'!Z$5="Logarithm",LN(0.001+'Advanced Entry'!Z80),IF('Advanced Entry'!Z$5="Exponential",EXP('Advanced Entry'!Z80),'Advanced Entry'!Z80)))-'Advanced Entry'!Z$6)/('Advanced Entry'!Z$7-'Advanced Entry'!Z$6)),1))),"No data"))</f>
        <v/>
      </c>
      <c r="AA80" s="17">
        <f>IF('Advanced Entry'!AA80="","",IFERROR(MAX(0,MIN(10,ROUND(IF('Advanced Entry'!AA$8="Decrease Risk",10-10*((IF('Advanced Entry'!AA$5="Logarithm",LN(0.001+'Advanced Entry'!AA80),IF('Advanced Entry'!AA$5="Exponential",EXP('Advanced Entry'!AA80),'Advanced Entry'!AA80)))-'Advanced Entry'!AA$6)/('Advanced Entry'!AA$7-'Advanced Entry'!AA$6),10*((IF('Advanced Entry'!AA$5="Logarithm",LN(0.001+'Advanced Entry'!AA80),IF('Advanced Entry'!AA$5="Exponential",EXP('Advanced Entry'!AA80),'Advanced Entry'!AA80)))-'Advanced Entry'!AA$6)/('Advanced Entry'!AA$7-'Advanced Entry'!AA$6)),1))),"No data"))</f>
        <v/>
      </c>
      <c r="AB80" s="17">
        <f>IF('Advanced Entry'!AB80="","",IFERROR(MAX(0,MIN(10,ROUND(IF('Advanced Entry'!AB$8="Decrease Risk",10-10*((IF('Advanced Entry'!AB$5="Logarithm",LN(0.001+'Advanced Entry'!AB80),IF('Advanced Entry'!AB$5="Exponential",EXP('Advanced Entry'!AB80),'Advanced Entry'!AB80)))-'Advanced Entry'!AB$6)/('Advanced Entry'!AB$7-'Advanced Entry'!AB$6),10*((IF('Advanced Entry'!AB$5="Logarithm",LN(0.001+'Advanced Entry'!AB80),IF('Advanced Entry'!AB$5="Exponential",EXP('Advanced Entry'!AB80),'Advanced Entry'!AB80)))-'Advanced Entry'!AB$6)/('Advanced Entry'!AB$7-'Advanced Entry'!AB$6)),1))),"No data"))</f>
        <v/>
      </c>
    </row>
    <row r="81">
      <c r="A81" t="inlineStr">
        <is>
          <t>Lindi</t>
        </is>
      </c>
      <c r="B81" t="inlineStr">
        <is>
          <t>Mtama District</t>
        </is>
      </c>
      <c r="C81" t="inlineStr">
        <is>
          <t>C058</t>
        </is>
      </c>
      <c r="D81" s="17">
        <f>IF('Advanced Entry'!D81="","",IFERROR(MAX(0,MIN(10,ROUND(IF('Advanced Entry'!D$8="Decrease Risk",10-10*((IF('Advanced Entry'!D$5="Logarithm",LN(0.001+'Advanced Entry'!D81),IF('Advanced Entry'!D$5="Exponential",EXP('Advanced Entry'!D81),'Advanced Entry'!D81)))-'Advanced Entry'!D$6)/('Advanced Entry'!D$7-'Advanced Entry'!D$6),10*((IF('Advanced Entry'!D$5="Logarithm",LN(0.001+'Advanced Entry'!D81),IF('Advanced Entry'!D$5="Exponential",EXP('Advanced Entry'!D81),'Advanced Entry'!D81)))-'Advanced Entry'!D$6)/('Advanced Entry'!D$7-'Advanced Entry'!D$6)),1))),"No data"))</f>
        <v/>
      </c>
      <c r="E81" s="17">
        <f>IF('Advanced Entry'!E81="","",IFERROR(MAX(0,MIN(10,ROUND(IF('Advanced Entry'!E$8="Decrease Risk",10-10*((IF('Advanced Entry'!E$5="Logarithm",LN(0.001+'Advanced Entry'!E81),IF('Advanced Entry'!E$5="Exponential",EXP('Advanced Entry'!E81),'Advanced Entry'!E81)))-'Advanced Entry'!E$6)/('Advanced Entry'!E$7-'Advanced Entry'!E$6),10*((IF('Advanced Entry'!E$5="Logarithm",LN(0.001+'Advanced Entry'!E81),IF('Advanced Entry'!E$5="Exponential",EXP('Advanced Entry'!E81),'Advanced Entry'!E81)))-'Advanced Entry'!E$6)/('Advanced Entry'!E$7-'Advanced Entry'!E$6)),1))),"No data"))</f>
        <v/>
      </c>
      <c r="F81" s="17">
        <f>IF('Advanced Entry'!F81="","",IFERROR(MAX(0,MIN(10,ROUND(IF('Advanced Entry'!F$8="Decrease Risk",10-10*((IF('Advanced Entry'!F$5="Logarithm",LN(0.001+'Advanced Entry'!F81),IF('Advanced Entry'!F$5="Exponential",EXP('Advanced Entry'!F81),'Advanced Entry'!F81)))-'Advanced Entry'!F$6)/('Advanced Entry'!F$7-'Advanced Entry'!F$6),10*((IF('Advanced Entry'!F$5="Logarithm",LN(0.001+'Advanced Entry'!F81),IF('Advanced Entry'!F$5="Exponential",EXP('Advanced Entry'!F81),'Advanced Entry'!F81)))-'Advanced Entry'!F$6)/('Advanced Entry'!F$7-'Advanced Entry'!F$6)),1))),"No data"))</f>
        <v/>
      </c>
      <c r="G81" s="17">
        <f>IF('Advanced Entry'!G81="","",IFERROR(MAX(0,MIN(10,ROUND(IF('Advanced Entry'!G$8="Decrease Risk",10-10*((IF('Advanced Entry'!G$5="Logarithm",LN(0.001+'Advanced Entry'!G81),IF('Advanced Entry'!G$5="Exponential",EXP('Advanced Entry'!G81),'Advanced Entry'!G81)))-'Advanced Entry'!G$6)/('Advanced Entry'!G$7-'Advanced Entry'!G$6),10*((IF('Advanced Entry'!G$5="Logarithm",LN(0.001+'Advanced Entry'!G81),IF('Advanced Entry'!G$5="Exponential",EXP('Advanced Entry'!G81),'Advanced Entry'!G81)))-'Advanced Entry'!G$6)/('Advanced Entry'!G$7-'Advanced Entry'!G$6)),1))),"No data"))</f>
        <v/>
      </c>
      <c r="H81" s="17">
        <f>IF('Advanced Entry'!H81="","",IFERROR(MAX(0,MIN(10,ROUND(IF('Advanced Entry'!H$8="Decrease Risk",10-10*((IF('Advanced Entry'!H$5="Logarithm",LN(0.001+'Advanced Entry'!H81),IF('Advanced Entry'!H$5="Exponential",EXP('Advanced Entry'!H81),'Advanced Entry'!H81)))-'Advanced Entry'!H$6)/('Advanced Entry'!H$7-'Advanced Entry'!H$6),10*((IF('Advanced Entry'!H$5="Logarithm",LN(0.001+'Advanced Entry'!H81),IF('Advanced Entry'!H$5="Exponential",EXP('Advanced Entry'!H81),'Advanced Entry'!H81)))-'Advanced Entry'!H$6)/('Advanced Entry'!H$7-'Advanced Entry'!H$6)),1))),"No data"))</f>
        <v/>
      </c>
      <c r="I81" s="17">
        <f>IF('Advanced Entry'!I81="","",IFERROR(MAX(0,MIN(10,ROUND(IF('Advanced Entry'!I$8="Decrease Risk",10-10*((IF('Advanced Entry'!I$5="Logarithm",LN(0.001+'Advanced Entry'!I81),IF('Advanced Entry'!I$5="Exponential",EXP('Advanced Entry'!I81),'Advanced Entry'!I81)))-'Advanced Entry'!I$6)/('Advanced Entry'!I$7-'Advanced Entry'!I$6),10*((IF('Advanced Entry'!I$5="Logarithm",LN(0.001+'Advanced Entry'!I81),IF('Advanced Entry'!I$5="Exponential",EXP('Advanced Entry'!I81),'Advanced Entry'!I81)))-'Advanced Entry'!I$6)/('Advanced Entry'!I$7-'Advanced Entry'!I$6)),1))),"No data"))</f>
        <v/>
      </c>
      <c r="J81" s="17">
        <f>IF('Advanced Entry'!J81="","",IFERROR(MAX(0,MIN(10,ROUND(IF('Advanced Entry'!J$8="Decrease Risk",10-10*((IF('Advanced Entry'!J$5="Logarithm",LN(0.001+'Advanced Entry'!J81),IF('Advanced Entry'!J$5="Exponential",EXP('Advanced Entry'!J81),'Advanced Entry'!J81)))-'Advanced Entry'!J$6)/('Advanced Entry'!J$7-'Advanced Entry'!J$6),10*((IF('Advanced Entry'!J$5="Logarithm",LN(0.001+'Advanced Entry'!J81),IF('Advanced Entry'!J$5="Exponential",EXP('Advanced Entry'!J81),'Advanced Entry'!J81)))-'Advanced Entry'!J$6)/('Advanced Entry'!J$7-'Advanced Entry'!J$6)),1))),"No data"))</f>
        <v/>
      </c>
      <c r="K81" s="17">
        <f>IF('Advanced Entry'!K81="","",IFERROR(MAX(0,MIN(10,ROUND(IF('Advanced Entry'!K$8="Decrease Risk",10-10*((IF('Advanced Entry'!K$5="Logarithm",LN(0.001+'Advanced Entry'!K81),IF('Advanced Entry'!K$5="Exponential",EXP('Advanced Entry'!K81),'Advanced Entry'!K81)))-'Advanced Entry'!K$6)/('Advanced Entry'!K$7-'Advanced Entry'!K$6),10*((IF('Advanced Entry'!K$5="Logarithm",LN(0.001+'Advanced Entry'!K81),IF('Advanced Entry'!K$5="Exponential",EXP('Advanced Entry'!K81),'Advanced Entry'!K81)))-'Advanced Entry'!K$6)/('Advanced Entry'!K$7-'Advanced Entry'!K$6)),1))),"No data"))</f>
        <v/>
      </c>
      <c r="L81" s="17">
        <f>IF('Advanced Entry'!L81="","",IFERROR(MAX(0,MIN(10,ROUND(IF('Advanced Entry'!L$8="Decrease Risk",10-10*((IF('Advanced Entry'!L$5="Logarithm",LN(0.001+'Advanced Entry'!L81),IF('Advanced Entry'!L$5="Exponential",EXP('Advanced Entry'!L81),'Advanced Entry'!L81)))-'Advanced Entry'!L$6)/('Advanced Entry'!L$7-'Advanced Entry'!L$6),10*((IF('Advanced Entry'!L$5="Logarithm",LN(0.001+'Advanced Entry'!L81),IF('Advanced Entry'!L$5="Exponential",EXP('Advanced Entry'!L81),'Advanced Entry'!L81)))-'Advanced Entry'!L$6)/('Advanced Entry'!L$7-'Advanced Entry'!L$6)),1))),"No data"))</f>
        <v/>
      </c>
      <c r="M81" s="17">
        <f>IF('Advanced Entry'!M81="","",IFERROR(MAX(0,MIN(10,ROUND(IF('Advanced Entry'!M$8="Decrease Risk",10-10*((IF('Advanced Entry'!M$5="Logarithm",LN(0.001+'Advanced Entry'!M81),IF('Advanced Entry'!M$5="Exponential",EXP('Advanced Entry'!M81),'Advanced Entry'!M81)))-'Advanced Entry'!M$6)/('Advanced Entry'!M$7-'Advanced Entry'!M$6),10*((IF('Advanced Entry'!M$5="Logarithm",LN(0.001+'Advanced Entry'!M81),IF('Advanced Entry'!M$5="Exponential",EXP('Advanced Entry'!M81),'Advanced Entry'!M81)))-'Advanced Entry'!M$6)/('Advanced Entry'!M$7-'Advanced Entry'!M$6)),1))),"No data"))</f>
        <v/>
      </c>
      <c r="N81" s="17">
        <f>IF('Advanced Entry'!N81="","",IFERROR(MAX(0,MIN(10,ROUND(IF('Advanced Entry'!N$8="Decrease Risk",10-10*((IF('Advanced Entry'!N$5="Logarithm",LN(0.001+'Advanced Entry'!N81),IF('Advanced Entry'!N$5="Exponential",EXP('Advanced Entry'!N81),'Advanced Entry'!N81)))-'Advanced Entry'!N$6)/('Advanced Entry'!N$7-'Advanced Entry'!N$6),10*((IF('Advanced Entry'!N$5="Logarithm",LN(0.001+'Advanced Entry'!N81),IF('Advanced Entry'!N$5="Exponential",EXP('Advanced Entry'!N81),'Advanced Entry'!N81)))-'Advanced Entry'!N$6)/('Advanced Entry'!N$7-'Advanced Entry'!N$6)),1))),"No data"))</f>
        <v/>
      </c>
      <c r="O81" s="17">
        <f>IF('Advanced Entry'!O81="","",IFERROR(MAX(0,MIN(10,ROUND(IF('Advanced Entry'!O$8="Decrease Risk",10-10*((IF('Advanced Entry'!O$5="Logarithm",LN(0.001+'Advanced Entry'!O81),IF('Advanced Entry'!O$5="Exponential",EXP('Advanced Entry'!O81),'Advanced Entry'!O81)))-'Advanced Entry'!O$6)/('Advanced Entry'!O$7-'Advanced Entry'!O$6),10*((IF('Advanced Entry'!O$5="Logarithm",LN(0.001+'Advanced Entry'!O81),IF('Advanced Entry'!O$5="Exponential",EXP('Advanced Entry'!O81),'Advanced Entry'!O81)))-'Advanced Entry'!O$6)/('Advanced Entry'!O$7-'Advanced Entry'!O$6)),1))),"No data"))</f>
        <v/>
      </c>
      <c r="P81" s="17">
        <f>IF('Advanced Entry'!P81="","",IFERROR(MAX(0,MIN(10,ROUND(IF('Advanced Entry'!P$8="Decrease Risk",10-10*((IF('Advanced Entry'!P$5="Logarithm",LN(0.001+'Advanced Entry'!P81),IF('Advanced Entry'!P$5="Exponential",EXP('Advanced Entry'!P81),'Advanced Entry'!P81)))-'Advanced Entry'!P$6)/('Advanced Entry'!P$7-'Advanced Entry'!P$6),10*((IF('Advanced Entry'!P$5="Logarithm",LN(0.001+'Advanced Entry'!P81),IF('Advanced Entry'!P$5="Exponential",EXP('Advanced Entry'!P81),'Advanced Entry'!P81)))-'Advanced Entry'!P$6)/('Advanced Entry'!P$7-'Advanced Entry'!P$6)),1))),"No data"))</f>
        <v/>
      </c>
      <c r="Q81" s="17">
        <f>IF('Advanced Entry'!Q81="","",IFERROR(MAX(0,MIN(10,ROUND(IF('Advanced Entry'!Q$8="Decrease Risk",10-10*((IF('Advanced Entry'!Q$5="Logarithm",LN(0.001+'Advanced Entry'!Q81),IF('Advanced Entry'!Q$5="Exponential",EXP('Advanced Entry'!Q81),'Advanced Entry'!Q81)))-'Advanced Entry'!Q$6)/('Advanced Entry'!Q$7-'Advanced Entry'!Q$6),10*((IF('Advanced Entry'!Q$5="Logarithm",LN(0.001+'Advanced Entry'!Q81),IF('Advanced Entry'!Q$5="Exponential",EXP('Advanced Entry'!Q81),'Advanced Entry'!Q81)))-'Advanced Entry'!Q$6)/('Advanced Entry'!Q$7-'Advanced Entry'!Q$6)),1))),"No data"))</f>
        <v/>
      </c>
      <c r="R81" s="17">
        <f>IF('Advanced Entry'!R81="","",IFERROR(MAX(0,MIN(10,ROUND(IF('Advanced Entry'!R$8="Decrease Risk",10-10*((IF('Advanced Entry'!R$5="Logarithm",LN(0.001+'Advanced Entry'!R81),IF('Advanced Entry'!R$5="Exponential",EXP('Advanced Entry'!R81),'Advanced Entry'!R81)))-'Advanced Entry'!R$6)/('Advanced Entry'!R$7-'Advanced Entry'!R$6),10*((IF('Advanced Entry'!R$5="Logarithm",LN(0.001+'Advanced Entry'!R81),IF('Advanced Entry'!R$5="Exponential",EXP('Advanced Entry'!R81),'Advanced Entry'!R81)))-'Advanced Entry'!R$6)/('Advanced Entry'!R$7-'Advanced Entry'!R$6)),1))),"No data"))</f>
        <v/>
      </c>
      <c r="S81" s="17">
        <f>IF('Advanced Entry'!S81="","",IFERROR(MAX(0,MIN(10,ROUND(IF('Advanced Entry'!S$8="Decrease Risk",10-10*((IF('Advanced Entry'!S$5="Logarithm",LN(0.001+'Advanced Entry'!S81),IF('Advanced Entry'!S$5="Exponential",EXP('Advanced Entry'!S81),'Advanced Entry'!S81)))-'Advanced Entry'!S$6)/('Advanced Entry'!S$7-'Advanced Entry'!S$6),10*((IF('Advanced Entry'!S$5="Logarithm",LN(0.001+'Advanced Entry'!S81),IF('Advanced Entry'!S$5="Exponential",EXP('Advanced Entry'!S81),'Advanced Entry'!S81)))-'Advanced Entry'!S$6)/('Advanced Entry'!S$7-'Advanced Entry'!S$6)),1))),"No data"))</f>
        <v/>
      </c>
      <c r="T81" s="17">
        <f>IF('Advanced Entry'!T81="","",IFERROR(MAX(0,MIN(10,ROUND(IF('Advanced Entry'!T$8="Decrease Risk",10-10*((IF('Advanced Entry'!T$5="Logarithm",LN(0.001+'Advanced Entry'!T81),IF('Advanced Entry'!T$5="Exponential",EXP('Advanced Entry'!T81),'Advanced Entry'!T81)))-'Advanced Entry'!T$6)/('Advanced Entry'!T$7-'Advanced Entry'!T$6),10*((IF('Advanced Entry'!T$5="Logarithm",LN(0.001+'Advanced Entry'!T81),IF('Advanced Entry'!T$5="Exponential",EXP('Advanced Entry'!T81),'Advanced Entry'!T81)))-'Advanced Entry'!T$6)/('Advanced Entry'!T$7-'Advanced Entry'!T$6)),1))),"No data"))</f>
        <v/>
      </c>
      <c r="U81" s="17">
        <f>IF('Advanced Entry'!U81="","",IFERROR(MAX(0,MIN(10,ROUND(IF('Advanced Entry'!U$8="Decrease Risk",10-10*((IF('Advanced Entry'!U$5="Logarithm",LN(0.001+'Advanced Entry'!U81),IF('Advanced Entry'!U$5="Exponential",EXP('Advanced Entry'!U81),'Advanced Entry'!U81)))-'Advanced Entry'!U$6)/('Advanced Entry'!U$7-'Advanced Entry'!U$6),10*((IF('Advanced Entry'!U$5="Logarithm",LN(0.001+'Advanced Entry'!U81),IF('Advanced Entry'!U$5="Exponential",EXP('Advanced Entry'!U81),'Advanced Entry'!U81)))-'Advanced Entry'!U$6)/('Advanced Entry'!U$7-'Advanced Entry'!U$6)),1))),"No data"))</f>
        <v/>
      </c>
      <c r="V81" s="17">
        <f>IF('Advanced Entry'!V81="","",IFERROR(MAX(0,MIN(10,ROUND(IF('Advanced Entry'!V$8="Decrease Risk",10-10*((IF('Advanced Entry'!V$5="Logarithm",LN(0.001+'Advanced Entry'!V81),IF('Advanced Entry'!V$5="Exponential",EXP('Advanced Entry'!V81),'Advanced Entry'!V81)))-'Advanced Entry'!V$6)/('Advanced Entry'!V$7-'Advanced Entry'!V$6),10*((IF('Advanced Entry'!V$5="Logarithm",LN(0.001+'Advanced Entry'!V81),IF('Advanced Entry'!V$5="Exponential",EXP('Advanced Entry'!V81),'Advanced Entry'!V81)))-'Advanced Entry'!V$6)/('Advanced Entry'!V$7-'Advanced Entry'!V$6)),1))),"No data"))</f>
        <v/>
      </c>
      <c r="W81" s="17">
        <f>IF('Advanced Entry'!W81="","",IFERROR(MAX(0,MIN(10,ROUND(IF('Advanced Entry'!W$8="Decrease Risk",10-10*((IF('Advanced Entry'!W$5="Logarithm",LN(0.001+'Advanced Entry'!W81),IF('Advanced Entry'!W$5="Exponential",EXP('Advanced Entry'!W81),'Advanced Entry'!W81)))-'Advanced Entry'!W$6)/('Advanced Entry'!W$7-'Advanced Entry'!W$6),10*((IF('Advanced Entry'!W$5="Logarithm",LN(0.001+'Advanced Entry'!W81),IF('Advanced Entry'!W$5="Exponential",EXP('Advanced Entry'!W81),'Advanced Entry'!W81)))-'Advanced Entry'!W$6)/('Advanced Entry'!W$7-'Advanced Entry'!W$6)),1))),"No data"))</f>
        <v/>
      </c>
      <c r="X81" s="17">
        <f>IF('Advanced Entry'!X81="","",IFERROR(MAX(0,MIN(10,ROUND(IF('Advanced Entry'!X$8="Decrease Risk",10-10*((IF('Advanced Entry'!X$5="Logarithm",LN(0.001+'Advanced Entry'!X81),IF('Advanced Entry'!X$5="Exponential",EXP('Advanced Entry'!X81),'Advanced Entry'!X81)))-'Advanced Entry'!X$6)/('Advanced Entry'!X$7-'Advanced Entry'!X$6),10*((IF('Advanced Entry'!X$5="Logarithm",LN(0.001+'Advanced Entry'!X81),IF('Advanced Entry'!X$5="Exponential",EXP('Advanced Entry'!X81),'Advanced Entry'!X81)))-'Advanced Entry'!X$6)/('Advanced Entry'!X$7-'Advanced Entry'!X$6)),1))),"No data"))</f>
        <v/>
      </c>
      <c r="Y81" s="17">
        <f>IF('Advanced Entry'!Y81="","",IFERROR(MAX(0,MIN(10,ROUND(IF('Advanced Entry'!Y$8="Decrease Risk",10-10*((IF('Advanced Entry'!Y$5="Logarithm",LN(0.001+'Advanced Entry'!Y81),IF('Advanced Entry'!Y$5="Exponential",EXP('Advanced Entry'!Y81),'Advanced Entry'!Y81)))-'Advanced Entry'!Y$6)/('Advanced Entry'!Y$7-'Advanced Entry'!Y$6),10*((IF('Advanced Entry'!Y$5="Logarithm",LN(0.001+'Advanced Entry'!Y81),IF('Advanced Entry'!Y$5="Exponential",EXP('Advanced Entry'!Y81),'Advanced Entry'!Y81)))-'Advanced Entry'!Y$6)/('Advanced Entry'!Y$7-'Advanced Entry'!Y$6)),1))),"No data"))</f>
        <v/>
      </c>
      <c r="Z81" s="17">
        <f>IF('Advanced Entry'!Z81="","",IFERROR(MAX(0,MIN(10,ROUND(IF('Advanced Entry'!Z$8="Decrease Risk",10-10*((IF('Advanced Entry'!Z$5="Logarithm",LN(0.001+'Advanced Entry'!Z81),IF('Advanced Entry'!Z$5="Exponential",EXP('Advanced Entry'!Z81),'Advanced Entry'!Z81)))-'Advanced Entry'!Z$6)/('Advanced Entry'!Z$7-'Advanced Entry'!Z$6),10*((IF('Advanced Entry'!Z$5="Logarithm",LN(0.001+'Advanced Entry'!Z81),IF('Advanced Entry'!Z$5="Exponential",EXP('Advanced Entry'!Z81),'Advanced Entry'!Z81)))-'Advanced Entry'!Z$6)/('Advanced Entry'!Z$7-'Advanced Entry'!Z$6)),1))),"No data"))</f>
        <v/>
      </c>
      <c r="AA81" s="17">
        <f>IF('Advanced Entry'!AA81="","",IFERROR(MAX(0,MIN(10,ROUND(IF('Advanced Entry'!AA$8="Decrease Risk",10-10*((IF('Advanced Entry'!AA$5="Logarithm",LN(0.001+'Advanced Entry'!AA81),IF('Advanced Entry'!AA$5="Exponential",EXP('Advanced Entry'!AA81),'Advanced Entry'!AA81)))-'Advanced Entry'!AA$6)/('Advanced Entry'!AA$7-'Advanced Entry'!AA$6),10*((IF('Advanced Entry'!AA$5="Logarithm",LN(0.001+'Advanced Entry'!AA81),IF('Advanced Entry'!AA$5="Exponential",EXP('Advanced Entry'!AA81),'Advanced Entry'!AA81)))-'Advanced Entry'!AA$6)/('Advanced Entry'!AA$7-'Advanced Entry'!AA$6)),1))),"No data"))</f>
        <v/>
      </c>
      <c r="AB81" s="17">
        <f>IF('Advanced Entry'!AB81="","",IFERROR(MAX(0,MIN(10,ROUND(IF('Advanced Entry'!AB$8="Decrease Risk",10-10*((IF('Advanced Entry'!AB$5="Logarithm",LN(0.001+'Advanced Entry'!AB81),IF('Advanced Entry'!AB$5="Exponential",EXP('Advanced Entry'!AB81),'Advanced Entry'!AB81)))-'Advanced Entry'!AB$6)/('Advanced Entry'!AB$7-'Advanced Entry'!AB$6),10*((IF('Advanced Entry'!AB$5="Logarithm",LN(0.001+'Advanced Entry'!AB81),IF('Advanced Entry'!AB$5="Exponential",EXP('Advanced Entry'!AB81),'Advanced Entry'!AB81)))-'Advanced Entry'!AB$6)/('Advanced Entry'!AB$7-'Advanced Entry'!AB$6)),1))),"No data"))</f>
        <v/>
      </c>
    </row>
    <row r="82">
      <c r="A82" t="inlineStr">
        <is>
          <t>Lindi</t>
        </is>
      </c>
      <c r="B82" t="inlineStr">
        <is>
          <t>Nachingwea District</t>
        </is>
      </c>
      <c r="C82" t="inlineStr">
        <is>
          <t>C060</t>
        </is>
      </c>
      <c r="D82" s="17">
        <f>IF('Advanced Entry'!D82="","",IFERROR(MAX(0,MIN(10,ROUND(IF('Advanced Entry'!D$8="Decrease Risk",10-10*((IF('Advanced Entry'!D$5="Logarithm",LN(0.001+'Advanced Entry'!D82),IF('Advanced Entry'!D$5="Exponential",EXP('Advanced Entry'!D82),'Advanced Entry'!D82)))-'Advanced Entry'!D$6)/('Advanced Entry'!D$7-'Advanced Entry'!D$6),10*((IF('Advanced Entry'!D$5="Logarithm",LN(0.001+'Advanced Entry'!D82),IF('Advanced Entry'!D$5="Exponential",EXP('Advanced Entry'!D82),'Advanced Entry'!D82)))-'Advanced Entry'!D$6)/('Advanced Entry'!D$7-'Advanced Entry'!D$6)),1))),"No data"))</f>
        <v/>
      </c>
      <c r="E82" s="17">
        <f>IF('Advanced Entry'!E82="","",IFERROR(MAX(0,MIN(10,ROUND(IF('Advanced Entry'!E$8="Decrease Risk",10-10*((IF('Advanced Entry'!E$5="Logarithm",LN(0.001+'Advanced Entry'!E82),IF('Advanced Entry'!E$5="Exponential",EXP('Advanced Entry'!E82),'Advanced Entry'!E82)))-'Advanced Entry'!E$6)/('Advanced Entry'!E$7-'Advanced Entry'!E$6),10*((IF('Advanced Entry'!E$5="Logarithm",LN(0.001+'Advanced Entry'!E82),IF('Advanced Entry'!E$5="Exponential",EXP('Advanced Entry'!E82),'Advanced Entry'!E82)))-'Advanced Entry'!E$6)/('Advanced Entry'!E$7-'Advanced Entry'!E$6)),1))),"No data"))</f>
        <v/>
      </c>
      <c r="F82" s="17">
        <f>IF('Advanced Entry'!F82="","",IFERROR(MAX(0,MIN(10,ROUND(IF('Advanced Entry'!F$8="Decrease Risk",10-10*((IF('Advanced Entry'!F$5="Logarithm",LN(0.001+'Advanced Entry'!F82),IF('Advanced Entry'!F$5="Exponential",EXP('Advanced Entry'!F82),'Advanced Entry'!F82)))-'Advanced Entry'!F$6)/('Advanced Entry'!F$7-'Advanced Entry'!F$6),10*((IF('Advanced Entry'!F$5="Logarithm",LN(0.001+'Advanced Entry'!F82),IF('Advanced Entry'!F$5="Exponential",EXP('Advanced Entry'!F82),'Advanced Entry'!F82)))-'Advanced Entry'!F$6)/('Advanced Entry'!F$7-'Advanced Entry'!F$6)),1))),"No data"))</f>
        <v/>
      </c>
      <c r="G82" s="17">
        <f>IF('Advanced Entry'!G82="","",IFERROR(MAX(0,MIN(10,ROUND(IF('Advanced Entry'!G$8="Decrease Risk",10-10*((IF('Advanced Entry'!G$5="Logarithm",LN(0.001+'Advanced Entry'!G82),IF('Advanced Entry'!G$5="Exponential",EXP('Advanced Entry'!G82),'Advanced Entry'!G82)))-'Advanced Entry'!G$6)/('Advanced Entry'!G$7-'Advanced Entry'!G$6),10*((IF('Advanced Entry'!G$5="Logarithm",LN(0.001+'Advanced Entry'!G82),IF('Advanced Entry'!G$5="Exponential",EXP('Advanced Entry'!G82),'Advanced Entry'!G82)))-'Advanced Entry'!G$6)/('Advanced Entry'!G$7-'Advanced Entry'!G$6)),1))),"No data"))</f>
        <v/>
      </c>
      <c r="H82" s="17">
        <f>IF('Advanced Entry'!H82="","",IFERROR(MAX(0,MIN(10,ROUND(IF('Advanced Entry'!H$8="Decrease Risk",10-10*((IF('Advanced Entry'!H$5="Logarithm",LN(0.001+'Advanced Entry'!H82),IF('Advanced Entry'!H$5="Exponential",EXP('Advanced Entry'!H82),'Advanced Entry'!H82)))-'Advanced Entry'!H$6)/('Advanced Entry'!H$7-'Advanced Entry'!H$6),10*((IF('Advanced Entry'!H$5="Logarithm",LN(0.001+'Advanced Entry'!H82),IF('Advanced Entry'!H$5="Exponential",EXP('Advanced Entry'!H82),'Advanced Entry'!H82)))-'Advanced Entry'!H$6)/('Advanced Entry'!H$7-'Advanced Entry'!H$6)),1))),"No data"))</f>
        <v/>
      </c>
      <c r="I82" s="17">
        <f>IF('Advanced Entry'!I82="","",IFERROR(MAX(0,MIN(10,ROUND(IF('Advanced Entry'!I$8="Decrease Risk",10-10*((IF('Advanced Entry'!I$5="Logarithm",LN(0.001+'Advanced Entry'!I82),IF('Advanced Entry'!I$5="Exponential",EXP('Advanced Entry'!I82),'Advanced Entry'!I82)))-'Advanced Entry'!I$6)/('Advanced Entry'!I$7-'Advanced Entry'!I$6),10*((IF('Advanced Entry'!I$5="Logarithm",LN(0.001+'Advanced Entry'!I82),IF('Advanced Entry'!I$5="Exponential",EXP('Advanced Entry'!I82),'Advanced Entry'!I82)))-'Advanced Entry'!I$6)/('Advanced Entry'!I$7-'Advanced Entry'!I$6)),1))),"No data"))</f>
        <v/>
      </c>
      <c r="J82" s="17">
        <f>IF('Advanced Entry'!J82="","",IFERROR(MAX(0,MIN(10,ROUND(IF('Advanced Entry'!J$8="Decrease Risk",10-10*((IF('Advanced Entry'!J$5="Logarithm",LN(0.001+'Advanced Entry'!J82),IF('Advanced Entry'!J$5="Exponential",EXP('Advanced Entry'!J82),'Advanced Entry'!J82)))-'Advanced Entry'!J$6)/('Advanced Entry'!J$7-'Advanced Entry'!J$6),10*((IF('Advanced Entry'!J$5="Logarithm",LN(0.001+'Advanced Entry'!J82),IF('Advanced Entry'!J$5="Exponential",EXP('Advanced Entry'!J82),'Advanced Entry'!J82)))-'Advanced Entry'!J$6)/('Advanced Entry'!J$7-'Advanced Entry'!J$6)),1))),"No data"))</f>
        <v/>
      </c>
      <c r="K82" s="17">
        <f>IF('Advanced Entry'!K82="","",IFERROR(MAX(0,MIN(10,ROUND(IF('Advanced Entry'!K$8="Decrease Risk",10-10*((IF('Advanced Entry'!K$5="Logarithm",LN(0.001+'Advanced Entry'!K82),IF('Advanced Entry'!K$5="Exponential",EXP('Advanced Entry'!K82),'Advanced Entry'!K82)))-'Advanced Entry'!K$6)/('Advanced Entry'!K$7-'Advanced Entry'!K$6),10*((IF('Advanced Entry'!K$5="Logarithm",LN(0.001+'Advanced Entry'!K82),IF('Advanced Entry'!K$5="Exponential",EXP('Advanced Entry'!K82),'Advanced Entry'!K82)))-'Advanced Entry'!K$6)/('Advanced Entry'!K$7-'Advanced Entry'!K$6)),1))),"No data"))</f>
        <v/>
      </c>
      <c r="L82" s="17">
        <f>IF('Advanced Entry'!L82="","",IFERROR(MAX(0,MIN(10,ROUND(IF('Advanced Entry'!L$8="Decrease Risk",10-10*((IF('Advanced Entry'!L$5="Logarithm",LN(0.001+'Advanced Entry'!L82),IF('Advanced Entry'!L$5="Exponential",EXP('Advanced Entry'!L82),'Advanced Entry'!L82)))-'Advanced Entry'!L$6)/('Advanced Entry'!L$7-'Advanced Entry'!L$6),10*((IF('Advanced Entry'!L$5="Logarithm",LN(0.001+'Advanced Entry'!L82),IF('Advanced Entry'!L$5="Exponential",EXP('Advanced Entry'!L82),'Advanced Entry'!L82)))-'Advanced Entry'!L$6)/('Advanced Entry'!L$7-'Advanced Entry'!L$6)),1))),"No data"))</f>
        <v/>
      </c>
      <c r="M82" s="17">
        <f>IF('Advanced Entry'!M82="","",IFERROR(MAX(0,MIN(10,ROUND(IF('Advanced Entry'!M$8="Decrease Risk",10-10*((IF('Advanced Entry'!M$5="Logarithm",LN(0.001+'Advanced Entry'!M82),IF('Advanced Entry'!M$5="Exponential",EXP('Advanced Entry'!M82),'Advanced Entry'!M82)))-'Advanced Entry'!M$6)/('Advanced Entry'!M$7-'Advanced Entry'!M$6),10*((IF('Advanced Entry'!M$5="Logarithm",LN(0.001+'Advanced Entry'!M82),IF('Advanced Entry'!M$5="Exponential",EXP('Advanced Entry'!M82),'Advanced Entry'!M82)))-'Advanced Entry'!M$6)/('Advanced Entry'!M$7-'Advanced Entry'!M$6)),1))),"No data"))</f>
        <v/>
      </c>
      <c r="N82" s="17">
        <f>IF('Advanced Entry'!N82="","",IFERROR(MAX(0,MIN(10,ROUND(IF('Advanced Entry'!N$8="Decrease Risk",10-10*((IF('Advanced Entry'!N$5="Logarithm",LN(0.001+'Advanced Entry'!N82),IF('Advanced Entry'!N$5="Exponential",EXP('Advanced Entry'!N82),'Advanced Entry'!N82)))-'Advanced Entry'!N$6)/('Advanced Entry'!N$7-'Advanced Entry'!N$6),10*((IF('Advanced Entry'!N$5="Logarithm",LN(0.001+'Advanced Entry'!N82),IF('Advanced Entry'!N$5="Exponential",EXP('Advanced Entry'!N82),'Advanced Entry'!N82)))-'Advanced Entry'!N$6)/('Advanced Entry'!N$7-'Advanced Entry'!N$6)),1))),"No data"))</f>
        <v/>
      </c>
      <c r="O82" s="17">
        <f>IF('Advanced Entry'!O82="","",IFERROR(MAX(0,MIN(10,ROUND(IF('Advanced Entry'!O$8="Decrease Risk",10-10*((IF('Advanced Entry'!O$5="Logarithm",LN(0.001+'Advanced Entry'!O82),IF('Advanced Entry'!O$5="Exponential",EXP('Advanced Entry'!O82),'Advanced Entry'!O82)))-'Advanced Entry'!O$6)/('Advanced Entry'!O$7-'Advanced Entry'!O$6),10*((IF('Advanced Entry'!O$5="Logarithm",LN(0.001+'Advanced Entry'!O82),IF('Advanced Entry'!O$5="Exponential",EXP('Advanced Entry'!O82),'Advanced Entry'!O82)))-'Advanced Entry'!O$6)/('Advanced Entry'!O$7-'Advanced Entry'!O$6)),1))),"No data"))</f>
        <v/>
      </c>
      <c r="P82" s="17">
        <f>IF('Advanced Entry'!P82="","",IFERROR(MAX(0,MIN(10,ROUND(IF('Advanced Entry'!P$8="Decrease Risk",10-10*((IF('Advanced Entry'!P$5="Logarithm",LN(0.001+'Advanced Entry'!P82),IF('Advanced Entry'!P$5="Exponential",EXP('Advanced Entry'!P82),'Advanced Entry'!P82)))-'Advanced Entry'!P$6)/('Advanced Entry'!P$7-'Advanced Entry'!P$6),10*((IF('Advanced Entry'!P$5="Logarithm",LN(0.001+'Advanced Entry'!P82),IF('Advanced Entry'!P$5="Exponential",EXP('Advanced Entry'!P82),'Advanced Entry'!P82)))-'Advanced Entry'!P$6)/('Advanced Entry'!P$7-'Advanced Entry'!P$6)),1))),"No data"))</f>
        <v/>
      </c>
      <c r="Q82" s="17">
        <f>IF('Advanced Entry'!Q82="","",IFERROR(MAX(0,MIN(10,ROUND(IF('Advanced Entry'!Q$8="Decrease Risk",10-10*((IF('Advanced Entry'!Q$5="Logarithm",LN(0.001+'Advanced Entry'!Q82),IF('Advanced Entry'!Q$5="Exponential",EXP('Advanced Entry'!Q82),'Advanced Entry'!Q82)))-'Advanced Entry'!Q$6)/('Advanced Entry'!Q$7-'Advanced Entry'!Q$6),10*((IF('Advanced Entry'!Q$5="Logarithm",LN(0.001+'Advanced Entry'!Q82),IF('Advanced Entry'!Q$5="Exponential",EXP('Advanced Entry'!Q82),'Advanced Entry'!Q82)))-'Advanced Entry'!Q$6)/('Advanced Entry'!Q$7-'Advanced Entry'!Q$6)),1))),"No data"))</f>
        <v/>
      </c>
      <c r="R82" s="17">
        <f>IF('Advanced Entry'!R82="","",IFERROR(MAX(0,MIN(10,ROUND(IF('Advanced Entry'!R$8="Decrease Risk",10-10*((IF('Advanced Entry'!R$5="Logarithm",LN(0.001+'Advanced Entry'!R82),IF('Advanced Entry'!R$5="Exponential",EXP('Advanced Entry'!R82),'Advanced Entry'!R82)))-'Advanced Entry'!R$6)/('Advanced Entry'!R$7-'Advanced Entry'!R$6),10*((IF('Advanced Entry'!R$5="Logarithm",LN(0.001+'Advanced Entry'!R82),IF('Advanced Entry'!R$5="Exponential",EXP('Advanced Entry'!R82),'Advanced Entry'!R82)))-'Advanced Entry'!R$6)/('Advanced Entry'!R$7-'Advanced Entry'!R$6)),1))),"No data"))</f>
        <v/>
      </c>
      <c r="S82" s="17">
        <f>IF('Advanced Entry'!S82="","",IFERROR(MAX(0,MIN(10,ROUND(IF('Advanced Entry'!S$8="Decrease Risk",10-10*((IF('Advanced Entry'!S$5="Logarithm",LN(0.001+'Advanced Entry'!S82),IF('Advanced Entry'!S$5="Exponential",EXP('Advanced Entry'!S82),'Advanced Entry'!S82)))-'Advanced Entry'!S$6)/('Advanced Entry'!S$7-'Advanced Entry'!S$6),10*((IF('Advanced Entry'!S$5="Logarithm",LN(0.001+'Advanced Entry'!S82),IF('Advanced Entry'!S$5="Exponential",EXP('Advanced Entry'!S82),'Advanced Entry'!S82)))-'Advanced Entry'!S$6)/('Advanced Entry'!S$7-'Advanced Entry'!S$6)),1))),"No data"))</f>
        <v/>
      </c>
      <c r="T82" s="17">
        <f>IF('Advanced Entry'!T82="","",IFERROR(MAX(0,MIN(10,ROUND(IF('Advanced Entry'!T$8="Decrease Risk",10-10*((IF('Advanced Entry'!T$5="Logarithm",LN(0.001+'Advanced Entry'!T82),IF('Advanced Entry'!T$5="Exponential",EXP('Advanced Entry'!T82),'Advanced Entry'!T82)))-'Advanced Entry'!T$6)/('Advanced Entry'!T$7-'Advanced Entry'!T$6),10*((IF('Advanced Entry'!T$5="Logarithm",LN(0.001+'Advanced Entry'!T82),IF('Advanced Entry'!T$5="Exponential",EXP('Advanced Entry'!T82),'Advanced Entry'!T82)))-'Advanced Entry'!T$6)/('Advanced Entry'!T$7-'Advanced Entry'!T$6)),1))),"No data"))</f>
        <v/>
      </c>
      <c r="U82" s="17">
        <f>IF('Advanced Entry'!U82="","",IFERROR(MAX(0,MIN(10,ROUND(IF('Advanced Entry'!U$8="Decrease Risk",10-10*((IF('Advanced Entry'!U$5="Logarithm",LN(0.001+'Advanced Entry'!U82),IF('Advanced Entry'!U$5="Exponential",EXP('Advanced Entry'!U82),'Advanced Entry'!U82)))-'Advanced Entry'!U$6)/('Advanced Entry'!U$7-'Advanced Entry'!U$6),10*((IF('Advanced Entry'!U$5="Logarithm",LN(0.001+'Advanced Entry'!U82),IF('Advanced Entry'!U$5="Exponential",EXP('Advanced Entry'!U82),'Advanced Entry'!U82)))-'Advanced Entry'!U$6)/('Advanced Entry'!U$7-'Advanced Entry'!U$6)),1))),"No data"))</f>
        <v/>
      </c>
      <c r="V82" s="17">
        <f>IF('Advanced Entry'!V82="","",IFERROR(MAX(0,MIN(10,ROUND(IF('Advanced Entry'!V$8="Decrease Risk",10-10*((IF('Advanced Entry'!V$5="Logarithm",LN(0.001+'Advanced Entry'!V82),IF('Advanced Entry'!V$5="Exponential",EXP('Advanced Entry'!V82),'Advanced Entry'!V82)))-'Advanced Entry'!V$6)/('Advanced Entry'!V$7-'Advanced Entry'!V$6),10*((IF('Advanced Entry'!V$5="Logarithm",LN(0.001+'Advanced Entry'!V82),IF('Advanced Entry'!V$5="Exponential",EXP('Advanced Entry'!V82),'Advanced Entry'!V82)))-'Advanced Entry'!V$6)/('Advanced Entry'!V$7-'Advanced Entry'!V$6)),1))),"No data"))</f>
        <v/>
      </c>
      <c r="W82" s="17">
        <f>IF('Advanced Entry'!W82="","",IFERROR(MAX(0,MIN(10,ROUND(IF('Advanced Entry'!W$8="Decrease Risk",10-10*((IF('Advanced Entry'!W$5="Logarithm",LN(0.001+'Advanced Entry'!W82),IF('Advanced Entry'!W$5="Exponential",EXP('Advanced Entry'!W82),'Advanced Entry'!W82)))-'Advanced Entry'!W$6)/('Advanced Entry'!W$7-'Advanced Entry'!W$6),10*((IF('Advanced Entry'!W$5="Logarithm",LN(0.001+'Advanced Entry'!W82),IF('Advanced Entry'!W$5="Exponential",EXP('Advanced Entry'!W82),'Advanced Entry'!W82)))-'Advanced Entry'!W$6)/('Advanced Entry'!W$7-'Advanced Entry'!W$6)),1))),"No data"))</f>
        <v/>
      </c>
      <c r="X82" s="17">
        <f>IF('Advanced Entry'!X82="","",IFERROR(MAX(0,MIN(10,ROUND(IF('Advanced Entry'!X$8="Decrease Risk",10-10*((IF('Advanced Entry'!X$5="Logarithm",LN(0.001+'Advanced Entry'!X82),IF('Advanced Entry'!X$5="Exponential",EXP('Advanced Entry'!X82),'Advanced Entry'!X82)))-'Advanced Entry'!X$6)/('Advanced Entry'!X$7-'Advanced Entry'!X$6),10*((IF('Advanced Entry'!X$5="Logarithm",LN(0.001+'Advanced Entry'!X82),IF('Advanced Entry'!X$5="Exponential",EXP('Advanced Entry'!X82),'Advanced Entry'!X82)))-'Advanced Entry'!X$6)/('Advanced Entry'!X$7-'Advanced Entry'!X$6)),1))),"No data"))</f>
        <v/>
      </c>
      <c r="Y82" s="17">
        <f>IF('Advanced Entry'!Y82="","",IFERROR(MAX(0,MIN(10,ROUND(IF('Advanced Entry'!Y$8="Decrease Risk",10-10*((IF('Advanced Entry'!Y$5="Logarithm",LN(0.001+'Advanced Entry'!Y82),IF('Advanced Entry'!Y$5="Exponential",EXP('Advanced Entry'!Y82),'Advanced Entry'!Y82)))-'Advanced Entry'!Y$6)/('Advanced Entry'!Y$7-'Advanced Entry'!Y$6),10*((IF('Advanced Entry'!Y$5="Logarithm",LN(0.001+'Advanced Entry'!Y82),IF('Advanced Entry'!Y$5="Exponential",EXP('Advanced Entry'!Y82),'Advanced Entry'!Y82)))-'Advanced Entry'!Y$6)/('Advanced Entry'!Y$7-'Advanced Entry'!Y$6)),1))),"No data"))</f>
        <v/>
      </c>
      <c r="Z82" s="17">
        <f>IF('Advanced Entry'!Z82="","",IFERROR(MAX(0,MIN(10,ROUND(IF('Advanced Entry'!Z$8="Decrease Risk",10-10*((IF('Advanced Entry'!Z$5="Logarithm",LN(0.001+'Advanced Entry'!Z82),IF('Advanced Entry'!Z$5="Exponential",EXP('Advanced Entry'!Z82),'Advanced Entry'!Z82)))-'Advanced Entry'!Z$6)/('Advanced Entry'!Z$7-'Advanced Entry'!Z$6),10*((IF('Advanced Entry'!Z$5="Logarithm",LN(0.001+'Advanced Entry'!Z82),IF('Advanced Entry'!Z$5="Exponential",EXP('Advanced Entry'!Z82),'Advanced Entry'!Z82)))-'Advanced Entry'!Z$6)/('Advanced Entry'!Z$7-'Advanced Entry'!Z$6)),1))),"No data"))</f>
        <v/>
      </c>
      <c r="AA82" s="17">
        <f>IF('Advanced Entry'!AA82="","",IFERROR(MAX(0,MIN(10,ROUND(IF('Advanced Entry'!AA$8="Decrease Risk",10-10*((IF('Advanced Entry'!AA$5="Logarithm",LN(0.001+'Advanced Entry'!AA82),IF('Advanced Entry'!AA$5="Exponential",EXP('Advanced Entry'!AA82),'Advanced Entry'!AA82)))-'Advanced Entry'!AA$6)/('Advanced Entry'!AA$7-'Advanced Entry'!AA$6),10*((IF('Advanced Entry'!AA$5="Logarithm",LN(0.001+'Advanced Entry'!AA82),IF('Advanced Entry'!AA$5="Exponential",EXP('Advanced Entry'!AA82),'Advanced Entry'!AA82)))-'Advanced Entry'!AA$6)/('Advanced Entry'!AA$7-'Advanced Entry'!AA$6)),1))),"No data"))</f>
        <v/>
      </c>
      <c r="AB82" s="17">
        <f>IF('Advanced Entry'!AB82="","",IFERROR(MAX(0,MIN(10,ROUND(IF('Advanced Entry'!AB$8="Decrease Risk",10-10*((IF('Advanced Entry'!AB$5="Logarithm",LN(0.001+'Advanced Entry'!AB82),IF('Advanced Entry'!AB$5="Exponential",EXP('Advanced Entry'!AB82),'Advanced Entry'!AB82)))-'Advanced Entry'!AB$6)/('Advanced Entry'!AB$7-'Advanced Entry'!AB$6),10*((IF('Advanced Entry'!AB$5="Logarithm",LN(0.001+'Advanced Entry'!AB82),IF('Advanced Entry'!AB$5="Exponential",EXP('Advanced Entry'!AB82),'Advanced Entry'!AB82)))-'Advanced Entry'!AB$6)/('Advanced Entry'!AB$7-'Advanced Entry'!AB$6)),1))),"No data"))</f>
        <v/>
      </c>
    </row>
    <row r="83">
      <c r="A83" t="inlineStr">
        <is>
          <t>Lindi</t>
        </is>
      </c>
      <c r="B83" t="inlineStr">
        <is>
          <t>Ruangwa District</t>
        </is>
      </c>
      <c r="C83" t="inlineStr">
        <is>
          <t>C062</t>
        </is>
      </c>
      <c r="D83" s="17">
        <f>IF('Advanced Entry'!D83="","",IFERROR(MAX(0,MIN(10,ROUND(IF('Advanced Entry'!D$8="Decrease Risk",10-10*((IF('Advanced Entry'!D$5="Logarithm",LN(0.001+'Advanced Entry'!D83),IF('Advanced Entry'!D$5="Exponential",EXP('Advanced Entry'!D83),'Advanced Entry'!D83)))-'Advanced Entry'!D$6)/('Advanced Entry'!D$7-'Advanced Entry'!D$6),10*((IF('Advanced Entry'!D$5="Logarithm",LN(0.001+'Advanced Entry'!D83),IF('Advanced Entry'!D$5="Exponential",EXP('Advanced Entry'!D83),'Advanced Entry'!D83)))-'Advanced Entry'!D$6)/('Advanced Entry'!D$7-'Advanced Entry'!D$6)),1))),"No data"))</f>
        <v/>
      </c>
      <c r="E83" s="17">
        <f>IF('Advanced Entry'!E83="","",IFERROR(MAX(0,MIN(10,ROUND(IF('Advanced Entry'!E$8="Decrease Risk",10-10*((IF('Advanced Entry'!E$5="Logarithm",LN(0.001+'Advanced Entry'!E83),IF('Advanced Entry'!E$5="Exponential",EXP('Advanced Entry'!E83),'Advanced Entry'!E83)))-'Advanced Entry'!E$6)/('Advanced Entry'!E$7-'Advanced Entry'!E$6),10*((IF('Advanced Entry'!E$5="Logarithm",LN(0.001+'Advanced Entry'!E83),IF('Advanced Entry'!E$5="Exponential",EXP('Advanced Entry'!E83),'Advanced Entry'!E83)))-'Advanced Entry'!E$6)/('Advanced Entry'!E$7-'Advanced Entry'!E$6)),1))),"No data"))</f>
        <v/>
      </c>
      <c r="F83" s="17">
        <f>IF('Advanced Entry'!F83="","",IFERROR(MAX(0,MIN(10,ROUND(IF('Advanced Entry'!F$8="Decrease Risk",10-10*((IF('Advanced Entry'!F$5="Logarithm",LN(0.001+'Advanced Entry'!F83),IF('Advanced Entry'!F$5="Exponential",EXP('Advanced Entry'!F83),'Advanced Entry'!F83)))-'Advanced Entry'!F$6)/('Advanced Entry'!F$7-'Advanced Entry'!F$6),10*((IF('Advanced Entry'!F$5="Logarithm",LN(0.001+'Advanced Entry'!F83),IF('Advanced Entry'!F$5="Exponential",EXP('Advanced Entry'!F83),'Advanced Entry'!F83)))-'Advanced Entry'!F$6)/('Advanced Entry'!F$7-'Advanced Entry'!F$6)),1))),"No data"))</f>
        <v/>
      </c>
      <c r="G83" s="17">
        <f>IF('Advanced Entry'!G83="","",IFERROR(MAX(0,MIN(10,ROUND(IF('Advanced Entry'!G$8="Decrease Risk",10-10*((IF('Advanced Entry'!G$5="Logarithm",LN(0.001+'Advanced Entry'!G83),IF('Advanced Entry'!G$5="Exponential",EXP('Advanced Entry'!G83),'Advanced Entry'!G83)))-'Advanced Entry'!G$6)/('Advanced Entry'!G$7-'Advanced Entry'!G$6),10*((IF('Advanced Entry'!G$5="Logarithm",LN(0.001+'Advanced Entry'!G83),IF('Advanced Entry'!G$5="Exponential",EXP('Advanced Entry'!G83),'Advanced Entry'!G83)))-'Advanced Entry'!G$6)/('Advanced Entry'!G$7-'Advanced Entry'!G$6)),1))),"No data"))</f>
        <v/>
      </c>
      <c r="H83" s="17">
        <f>IF('Advanced Entry'!H83="","",IFERROR(MAX(0,MIN(10,ROUND(IF('Advanced Entry'!H$8="Decrease Risk",10-10*((IF('Advanced Entry'!H$5="Logarithm",LN(0.001+'Advanced Entry'!H83),IF('Advanced Entry'!H$5="Exponential",EXP('Advanced Entry'!H83),'Advanced Entry'!H83)))-'Advanced Entry'!H$6)/('Advanced Entry'!H$7-'Advanced Entry'!H$6),10*((IF('Advanced Entry'!H$5="Logarithm",LN(0.001+'Advanced Entry'!H83),IF('Advanced Entry'!H$5="Exponential",EXP('Advanced Entry'!H83),'Advanced Entry'!H83)))-'Advanced Entry'!H$6)/('Advanced Entry'!H$7-'Advanced Entry'!H$6)),1))),"No data"))</f>
        <v/>
      </c>
      <c r="I83" s="17">
        <f>IF('Advanced Entry'!I83="","",IFERROR(MAX(0,MIN(10,ROUND(IF('Advanced Entry'!I$8="Decrease Risk",10-10*((IF('Advanced Entry'!I$5="Logarithm",LN(0.001+'Advanced Entry'!I83),IF('Advanced Entry'!I$5="Exponential",EXP('Advanced Entry'!I83),'Advanced Entry'!I83)))-'Advanced Entry'!I$6)/('Advanced Entry'!I$7-'Advanced Entry'!I$6),10*((IF('Advanced Entry'!I$5="Logarithm",LN(0.001+'Advanced Entry'!I83),IF('Advanced Entry'!I$5="Exponential",EXP('Advanced Entry'!I83),'Advanced Entry'!I83)))-'Advanced Entry'!I$6)/('Advanced Entry'!I$7-'Advanced Entry'!I$6)),1))),"No data"))</f>
        <v/>
      </c>
      <c r="J83" s="17">
        <f>IF('Advanced Entry'!J83="","",IFERROR(MAX(0,MIN(10,ROUND(IF('Advanced Entry'!J$8="Decrease Risk",10-10*((IF('Advanced Entry'!J$5="Logarithm",LN(0.001+'Advanced Entry'!J83),IF('Advanced Entry'!J$5="Exponential",EXP('Advanced Entry'!J83),'Advanced Entry'!J83)))-'Advanced Entry'!J$6)/('Advanced Entry'!J$7-'Advanced Entry'!J$6),10*((IF('Advanced Entry'!J$5="Logarithm",LN(0.001+'Advanced Entry'!J83),IF('Advanced Entry'!J$5="Exponential",EXP('Advanced Entry'!J83),'Advanced Entry'!J83)))-'Advanced Entry'!J$6)/('Advanced Entry'!J$7-'Advanced Entry'!J$6)),1))),"No data"))</f>
        <v/>
      </c>
      <c r="K83" s="17">
        <f>IF('Advanced Entry'!K83="","",IFERROR(MAX(0,MIN(10,ROUND(IF('Advanced Entry'!K$8="Decrease Risk",10-10*((IF('Advanced Entry'!K$5="Logarithm",LN(0.001+'Advanced Entry'!K83),IF('Advanced Entry'!K$5="Exponential",EXP('Advanced Entry'!K83),'Advanced Entry'!K83)))-'Advanced Entry'!K$6)/('Advanced Entry'!K$7-'Advanced Entry'!K$6),10*((IF('Advanced Entry'!K$5="Logarithm",LN(0.001+'Advanced Entry'!K83),IF('Advanced Entry'!K$5="Exponential",EXP('Advanced Entry'!K83),'Advanced Entry'!K83)))-'Advanced Entry'!K$6)/('Advanced Entry'!K$7-'Advanced Entry'!K$6)),1))),"No data"))</f>
        <v/>
      </c>
      <c r="L83" s="17">
        <f>IF('Advanced Entry'!L83="","",IFERROR(MAX(0,MIN(10,ROUND(IF('Advanced Entry'!L$8="Decrease Risk",10-10*((IF('Advanced Entry'!L$5="Logarithm",LN(0.001+'Advanced Entry'!L83),IF('Advanced Entry'!L$5="Exponential",EXP('Advanced Entry'!L83),'Advanced Entry'!L83)))-'Advanced Entry'!L$6)/('Advanced Entry'!L$7-'Advanced Entry'!L$6),10*((IF('Advanced Entry'!L$5="Logarithm",LN(0.001+'Advanced Entry'!L83),IF('Advanced Entry'!L$5="Exponential",EXP('Advanced Entry'!L83),'Advanced Entry'!L83)))-'Advanced Entry'!L$6)/('Advanced Entry'!L$7-'Advanced Entry'!L$6)),1))),"No data"))</f>
        <v/>
      </c>
      <c r="M83" s="17">
        <f>IF('Advanced Entry'!M83="","",IFERROR(MAX(0,MIN(10,ROUND(IF('Advanced Entry'!M$8="Decrease Risk",10-10*((IF('Advanced Entry'!M$5="Logarithm",LN(0.001+'Advanced Entry'!M83),IF('Advanced Entry'!M$5="Exponential",EXP('Advanced Entry'!M83),'Advanced Entry'!M83)))-'Advanced Entry'!M$6)/('Advanced Entry'!M$7-'Advanced Entry'!M$6),10*((IF('Advanced Entry'!M$5="Logarithm",LN(0.001+'Advanced Entry'!M83),IF('Advanced Entry'!M$5="Exponential",EXP('Advanced Entry'!M83),'Advanced Entry'!M83)))-'Advanced Entry'!M$6)/('Advanced Entry'!M$7-'Advanced Entry'!M$6)),1))),"No data"))</f>
        <v/>
      </c>
      <c r="N83" s="17">
        <f>IF('Advanced Entry'!N83="","",IFERROR(MAX(0,MIN(10,ROUND(IF('Advanced Entry'!N$8="Decrease Risk",10-10*((IF('Advanced Entry'!N$5="Logarithm",LN(0.001+'Advanced Entry'!N83),IF('Advanced Entry'!N$5="Exponential",EXP('Advanced Entry'!N83),'Advanced Entry'!N83)))-'Advanced Entry'!N$6)/('Advanced Entry'!N$7-'Advanced Entry'!N$6),10*((IF('Advanced Entry'!N$5="Logarithm",LN(0.001+'Advanced Entry'!N83),IF('Advanced Entry'!N$5="Exponential",EXP('Advanced Entry'!N83),'Advanced Entry'!N83)))-'Advanced Entry'!N$6)/('Advanced Entry'!N$7-'Advanced Entry'!N$6)),1))),"No data"))</f>
        <v/>
      </c>
      <c r="O83" s="17">
        <f>IF('Advanced Entry'!O83="","",IFERROR(MAX(0,MIN(10,ROUND(IF('Advanced Entry'!O$8="Decrease Risk",10-10*((IF('Advanced Entry'!O$5="Logarithm",LN(0.001+'Advanced Entry'!O83),IF('Advanced Entry'!O$5="Exponential",EXP('Advanced Entry'!O83),'Advanced Entry'!O83)))-'Advanced Entry'!O$6)/('Advanced Entry'!O$7-'Advanced Entry'!O$6),10*((IF('Advanced Entry'!O$5="Logarithm",LN(0.001+'Advanced Entry'!O83),IF('Advanced Entry'!O$5="Exponential",EXP('Advanced Entry'!O83),'Advanced Entry'!O83)))-'Advanced Entry'!O$6)/('Advanced Entry'!O$7-'Advanced Entry'!O$6)),1))),"No data"))</f>
        <v/>
      </c>
      <c r="P83" s="17">
        <f>IF('Advanced Entry'!P83="","",IFERROR(MAX(0,MIN(10,ROUND(IF('Advanced Entry'!P$8="Decrease Risk",10-10*((IF('Advanced Entry'!P$5="Logarithm",LN(0.001+'Advanced Entry'!P83),IF('Advanced Entry'!P$5="Exponential",EXP('Advanced Entry'!P83),'Advanced Entry'!P83)))-'Advanced Entry'!P$6)/('Advanced Entry'!P$7-'Advanced Entry'!P$6),10*((IF('Advanced Entry'!P$5="Logarithm",LN(0.001+'Advanced Entry'!P83),IF('Advanced Entry'!P$5="Exponential",EXP('Advanced Entry'!P83),'Advanced Entry'!P83)))-'Advanced Entry'!P$6)/('Advanced Entry'!P$7-'Advanced Entry'!P$6)),1))),"No data"))</f>
        <v/>
      </c>
      <c r="Q83" s="17">
        <f>IF('Advanced Entry'!Q83="","",IFERROR(MAX(0,MIN(10,ROUND(IF('Advanced Entry'!Q$8="Decrease Risk",10-10*((IF('Advanced Entry'!Q$5="Logarithm",LN(0.001+'Advanced Entry'!Q83),IF('Advanced Entry'!Q$5="Exponential",EXP('Advanced Entry'!Q83),'Advanced Entry'!Q83)))-'Advanced Entry'!Q$6)/('Advanced Entry'!Q$7-'Advanced Entry'!Q$6),10*((IF('Advanced Entry'!Q$5="Logarithm",LN(0.001+'Advanced Entry'!Q83),IF('Advanced Entry'!Q$5="Exponential",EXP('Advanced Entry'!Q83),'Advanced Entry'!Q83)))-'Advanced Entry'!Q$6)/('Advanced Entry'!Q$7-'Advanced Entry'!Q$6)),1))),"No data"))</f>
        <v/>
      </c>
      <c r="R83" s="17">
        <f>IF('Advanced Entry'!R83="","",IFERROR(MAX(0,MIN(10,ROUND(IF('Advanced Entry'!R$8="Decrease Risk",10-10*((IF('Advanced Entry'!R$5="Logarithm",LN(0.001+'Advanced Entry'!R83),IF('Advanced Entry'!R$5="Exponential",EXP('Advanced Entry'!R83),'Advanced Entry'!R83)))-'Advanced Entry'!R$6)/('Advanced Entry'!R$7-'Advanced Entry'!R$6),10*((IF('Advanced Entry'!R$5="Logarithm",LN(0.001+'Advanced Entry'!R83),IF('Advanced Entry'!R$5="Exponential",EXP('Advanced Entry'!R83),'Advanced Entry'!R83)))-'Advanced Entry'!R$6)/('Advanced Entry'!R$7-'Advanced Entry'!R$6)),1))),"No data"))</f>
        <v/>
      </c>
      <c r="S83" s="17">
        <f>IF('Advanced Entry'!S83="","",IFERROR(MAX(0,MIN(10,ROUND(IF('Advanced Entry'!S$8="Decrease Risk",10-10*((IF('Advanced Entry'!S$5="Logarithm",LN(0.001+'Advanced Entry'!S83),IF('Advanced Entry'!S$5="Exponential",EXP('Advanced Entry'!S83),'Advanced Entry'!S83)))-'Advanced Entry'!S$6)/('Advanced Entry'!S$7-'Advanced Entry'!S$6),10*((IF('Advanced Entry'!S$5="Logarithm",LN(0.001+'Advanced Entry'!S83),IF('Advanced Entry'!S$5="Exponential",EXP('Advanced Entry'!S83),'Advanced Entry'!S83)))-'Advanced Entry'!S$6)/('Advanced Entry'!S$7-'Advanced Entry'!S$6)),1))),"No data"))</f>
        <v/>
      </c>
      <c r="T83" s="17">
        <f>IF('Advanced Entry'!T83="","",IFERROR(MAX(0,MIN(10,ROUND(IF('Advanced Entry'!T$8="Decrease Risk",10-10*((IF('Advanced Entry'!T$5="Logarithm",LN(0.001+'Advanced Entry'!T83),IF('Advanced Entry'!T$5="Exponential",EXP('Advanced Entry'!T83),'Advanced Entry'!T83)))-'Advanced Entry'!T$6)/('Advanced Entry'!T$7-'Advanced Entry'!T$6),10*((IF('Advanced Entry'!T$5="Logarithm",LN(0.001+'Advanced Entry'!T83),IF('Advanced Entry'!T$5="Exponential",EXP('Advanced Entry'!T83),'Advanced Entry'!T83)))-'Advanced Entry'!T$6)/('Advanced Entry'!T$7-'Advanced Entry'!T$6)),1))),"No data"))</f>
        <v/>
      </c>
      <c r="U83" s="17">
        <f>IF('Advanced Entry'!U83="","",IFERROR(MAX(0,MIN(10,ROUND(IF('Advanced Entry'!U$8="Decrease Risk",10-10*((IF('Advanced Entry'!U$5="Logarithm",LN(0.001+'Advanced Entry'!U83),IF('Advanced Entry'!U$5="Exponential",EXP('Advanced Entry'!U83),'Advanced Entry'!U83)))-'Advanced Entry'!U$6)/('Advanced Entry'!U$7-'Advanced Entry'!U$6),10*((IF('Advanced Entry'!U$5="Logarithm",LN(0.001+'Advanced Entry'!U83),IF('Advanced Entry'!U$5="Exponential",EXP('Advanced Entry'!U83),'Advanced Entry'!U83)))-'Advanced Entry'!U$6)/('Advanced Entry'!U$7-'Advanced Entry'!U$6)),1))),"No data"))</f>
        <v/>
      </c>
      <c r="V83" s="17">
        <f>IF('Advanced Entry'!V83="","",IFERROR(MAX(0,MIN(10,ROUND(IF('Advanced Entry'!V$8="Decrease Risk",10-10*((IF('Advanced Entry'!V$5="Logarithm",LN(0.001+'Advanced Entry'!V83),IF('Advanced Entry'!V$5="Exponential",EXP('Advanced Entry'!V83),'Advanced Entry'!V83)))-'Advanced Entry'!V$6)/('Advanced Entry'!V$7-'Advanced Entry'!V$6),10*((IF('Advanced Entry'!V$5="Logarithm",LN(0.001+'Advanced Entry'!V83),IF('Advanced Entry'!V$5="Exponential",EXP('Advanced Entry'!V83),'Advanced Entry'!V83)))-'Advanced Entry'!V$6)/('Advanced Entry'!V$7-'Advanced Entry'!V$6)),1))),"No data"))</f>
        <v/>
      </c>
      <c r="W83" s="17">
        <f>IF('Advanced Entry'!W83="","",IFERROR(MAX(0,MIN(10,ROUND(IF('Advanced Entry'!W$8="Decrease Risk",10-10*((IF('Advanced Entry'!W$5="Logarithm",LN(0.001+'Advanced Entry'!W83),IF('Advanced Entry'!W$5="Exponential",EXP('Advanced Entry'!W83),'Advanced Entry'!W83)))-'Advanced Entry'!W$6)/('Advanced Entry'!W$7-'Advanced Entry'!W$6),10*((IF('Advanced Entry'!W$5="Logarithm",LN(0.001+'Advanced Entry'!W83),IF('Advanced Entry'!W$5="Exponential",EXP('Advanced Entry'!W83),'Advanced Entry'!W83)))-'Advanced Entry'!W$6)/('Advanced Entry'!W$7-'Advanced Entry'!W$6)),1))),"No data"))</f>
        <v/>
      </c>
      <c r="X83" s="17">
        <f>IF('Advanced Entry'!X83="","",IFERROR(MAX(0,MIN(10,ROUND(IF('Advanced Entry'!X$8="Decrease Risk",10-10*((IF('Advanced Entry'!X$5="Logarithm",LN(0.001+'Advanced Entry'!X83),IF('Advanced Entry'!X$5="Exponential",EXP('Advanced Entry'!X83),'Advanced Entry'!X83)))-'Advanced Entry'!X$6)/('Advanced Entry'!X$7-'Advanced Entry'!X$6),10*((IF('Advanced Entry'!X$5="Logarithm",LN(0.001+'Advanced Entry'!X83),IF('Advanced Entry'!X$5="Exponential",EXP('Advanced Entry'!X83),'Advanced Entry'!X83)))-'Advanced Entry'!X$6)/('Advanced Entry'!X$7-'Advanced Entry'!X$6)),1))),"No data"))</f>
        <v/>
      </c>
      <c r="Y83" s="17">
        <f>IF('Advanced Entry'!Y83="","",IFERROR(MAX(0,MIN(10,ROUND(IF('Advanced Entry'!Y$8="Decrease Risk",10-10*((IF('Advanced Entry'!Y$5="Logarithm",LN(0.001+'Advanced Entry'!Y83),IF('Advanced Entry'!Y$5="Exponential",EXP('Advanced Entry'!Y83),'Advanced Entry'!Y83)))-'Advanced Entry'!Y$6)/('Advanced Entry'!Y$7-'Advanced Entry'!Y$6),10*((IF('Advanced Entry'!Y$5="Logarithm",LN(0.001+'Advanced Entry'!Y83),IF('Advanced Entry'!Y$5="Exponential",EXP('Advanced Entry'!Y83),'Advanced Entry'!Y83)))-'Advanced Entry'!Y$6)/('Advanced Entry'!Y$7-'Advanced Entry'!Y$6)),1))),"No data"))</f>
        <v/>
      </c>
      <c r="Z83" s="17">
        <f>IF('Advanced Entry'!Z83="","",IFERROR(MAX(0,MIN(10,ROUND(IF('Advanced Entry'!Z$8="Decrease Risk",10-10*((IF('Advanced Entry'!Z$5="Logarithm",LN(0.001+'Advanced Entry'!Z83),IF('Advanced Entry'!Z$5="Exponential",EXP('Advanced Entry'!Z83),'Advanced Entry'!Z83)))-'Advanced Entry'!Z$6)/('Advanced Entry'!Z$7-'Advanced Entry'!Z$6),10*((IF('Advanced Entry'!Z$5="Logarithm",LN(0.001+'Advanced Entry'!Z83),IF('Advanced Entry'!Z$5="Exponential",EXP('Advanced Entry'!Z83),'Advanced Entry'!Z83)))-'Advanced Entry'!Z$6)/('Advanced Entry'!Z$7-'Advanced Entry'!Z$6)),1))),"No data"))</f>
        <v/>
      </c>
      <c r="AA83" s="17">
        <f>IF('Advanced Entry'!AA83="","",IFERROR(MAX(0,MIN(10,ROUND(IF('Advanced Entry'!AA$8="Decrease Risk",10-10*((IF('Advanced Entry'!AA$5="Logarithm",LN(0.001+'Advanced Entry'!AA83),IF('Advanced Entry'!AA$5="Exponential",EXP('Advanced Entry'!AA83),'Advanced Entry'!AA83)))-'Advanced Entry'!AA$6)/('Advanced Entry'!AA$7-'Advanced Entry'!AA$6),10*((IF('Advanced Entry'!AA$5="Logarithm",LN(0.001+'Advanced Entry'!AA83),IF('Advanced Entry'!AA$5="Exponential",EXP('Advanced Entry'!AA83),'Advanced Entry'!AA83)))-'Advanced Entry'!AA$6)/('Advanced Entry'!AA$7-'Advanced Entry'!AA$6)),1))),"No data"))</f>
        <v/>
      </c>
      <c r="AB83" s="17">
        <f>IF('Advanced Entry'!AB83="","",IFERROR(MAX(0,MIN(10,ROUND(IF('Advanced Entry'!AB$8="Decrease Risk",10-10*((IF('Advanced Entry'!AB$5="Logarithm",LN(0.001+'Advanced Entry'!AB83),IF('Advanced Entry'!AB$5="Exponential",EXP('Advanced Entry'!AB83),'Advanced Entry'!AB83)))-'Advanced Entry'!AB$6)/('Advanced Entry'!AB$7-'Advanced Entry'!AB$6),10*((IF('Advanced Entry'!AB$5="Logarithm",LN(0.001+'Advanced Entry'!AB83),IF('Advanced Entry'!AB$5="Exponential",EXP('Advanced Entry'!AB83),'Advanced Entry'!AB83)))-'Advanced Entry'!AB$6)/('Advanced Entry'!AB$7-'Advanced Entry'!AB$6)),1))),"No data"))</f>
        <v/>
      </c>
    </row>
    <row r="84">
      <c r="A84" t="inlineStr">
        <is>
          <t>Manyara</t>
        </is>
      </c>
      <c r="B84" t="inlineStr">
        <is>
          <t>Babati District</t>
        </is>
      </c>
      <c r="C84" t="inlineStr">
        <is>
          <t>C150</t>
        </is>
      </c>
      <c r="D84" s="17">
        <f>IF('Advanced Entry'!D84="","",IFERROR(MAX(0,MIN(10,ROUND(IF('Advanced Entry'!D$8="Decrease Risk",10-10*((IF('Advanced Entry'!D$5="Logarithm",LN(0.001+'Advanced Entry'!D84),IF('Advanced Entry'!D$5="Exponential",EXP('Advanced Entry'!D84),'Advanced Entry'!D84)))-'Advanced Entry'!D$6)/('Advanced Entry'!D$7-'Advanced Entry'!D$6),10*((IF('Advanced Entry'!D$5="Logarithm",LN(0.001+'Advanced Entry'!D84),IF('Advanced Entry'!D$5="Exponential",EXP('Advanced Entry'!D84),'Advanced Entry'!D84)))-'Advanced Entry'!D$6)/('Advanced Entry'!D$7-'Advanced Entry'!D$6)),1))),"No data"))</f>
        <v/>
      </c>
      <c r="E84" s="17">
        <f>IF('Advanced Entry'!E84="","",IFERROR(MAX(0,MIN(10,ROUND(IF('Advanced Entry'!E$8="Decrease Risk",10-10*((IF('Advanced Entry'!E$5="Logarithm",LN(0.001+'Advanced Entry'!E84),IF('Advanced Entry'!E$5="Exponential",EXP('Advanced Entry'!E84),'Advanced Entry'!E84)))-'Advanced Entry'!E$6)/('Advanced Entry'!E$7-'Advanced Entry'!E$6),10*((IF('Advanced Entry'!E$5="Logarithm",LN(0.001+'Advanced Entry'!E84),IF('Advanced Entry'!E$5="Exponential",EXP('Advanced Entry'!E84),'Advanced Entry'!E84)))-'Advanced Entry'!E$6)/('Advanced Entry'!E$7-'Advanced Entry'!E$6)),1))),"No data"))</f>
        <v/>
      </c>
      <c r="F84" s="17">
        <f>IF('Advanced Entry'!F84="","",IFERROR(MAX(0,MIN(10,ROUND(IF('Advanced Entry'!F$8="Decrease Risk",10-10*((IF('Advanced Entry'!F$5="Logarithm",LN(0.001+'Advanced Entry'!F84),IF('Advanced Entry'!F$5="Exponential",EXP('Advanced Entry'!F84),'Advanced Entry'!F84)))-'Advanced Entry'!F$6)/('Advanced Entry'!F$7-'Advanced Entry'!F$6),10*((IF('Advanced Entry'!F$5="Logarithm",LN(0.001+'Advanced Entry'!F84),IF('Advanced Entry'!F$5="Exponential",EXP('Advanced Entry'!F84),'Advanced Entry'!F84)))-'Advanced Entry'!F$6)/('Advanced Entry'!F$7-'Advanced Entry'!F$6)),1))),"No data"))</f>
        <v/>
      </c>
      <c r="G84" s="17">
        <f>IF('Advanced Entry'!G84="","",IFERROR(MAX(0,MIN(10,ROUND(IF('Advanced Entry'!G$8="Decrease Risk",10-10*((IF('Advanced Entry'!G$5="Logarithm",LN(0.001+'Advanced Entry'!G84),IF('Advanced Entry'!G$5="Exponential",EXP('Advanced Entry'!G84),'Advanced Entry'!G84)))-'Advanced Entry'!G$6)/('Advanced Entry'!G$7-'Advanced Entry'!G$6),10*((IF('Advanced Entry'!G$5="Logarithm",LN(0.001+'Advanced Entry'!G84),IF('Advanced Entry'!G$5="Exponential",EXP('Advanced Entry'!G84),'Advanced Entry'!G84)))-'Advanced Entry'!G$6)/('Advanced Entry'!G$7-'Advanced Entry'!G$6)),1))),"No data"))</f>
        <v/>
      </c>
      <c r="H84" s="17">
        <f>IF('Advanced Entry'!H84="","",IFERROR(MAX(0,MIN(10,ROUND(IF('Advanced Entry'!H$8="Decrease Risk",10-10*((IF('Advanced Entry'!H$5="Logarithm",LN(0.001+'Advanced Entry'!H84),IF('Advanced Entry'!H$5="Exponential",EXP('Advanced Entry'!H84),'Advanced Entry'!H84)))-'Advanced Entry'!H$6)/('Advanced Entry'!H$7-'Advanced Entry'!H$6),10*((IF('Advanced Entry'!H$5="Logarithm",LN(0.001+'Advanced Entry'!H84),IF('Advanced Entry'!H$5="Exponential",EXP('Advanced Entry'!H84),'Advanced Entry'!H84)))-'Advanced Entry'!H$6)/('Advanced Entry'!H$7-'Advanced Entry'!H$6)),1))),"No data"))</f>
        <v/>
      </c>
      <c r="I84" s="17">
        <f>IF('Advanced Entry'!I84="","",IFERROR(MAX(0,MIN(10,ROUND(IF('Advanced Entry'!I$8="Decrease Risk",10-10*((IF('Advanced Entry'!I$5="Logarithm",LN(0.001+'Advanced Entry'!I84),IF('Advanced Entry'!I$5="Exponential",EXP('Advanced Entry'!I84),'Advanced Entry'!I84)))-'Advanced Entry'!I$6)/('Advanced Entry'!I$7-'Advanced Entry'!I$6),10*((IF('Advanced Entry'!I$5="Logarithm",LN(0.001+'Advanced Entry'!I84),IF('Advanced Entry'!I$5="Exponential",EXP('Advanced Entry'!I84),'Advanced Entry'!I84)))-'Advanced Entry'!I$6)/('Advanced Entry'!I$7-'Advanced Entry'!I$6)),1))),"No data"))</f>
        <v/>
      </c>
      <c r="J84" s="17">
        <f>IF('Advanced Entry'!J84="","",IFERROR(MAX(0,MIN(10,ROUND(IF('Advanced Entry'!J$8="Decrease Risk",10-10*((IF('Advanced Entry'!J$5="Logarithm",LN(0.001+'Advanced Entry'!J84),IF('Advanced Entry'!J$5="Exponential",EXP('Advanced Entry'!J84),'Advanced Entry'!J84)))-'Advanced Entry'!J$6)/('Advanced Entry'!J$7-'Advanced Entry'!J$6),10*((IF('Advanced Entry'!J$5="Logarithm",LN(0.001+'Advanced Entry'!J84),IF('Advanced Entry'!J$5="Exponential",EXP('Advanced Entry'!J84),'Advanced Entry'!J84)))-'Advanced Entry'!J$6)/('Advanced Entry'!J$7-'Advanced Entry'!J$6)),1))),"No data"))</f>
        <v/>
      </c>
      <c r="K84" s="17">
        <f>IF('Advanced Entry'!K84="","",IFERROR(MAX(0,MIN(10,ROUND(IF('Advanced Entry'!K$8="Decrease Risk",10-10*((IF('Advanced Entry'!K$5="Logarithm",LN(0.001+'Advanced Entry'!K84),IF('Advanced Entry'!K$5="Exponential",EXP('Advanced Entry'!K84),'Advanced Entry'!K84)))-'Advanced Entry'!K$6)/('Advanced Entry'!K$7-'Advanced Entry'!K$6),10*((IF('Advanced Entry'!K$5="Logarithm",LN(0.001+'Advanced Entry'!K84),IF('Advanced Entry'!K$5="Exponential",EXP('Advanced Entry'!K84),'Advanced Entry'!K84)))-'Advanced Entry'!K$6)/('Advanced Entry'!K$7-'Advanced Entry'!K$6)),1))),"No data"))</f>
        <v/>
      </c>
      <c r="L84" s="17">
        <f>IF('Advanced Entry'!L84="","",IFERROR(MAX(0,MIN(10,ROUND(IF('Advanced Entry'!L$8="Decrease Risk",10-10*((IF('Advanced Entry'!L$5="Logarithm",LN(0.001+'Advanced Entry'!L84),IF('Advanced Entry'!L$5="Exponential",EXP('Advanced Entry'!L84),'Advanced Entry'!L84)))-'Advanced Entry'!L$6)/('Advanced Entry'!L$7-'Advanced Entry'!L$6),10*((IF('Advanced Entry'!L$5="Logarithm",LN(0.001+'Advanced Entry'!L84),IF('Advanced Entry'!L$5="Exponential",EXP('Advanced Entry'!L84),'Advanced Entry'!L84)))-'Advanced Entry'!L$6)/('Advanced Entry'!L$7-'Advanced Entry'!L$6)),1))),"No data"))</f>
        <v/>
      </c>
      <c r="M84" s="17">
        <f>IF('Advanced Entry'!M84="","",IFERROR(MAX(0,MIN(10,ROUND(IF('Advanced Entry'!M$8="Decrease Risk",10-10*((IF('Advanced Entry'!M$5="Logarithm",LN(0.001+'Advanced Entry'!M84),IF('Advanced Entry'!M$5="Exponential",EXP('Advanced Entry'!M84),'Advanced Entry'!M84)))-'Advanced Entry'!M$6)/('Advanced Entry'!M$7-'Advanced Entry'!M$6),10*((IF('Advanced Entry'!M$5="Logarithm",LN(0.001+'Advanced Entry'!M84),IF('Advanced Entry'!M$5="Exponential",EXP('Advanced Entry'!M84),'Advanced Entry'!M84)))-'Advanced Entry'!M$6)/('Advanced Entry'!M$7-'Advanced Entry'!M$6)),1))),"No data"))</f>
        <v/>
      </c>
      <c r="N84" s="17">
        <f>IF('Advanced Entry'!N84="","",IFERROR(MAX(0,MIN(10,ROUND(IF('Advanced Entry'!N$8="Decrease Risk",10-10*((IF('Advanced Entry'!N$5="Logarithm",LN(0.001+'Advanced Entry'!N84),IF('Advanced Entry'!N$5="Exponential",EXP('Advanced Entry'!N84),'Advanced Entry'!N84)))-'Advanced Entry'!N$6)/('Advanced Entry'!N$7-'Advanced Entry'!N$6),10*((IF('Advanced Entry'!N$5="Logarithm",LN(0.001+'Advanced Entry'!N84),IF('Advanced Entry'!N$5="Exponential",EXP('Advanced Entry'!N84),'Advanced Entry'!N84)))-'Advanced Entry'!N$6)/('Advanced Entry'!N$7-'Advanced Entry'!N$6)),1))),"No data"))</f>
        <v/>
      </c>
      <c r="O84" s="17">
        <f>IF('Advanced Entry'!O84="","",IFERROR(MAX(0,MIN(10,ROUND(IF('Advanced Entry'!O$8="Decrease Risk",10-10*((IF('Advanced Entry'!O$5="Logarithm",LN(0.001+'Advanced Entry'!O84),IF('Advanced Entry'!O$5="Exponential",EXP('Advanced Entry'!O84),'Advanced Entry'!O84)))-'Advanced Entry'!O$6)/('Advanced Entry'!O$7-'Advanced Entry'!O$6),10*((IF('Advanced Entry'!O$5="Logarithm",LN(0.001+'Advanced Entry'!O84),IF('Advanced Entry'!O$5="Exponential",EXP('Advanced Entry'!O84),'Advanced Entry'!O84)))-'Advanced Entry'!O$6)/('Advanced Entry'!O$7-'Advanced Entry'!O$6)),1))),"No data"))</f>
        <v/>
      </c>
      <c r="P84" s="17">
        <f>IF('Advanced Entry'!P84="","",IFERROR(MAX(0,MIN(10,ROUND(IF('Advanced Entry'!P$8="Decrease Risk",10-10*((IF('Advanced Entry'!P$5="Logarithm",LN(0.001+'Advanced Entry'!P84),IF('Advanced Entry'!P$5="Exponential",EXP('Advanced Entry'!P84),'Advanced Entry'!P84)))-'Advanced Entry'!P$6)/('Advanced Entry'!P$7-'Advanced Entry'!P$6),10*((IF('Advanced Entry'!P$5="Logarithm",LN(0.001+'Advanced Entry'!P84),IF('Advanced Entry'!P$5="Exponential",EXP('Advanced Entry'!P84),'Advanced Entry'!P84)))-'Advanced Entry'!P$6)/('Advanced Entry'!P$7-'Advanced Entry'!P$6)),1))),"No data"))</f>
        <v/>
      </c>
      <c r="Q84" s="17">
        <f>IF('Advanced Entry'!Q84="","",IFERROR(MAX(0,MIN(10,ROUND(IF('Advanced Entry'!Q$8="Decrease Risk",10-10*((IF('Advanced Entry'!Q$5="Logarithm",LN(0.001+'Advanced Entry'!Q84),IF('Advanced Entry'!Q$5="Exponential",EXP('Advanced Entry'!Q84),'Advanced Entry'!Q84)))-'Advanced Entry'!Q$6)/('Advanced Entry'!Q$7-'Advanced Entry'!Q$6),10*((IF('Advanced Entry'!Q$5="Logarithm",LN(0.001+'Advanced Entry'!Q84),IF('Advanced Entry'!Q$5="Exponential",EXP('Advanced Entry'!Q84),'Advanced Entry'!Q84)))-'Advanced Entry'!Q$6)/('Advanced Entry'!Q$7-'Advanced Entry'!Q$6)),1))),"No data"))</f>
        <v/>
      </c>
      <c r="R84" s="17">
        <f>IF('Advanced Entry'!R84="","",IFERROR(MAX(0,MIN(10,ROUND(IF('Advanced Entry'!R$8="Decrease Risk",10-10*((IF('Advanced Entry'!R$5="Logarithm",LN(0.001+'Advanced Entry'!R84),IF('Advanced Entry'!R$5="Exponential",EXP('Advanced Entry'!R84),'Advanced Entry'!R84)))-'Advanced Entry'!R$6)/('Advanced Entry'!R$7-'Advanced Entry'!R$6),10*((IF('Advanced Entry'!R$5="Logarithm",LN(0.001+'Advanced Entry'!R84),IF('Advanced Entry'!R$5="Exponential",EXP('Advanced Entry'!R84),'Advanced Entry'!R84)))-'Advanced Entry'!R$6)/('Advanced Entry'!R$7-'Advanced Entry'!R$6)),1))),"No data"))</f>
        <v/>
      </c>
      <c r="S84" s="17">
        <f>IF('Advanced Entry'!S84="","",IFERROR(MAX(0,MIN(10,ROUND(IF('Advanced Entry'!S$8="Decrease Risk",10-10*((IF('Advanced Entry'!S$5="Logarithm",LN(0.001+'Advanced Entry'!S84),IF('Advanced Entry'!S$5="Exponential",EXP('Advanced Entry'!S84),'Advanced Entry'!S84)))-'Advanced Entry'!S$6)/('Advanced Entry'!S$7-'Advanced Entry'!S$6),10*((IF('Advanced Entry'!S$5="Logarithm",LN(0.001+'Advanced Entry'!S84),IF('Advanced Entry'!S$5="Exponential",EXP('Advanced Entry'!S84),'Advanced Entry'!S84)))-'Advanced Entry'!S$6)/('Advanced Entry'!S$7-'Advanced Entry'!S$6)),1))),"No data"))</f>
        <v/>
      </c>
      <c r="T84" s="17">
        <f>IF('Advanced Entry'!T84="","",IFERROR(MAX(0,MIN(10,ROUND(IF('Advanced Entry'!T$8="Decrease Risk",10-10*((IF('Advanced Entry'!T$5="Logarithm",LN(0.001+'Advanced Entry'!T84),IF('Advanced Entry'!T$5="Exponential",EXP('Advanced Entry'!T84),'Advanced Entry'!T84)))-'Advanced Entry'!T$6)/('Advanced Entry'!T$7-'Advanced Entry'!T$6),10*((IF('Advanced Entry'!T$5="Logarithm",LN(0.001+'Advanced Entry'!T84),IF('Advanced Entry'!T$5="Exponential",EXP('Advanced Entry'!T84),'Advanced Entry'!T84)))-'Advanced Entry'!T$6)/('Advanced Entry'!T$7-'Advanced Entry'!T$6)),1))),"No data"))</f>
        <v/>
      </c>
      <c r="U84" s="17">
        <f>IF('Advanced Entry'!U84="","",IFERROR(MAX(0,MIN(10,ROUND(IF('Advanced Entry'!U$8="Decrease Risk",10-10*((IF('Advanced Entry'!U$5="Logarithm",LN(0.001+'Advanced Entry'!U84),IF('Advanced Entry'!U$5="Exponential",EXP('Advanced Entry'!U84),'Advanced Entry'!U84)))-'Advanced Entry'!U$6)/('Advanced Entry'!U$7-'Advanced Entry'!U$6),10*((IF('Advanced Entry'!U$5="Logarithm",LN(0.001+'Advanced Entry'!U84),IF('Advanced Entry'!U$5="Exponential",EXP('Advanced Entry'!U84),'Advanced Entry'!U84)))-'Advanced Entry'!U$6)/('Advanced Entry'!U$7-'Advanced Entry'!U$6)),1))),"No data"))</f>
        <v/>
      </c>
      <c r="V84" s="17">
        <f>IF('Advanced Entry'!V84="","",IFERROR(MAX(0,MIN(10,ROUND(IF('Advanced Entry'!V$8="Decrease Risk",10-10*((IF('Advanced Entry'!V$5="Logarithm",LN(0.001+'Advanced Entry'!V84),IF('Advanced Entry'!V$5="Exponential",EXP('Advanced Entry'!V84),'Advanced Entry'!V84)))-'Advanced Entry'!V$6)/('Advanced Entry'!V$7-'Advanced Entry'!V$6),10*((IF('Advanced Entry'!V$5="Logarithm",LN(0.001+'Advanced Entry'!V84),IF('Advanced Entry'!V$5="Exponential",EXP('Advanced Entry'!V84),'Advanced Entry'!V84)))-'Advanced Entry'!V$6)/('Advanced Entry'!V$7-'Advanced Entry'!V$6)),1))),"No data"))</f>
        <v/>
      </c>
      <c r="W84" s="17">
        <f>IF('Advanced Entry'!W84="","",IFERROR(MAX(0,MIN(10,ROUND(IF('Advanced Entry'!W$8="Decrease Risk",10-10*((IF('Advanced Entry'!W$5="Logarithm",LN(0.001+'Advanced Entry'!W84),IF('Advanced Entry'!W$5="Exponential",EXP('Advanced Entry'!W84),'Advanced Entry'!W84)))-'Advanced Entry'!W$6)/('Advanced Entry'!W$7-'Advanced Entry'!W$6),10*((IF('Advanced Entry'!W$5="Logarithm",LN(0.001+'Advanced Entry'!W84),IF('Advanced Entry'!W$5="Exponential",EXP('Advanced Entry'!W84),'Advanced Entry'!W84)))-'Advanced Entry'!W$6)/('Advanced Entry'!W$7-'Advanced Entry'!W$6)),1))),"No data"))</f>
        <v/>
      </c>
      <c r="X84" s="17">
        <f>IF('Advanced Entry'!X84="","",IFERROR(MAX(0,MIN(10,ROUND(IF('Advanced Entry'!X$8="Decrease Risk",10-10*((IF('Advanced Entry'!X$5="Logarithm",LN(0.001+'Advanced Entry'!X84),IF('Advanced Entry'!X$5="Exponential",EXP('Advanced Entry'!X84),'Advanced Entry'!X84)))-'Advanced Entry'!X$6)/('Advanced Entry'!X$7-'Advanced Entry'!X$6),10*((IF('Advanced Entry'!X$5="Logarithm",LN(0.001+'Advanced Entry'!X84),IF('Advanced Entry'!X$5="Exponential",EXP('Advanced Entry'!X84),'Advanced Entry'!X84)))-'Advanced Entry'!X$6)/('Advanced Entry'!X$7-'Advanced Entry'!X$6)),1))),"No data"))</f>
        <v/>
      </c>
      <c r="Y84" s="17">
        <f>IF('Advanced Entry'!Y84="","",IFERROR(MAX(0,MIN(10,ROUND(IF('Advanced Entry'!Y$8="Decrease Risk",10-10*((IF('Advanced Entry'!Y$5="Logarithm",LN(0.001+'Advanced Entry'!Y84),IF('Advanced Entry'!Y$5="Exponential",EXP('Advanced Entry'!Y84),'Advanced Entry'!Y84)))-'Advanced Entry'!Y$6)/('Advanced Entry'!Y$7-'Advanced Entry'!Y$6),10*((IF('Advanced Entry'!Y$5="Logarithm",LN(0.001+'Advanced Entry'!Y84),IF('Advanced Entry'!Y$5="Exponential",EXP('Advanced Entry'!Y84),'Advanced Entry'!Y84)))-'Advanced Entry'!Y$6)/('Advanced Entry'!Y$7-'Advanced Entry'!Y$6)),1))),"No data"))</f>
        <v/>
      </c>
      <c r="Z84" s="17">
        <f>IF('Advanced Entry'!Z84="","",IFERROR(MAX(0,MIN(10,ROUND(IF('Advanced Entry'!Z$8="Decrease Risk",10-10*((IF('Advanced Entry'!Z$5="Logarithm",LN(0.001+'Advanced Entry'!Z84),IF('Advanced Entry'!Z$5="Exponential",EXP('Advanced Entry'!Z84),'Advanced Entry'!Z84)))-'Advanced Entry'!Z$6)/('Advanced Entry'!Z$7-'Advanced Entry'!Z$6),10*((IF('Advanced Entry'!Z$5="Logarithm",LN(0.001+'Advanced Entry'!Z84),IF('Advanced Entry'!Z$5="Exponential",EXP('Advanced Entry'!Z84),'Advanced Entry'!Z84)))-'Advanced Entry'!Z$6)/('Advanced Entry'!Z$7-'Advanced Entry'!Z$6)),1))),"No data"))</f>
        <v/>
      </c>
      <c r="AA84" s="17">
        <f>IF('Advanced Entry'!AA84="","",IFERROR(MAX(0,MIN(10,ROUND(IF('Advanced Entry'!AA$8="Decrease Risk",10-10*((IF('Advanced Entry'!AA$5="Logarithm",LN(0.001+'Advanced Entry'!AA84),IF('Advanced Entry'!AA$5="Exponential",EXP('Advanced Entry'!AA84),'Advanced Entry'!AA84)))-'Advanced Entry'!AA$6)/('Advanced Entry'!AA$7-'Advanced Entry'!AA$6),10*((IF('Advanced Entry'!AA$5="Logarithm",LN(0.001+'Advanced Entry'!AA84),IF('Advanced Entry'!AA$5="Exponential",EXP('Advanced Entry'!AA84),'Advanced Entry'!AA84)))-'Advanced Entry'!AA$6)/('Advanced Entry'!AA$7-'Advanced Entry'!AA$6)),1))),"No data"))</f>
        <v/>
      </c>
      <c r="AB84" s="17">
        <f>IF('Advanced Entry'!AB84="","",IFERROR(MAX(0,MIN(10,ROUND(IF('Advanced Entry'!AB$8="Decrease Risk",10-10*((IF('Advanced Entry'!AB$5="Logarithm",LN(0.001+'Advanced Entry'!AB84),IF('Advanced Entry'!AB$5="Exponential",EXP('Advanced Entry'!AB84),'Advanced Entry'!AB84)))-'Advanced Entry'!AB$6)/('Advanced Entry'!AB$7-'Advanced Entry'!AB$6),10*((IF('Advanced Entry'!AB$5="Logarithm",LN(0.001+'Advanced Entry'!AB84),IF('Advanced Entry'!AB$5="Exponential",EXP('Advanced Entry'!AB84),'Advanced Entry'!AB84)))-'Advanced Entry'!AB$6)/('Advanced Entry'!AB$7-'Advanced Entry'!AB$6)),1))),"No data"))</f>
        <v/>
      </c>
    </row>
    <row r="85">
      <c r="A85" t="inlineStr">
        <is>
          <t>Manyara</t>
        </is>
      </c>
      <c r="B85" t="inlineStr">
        <is>
          <t>Babati Town</t>
        </is>
      </c>
      <c r="C85" t="inlineStr">
        <is>
          <t>C151</t>
        </is>
      </c>
      <c r="D85" s="17">
        <f>IF('Advanced Entry'!D85="","",IFERROR(MAX(0,MIN(10,ROUND(IF('Advanced Entry'!D$8="Decrease Risk",10-10*((IF('Advanced Entry'!D$5="Logarithm",LN(0.001+'Advanced Entry'!D85),IF('Advanced Entry'!D$5="Exponential",EXP('Advanced Entry'!D85),'Advanced Entry'!D85)))-'Advanced Entry'!D$6)/('Advanced Entry'!D$7-'Advanced Entry'!D$6),10*((IF('Advanced Entry'!D$5="Logarithm",LN(0.001+'Advanced Entry'!D85),IF('Advanced Entry'!D$5="Exponential",EXP('Advanced Entry'!D85),'Advanced Entry'!D85)))-'Advanced Entry'!D$6)/('Advanced Entry'!D$7-'Advanced Entry'!D$6)),1))),"No data"))</f>
        <v/>
      </c>
      <c r="E85" s="17">
        <f>IF('Advanced Entry'!E85="","",IFERROR(MAX(0,MIN(10,ROUND(IF('Advanced Entry'!E$8="Decrease Risk",10-10*((IF('Advanced Entry'!E$5="Logarithm",LN(0.001+'Advanced Entry'!E85),IF('Advanced Entry'!E$5="Exponential",EXP('Advanced Entry'!E85),'Advanced Entry'!E85)))-'Advanced Entry'!E$6)/('Advanced Entry'!E$7-'Advanced Entry'!E$6),10*((IF('Advanced Entry'!E$5="Logarithm",LN(0.001+'Advanced Entry'!E85),IF('Advanced Entry'!E$5="Exponential",EXP('Advanced Entry'!E85),'Advanced Entry'!E85)))-'Advanced Entry'!E$6)/('Advanced Entry'!E$7-'Advanced Entry'!E$6)),1))),"No data"))</f>
        <v/>
      </c>
      <c r="F85" s="17">
        <f>IF('Advanced Entry'!F85="","",IFERROR(MAX(0,MIN(10,ROUND(IF('Advanced Entry'!F$8="Decrease Risk",10-10*((IF('Advanced Entry'!F$5="Logarithm",LN(0.001+'Advanced Entry'!F85),IF('Advanced Entry'!F$5="Exponential",EXP('Advanced Entry'!F85),'Advanced Entry'!F85)))-'Advanced Entry'!F$6)/('Advanced Entry'!F$7-'Advanced Entry'!F$6),10*((IF('Advanced Entry'!F$5="Logarithm",LN(0.001+'Advanced Entry'!F85),IF('Advanced Entry'!F$5="Exponential",EXP('Advanced Entry'!F85),'Advanced Entry'!F85)))-'Advanced Entry'!F$6)/('Advanced Entry'!F$7-'Advanced Entry'!F$6)),1))),"No data"))</f>
        <v/>
      </c>
      <c r="G85" s="17">
        <f>IF('Advanced Entry'!G85="","",IFERROR(MAX(0,MIN(10,ROUND(IF('Advanced Entry'!G$8="Decrease Risk",10-10*((IF('Advanced Entry'!G$5="Logarithm",LN(0.001+'Advanced Entry'!G85),IF('Advanced Entry'!G$5="Exponential",EXP('Advanced Entry'!G85),'Advanced Entry'!G85)))-'Advanced Entry'!G$6)/('Advanced Entry'!G$7-'Advanced Entry'!G$6),10*((IF('Advanced Entry'!G$5="Logarithm",LN(0.001+'Advanced Entry'!G85),IF('Advanced Entry'!G$5="Exponential",EXP('Advanced Entry'!G85),'Advanced Entry'!G85)))-'Advanced Entry'!G$6)/('Advanced Entry'!G$7-'Advanced Entry'!G$6)),1))),"No data"))</f>
        <v/>
      </c>
      <c r="H85" s="17">
        <f>IF('Advanced Entry'!H85="","",IFERROR(MAX(0,MIN(10,ROUND(IF('Advanced Entry'!H$8="Decrease Risk",10-10*((IF('Advanced Entry'!H$5="Logarithm",LN(0.001+'Advanced Entry'!H85),IF('Advanced Entry'!H$5="Exponential",EXP('Advanced Entry'!H85),'Advanced Entry'!H85)))-'Advanced Entry'!H$6)/('Advanced Entry'!H$7-'Advanced Entry'!H$6),10*((IF('Advanced Entry'!H$5="Logarithm",LN(0.001+'Advanced Entry'!H85),IF('Advanced Entry'!H$5="Exponential",EXP('Advanced Entry'!H85),'Advanced Entry'!H85)))-'Advanced Entry'!H$6)/('Advanced Entry'!H$7-'Advanced Entry'!H$6)),1))),"No data"))</f>
        <v/>
      </c>
      <c r="I85" s="17">
        <f>IF('Advanced Entry'!I85="","",IFERROR(MAX(0,MIN(10,ROUND(IF('Advanced Entry'!I$8="Decrease Risk",10-10*((IF('Advanced Entry'!I$5="Logarithm",LN(0.001+'Advanced Entry'!I85),IF('Advanced Entry'!I$5="Exponential",EXP('Advanced Entry'!I85),'Advanced Entry'!I85)))-'Advanced Entry'!I$6)/('Advanced Entry'!I$7-'Advanced Entry'!I$6),10*((IF('Advanced Entry'!I$5="Logarithm",LN(0.001+'Advanced Entry'!I85),IF('Advanced Entry'!I$5="Exponential",EXP('Advanced Entry'!I85),'Advanced Entry'!I85)))-'Advanced Entry'!I$6)/('Advanced Entry'!I$7-'Advanced Entry'!I$6)),1))),"No data"))</f>
        <v/>
      </c>
      <c r="J85" s="17">
        <f>IF('Advanced Entry'!J85="","",IFERROR(MAX(0,MIN(10,ROUND(IF('Advanced Entry'!J$8="Decrease Risk",10-10*((IF('Advanced Entry'!J$5="Logarithm",LN(0.001+'Advanced Entry'!J85),IF('Advanced Entry'!J$5="Exponential",EXP('Advanced Entry'!J85),'Advanced Entry'!J85)))-'Advanced Entry'!J$6)/('Advanced Entry'!J$7-'Advanced Entry'!J$6),10*((IF('Advanced Entry'!J$5="Logarithm",LN(0.001+'Advanced Entry'!J85),IF('Advanced Entry'!J$5="Exponential",EXP('Advanced Entry'!J85),'Advanced Entry'!J85)))-'Advanced Entry'!J$6)/('Advanced Entry'!J$7-'Advanced Entry'!J$6)),1))),"No data"))</f>
        <v/>
      </c>
      <c r="K85" s="17">
        <f>IF('Advanced Entry'!K85="","",IFERROR(MAX(0,MIN(10,ROUND(IF('Advanced Entry'!K$8="Decrease Risk",10-10*((IF('Advanced Entry'!K$5="Logarithm",LN(0.001+'Advanced Entry'!K85),IF('Advanced Entry'!K$5="Exponential",EXP('Advanced Entry'!K85),'Advanced Entry'!K85)))-'Advanced Entry'!K$6)/('Advanced Entry'!K$7-'Advanced Entry'!K$6),10*((IF('Advanced Entry'!K$5="Logarithm",LN(0.001+'Advanced Entry'!K85),IF('Advanced Entry'!K$5="Exponential",EXP('Advanced Entry'!K85),'Advanced Entry'!K85)))-'Advanced Entry'!K$6)/('Advanced Entry'!K$7-'Advanced Entry'!K$6)),1))),"No data"))</f>
        <v/>
      </c>
      <c r="L85" s="17">
        <f>IF('Advanced Entry'!L85="","",IFERROR(MAX(0,MIN(10,ROUND(IF('Advanced Entry'!L$8="Decrease Risk",10-10*((IF('Advanced Entry'!L$5="Logarithm",LN(0.001+'Advanced Entry'!L85),IF('Advanced Entry'!L$5="Exponential",EXP('Advanced Entry'!L85),'Advanced Entry'!L85)))-'Advanced Entry'!L$6)/('Advanced Entry'!L$7-'Advanced Entry'!L$6),10*((IF('Advanced Entry'!L$5="Logarithm",LN(0.001+'Advanced Entry'!L85),IF('Advanced Entry'!L$5="Exponential",EXP('Advanced Entry'!L85),'Advanced Entry'!L85)))-'Advanced Entry'!L$6)/('Advanced Entry'!L$7-'Advanced Entry'!L$6)),1))),"No data"))</f>
        <v/>
      </c>
      <c r="M85" s="17">
        <f>IF('Advanced Entry'!M85="","",IFERROR(MAX(0,MIN(10,ROUND(IF('Advanced Entry'!M$8="Decrease Risk",10-10*((IF('Advanced Entry'!M$5="Logarithm",LN(0.001+'Advanced Entry'!M85),IF('Advanced Entry'!M$5="Exponential",EXP('Advanced Entry'!M85),'Advanced Entry'!M85)))-'Advanced Entry'!M$6)/('Advanced Entry'!M$7-'Advanced Entry'!M$6),10*((IF('Advanced Entry'!M$5="Logarithm",LN(0.001+'Advanced Entry'!M85),IF('Advanced Entry'!M$5="Exponential",EXP('Advanced Entry'!M85),'Advanced Entry'!M85)))-'Advanced Entry'!M$6)/('Advanced Entry'!M$7-'Advanced Entry'!M$6)),1))),"No data"))</f>
        <v/>
      </c>
      <c r="N85" s="17">
        <f>IF('Advanced Entry'!N85="","",IFERROR(MAX(0,MIN(10,ROUND(IF('Advanced Entry'!N$8="Decrease Risk",10-10*((IF('Advanced Entry'!N$5="Logarithm",LN(0.001+'Advanced Entry'!N85),IF('Advanced Entry'!N$5="Exponential",EXP('Advanced Entry'!N85),'Advanced Entry'!N85)))-'Advanced Entry'!N$6)/('Advanced Entry'!N$7-'Advanced Entry'!N$6),10*((IF('Advanced Entry'!N$5="Logarithm",LN(0.001+'Advanced Entry'!N85),IF('Advanced Entry'!N$5="Exponential",EXP('Advanced Entry'!N85),'Advanced Entry'!N85)))-'Advanced Entry'!N$6)/('Advanced Entry'!N$7-'Advanced Entry'!N$6)),1))),"No data"))</f>
        <v/>
      </c>
      <c r="O85" s="17">
        <f>IF('Advanced Entry'!O85="","",IFERROR(MAX(0,MIN(10,ROUND(IF('Advanced Entry'!O$8="Decrease Risk",10-10*((IF('Advanced Entry'!O$5="Logarithm",LN(0.001+'Advanced Entry'!O85),IF('Advanced Entry'!O$5="Exponential",EXP('Advanced Entry'!O85),'Advanced Entry'!O85)))-'Advanced Entry'!O$6)/('Advanced Entry'!O$7-'Advanced Entry'!O$6),10*((IF('Advanced Entry'!O$5="Logarithm",LN(0.001+'Advanced Entry'!O85),IF('Advanced Entry'!O$5="Exponential",EXP('Advanced Entry'!O85),'Advanced Entry'!O85)))-'Advanced Entry'!O$6)/('Advanced Entry'!O$7-'Advanced Entry'!O$6)),1))),"No data"))</f>
        <v/>
      </c>
      <c r="P85" s="17">
        <f>IF('Advanced Entry'!P85="","",IFERROR(MAX(0,MIN(10,ROUND(IF('Advanced Entry'!P$8="Decrease Risk",10-10*((IF('Advanced Entry'!P$5="Logarithm",LN(0.001+'Advanced Entry'!P85),IF('Advanced Entry'!P$5="Exponential",EXP('Advanced Entry'!P85),'Advanced Entry'!P85)))-'Advanced Entry'!P$6)/('Advanced Entry'!P$7-'Advanced Entry'!P$6),10*((IF('Advanced Entry'!P$5="Logarithm",LN(0.001+'Advanced Entry'!P85),IF('Advanced Entry'!P$5="Exponential",EXP('Advanced Entry'!P85),'Advanced Entry'!P85)))-'Advanced Entry'!P$6)/('Advanced Entry'!P$7-'Advanced Entry'!P$6)),1))),"No data"))</f>
        <v/>
      </c>
      <c r="Q85" s="17">
        <f>IF('Advanced Entry'!Q85="","",IFERROR(MAX(0,MIN(10,ROUND(IF('Advanced Entry'!Q$8="Decrease Risk",10-10*((IF('Advanced Entry'!Q$5="Logarithm",LN(0.001+'Advanced Entry'!Q85),IF('Advanced Entry'!Q$5="Exponential",EXP('Advanced Entry'!Q85),'Advanced Entry'!Q85)))-'Advanced Entry'!Q$6)/('Advanced Entry'!Q$7-'Advanced Entry'!Q$6),10*((IF('Advanced Entry'!Q$5="Logarithm",LN(0.001+'Advanced Entry'!Q85),IF('Advanced Entry'!Q$5="Exponential",EXP('Advanced Entry'!Q85),'Advanced Entry'!Q85)))-'Advanced Entry'!Q$6)/('Advanced Entry'!Q$7-'Advanced Entry'!Q$6)),1))),"No data"))</f>
        <v/>
      </c>
      <c r="R85" s="17">
        <f>IF('Advanced Entry'!R85="","",IFERROR(MAX(0,MIN(10,ROUND(IF('Advanced Entry'!R$8="Decrease Risk",10-10*((IF('Advanced Entry'!R$5="Logarithm",LN(0.001+'Advanced Entry'!R85),IF('Advanced Entry'!R$5="Exponential",EXP('Advanced Entry'!R85),'Advanced Entry'!R85)))-'Advanced Entry'!R$6)/('Advanced Entry'!R$7-'Advanced Entry'!R$6),10*((IF('Advanced Entry'!R$5="Logarithm",LN(0.001+'Advanced Entry'!R85),IF('Advanced Entry'!R$5="Exponential",EXP('Advanced Entry'!R85),'Advanced Entry'!R85)))-'Advanced Entry'!R$6)/('Advanced Entry'!R$7-'Advanced Entry'!R$6)),1))),"No data"))</f>
        <v/>
      </c>
      <c r="S85" s="17">
        <f>IF('Advanced Entry'!S85="","",IFERROR(MAX(0,MIN(10,ROUND(IF('Advanced Entry'!S$8="Decrease Risk",10-10*((IF('Advanced Entry'!S$5="Logarithm",LN(0.001+'Advanced Entry'!S85),IF('Advanced Entry'!S$5="Exponential",EXP('Advanced Entry'!S85),'Advanced Entry'!S85)))-'Advanced Entry'!S$6)/('Advanced Entry'!S$7-'Advanced Entry'!S$6),10*((IF('Advanced Entry'!S$5="Logarithm",LN(0.001+'Advanced Entry'!S85),IF('Advanced Entry'!S$5="Exponential",EXP('Advanced Entry'!S85),'Advanced Entry'!S85)))-'Advanced Entry'!S$6)/('Advanced Entry'!S$7-'Advanced Entry'!S$6)),1))),"No data"))</f>
        <v/>
      </c>
      <c r="T85" s="17">
        <f>IF('Advanced Entry'!T85="","",IFERROR(MAX(0,MIN(10,ROUND(IF('Advanced Entry'!T$8="Decrease Risk",10-10*((IF('Advanced Entry'!T$5="Logarithm",LN(0.001+'Advanced Entry'!T85),IF('Advanced Entry'!T$5="Exponential",EXP('Advanced Entry'!T85),'Advanced Entry'!T85)))-'Advanced Entry'!T$6)/('Advanced Entry'!T$7-'Advanced Entry'!T$6),10*((IF('Advanced Entry'!T$5="Logarithm",LN(0.001+'Advanced Entry'!T85),IF('Advanced Entry'!T$5="Exponential",EXP('Advanced Entry'!T85),'Advanced Entry'!T85)))-'Advanced Entry'!T$6)/('Advanced Entry'!T$7-'Advanced Entry'!T$6)),1))),"No data"))</f>
        <v/>
      </c>
      <c r="U85" s="17">
        <f>IF('Advanced Entry'!U85="","",IFERROR(MAX(0,MIN(10,ROUND(IF('Advanced Entry'!U$8="Decrease Risk",10-10*((IF('Advanced Entry'!U$5="Logarithm",LN(0.001+'Advanced Entry'!U85),IF('Advanced Entry'!U$5="Exponential",EXP('Advanced Entry'!U85),'Advanced Entry'!U85)))-'Advanced Entry'!U$6)/('Advanced Entry'!U$7-'Advanced Entry'!U$6),10*((IF('Advanced Entry'!U$5="Logarithm",LN(0.001+'Advanced Entry'!U85),IF('Advanced Entry'!U$5="Exponential",EXP('Advanced Entry'!U85),'Advanced Entry'!U85)))-'Advanced Entry'!U$6)/('Advanced Entry'!U$7-'Advanced Entry'!U$6)),1))),"No data"))</f>
        <v/>
      </c>
      <c r="V85" s="17">
        <f>IF('Advanced Entry'!V85="","",IFERROR(MAX(0,MIN(10,ROUND(IF('Advanced Entry'!V$8="Decrease Risk",10-10*((IF('Advanced Entry'!V$5="Logarithm",LN(0.001+'Advanced Entry'!V85),IF('Advanced Entry'!V$5="Exponential",EXP('Advanced Entry'!V85),'Advanced Entry'!V85)))-'Advanced Entry'!V$6)/('Advanced Entry'!V$7-'Advanced Entry'!V$6),10*((IF('Advanced Entry'!V$5="Logarithm",LN(0.001+'Advanced Entry'!V85),IF('Advanced Entry'!V$5="Exponential",EXP('Advanced Entry'!V85),'Advanced Entry'!V85)))-'Advanced Entry'!V$6)/('Advanced Entry'!V$7-'Advanced Entry'!V$6)),1))),"No data"))</f>
        <v/>
      </c>
      <c r="W85" s="17">
        <f>IF('Advanced Entry'!W85="","",IFERROR(MAX(0,MIN(10,ROUND(IF('Advanced Entry'!W$8="Decrease Risk",10-10*((IF('Advanced Entry'!W$5="Logarithm",LN(0.001+'Advanced Entry'!W85),IF('Advanced Entry'!W$5="Exponential",EXP('Advanced Entry'!W85),'Advanced Entry'!W85)))-'Advanced Entry'!W$6)/('Advanced Entry'!W$7-'Advanced Entry'!W$6),10*((IF('Advanced Entry'!W$5="Logarithm",LN(0.001+'Advanced Entry'!W85),IF('Advanced Entry'!W$5="Exponential",EXP('Advanced Entry'!W85),'Advanced Entry'!W85)))-'Advanced Entry'!W$6)/('Advanced Entry'!W$7-'Advanced Entry'!W$6)),1))),"No data"))</f>
        <v/>
      </c>
      <c r="X85" s="17">
        <f>IF('Advanced Entry'!X85="","",IFERROR(MAX(0,MIN(10,ROUND(IF('Advanced Entry'!X$8="Decrease Risk",10-10*((IF('Advanced Entry'!X$5="Logarithm",LN(0.001+'Advanced Entry'!X85),IF('Advanced Entry'!X$5="Exponential",EXP('Advanced Entry'!X85),'Advanced Entry'!X85)))-'Advanced Entry'!X$6)/('Advanced Entry'!X$7-'Advanced Entry'!X$6),10*((IF('Advanced Entry'!X$5="Logarithm",LN(0.001+'Advanced Entry'!X85),IF('Advanced Entry'!X$5="Exponential",EXP('Advanced Entry'!X85),'Advanced Entry'!X85)))-'Advanced Entry'!X$6)/('Advanced Entry'!X$7-'Advanced Entry'!X$6)),1))),"No data"))</f>
        <v/>
      </c>
      <c r="Y85" s="17">
        <f>IF('Advanced Entry'!Y85="","",IFERROR(MAX(0,MIN(10,ROUND(IF('Advanced Entry'!Y$8="Decrease Risk",10-10*((IF('Advanced Entry'!Y$5="Logarithm",LN(0.001+'Advanced Entry'!Y85),IF('Advanced Entry'!Y$5="Exponential",EXP('Advanced Entry'!Y85),'Advanced Entry'!Y85)))-'Advanced Entry'!Y$6)/('Advanced Entry'!Y$7-'Advanced Entry'!Y$6),10*((IF('Advanced Entry'!Y$5="Logarithm",LN(0.001+'Advanced Entry'!Y85),IF('Advanced Entry'!Y$5="Exponential",EXP('Advanced Entry'!Y85),'Advanced Entry'!Y85)))-'Advanced Entry'!Y$6)/('Advanced Entry'!Y$7-'Advanced Entry'!Y$6)),1))),"No data"))</f>
        <v/>
      </c>
      <c r="Z85" s="17">
        <f>IF('Advanced Entry'!Z85="","",IFERROR(MAX(0,MIN(10,ROUND(IF('Advanced Entry'!Z$8="Decrease Risk",10-10*((IF('Advanced Entry'!Z$5="Logarithm",LN(0.001+'Advanced Entry'!Z85),IF('Advanced Entry'!Z$5="Exponential",EXP('Advanced Entry'!Z85),'Advanced Entry'!Z85)))-'Advanced Entry'!Z$6)/('Advanced Entry'!Z$7-'Advanced Entry'!Z$6),10*((IF('Advanced Entry'!Z$5="Logarithm",LN(0.001+'Advanced Entry'!Z85),IF('Advanced Entry'!Z$5="Exponential",EXP('Advanced Entry'!Z85),'Advanced Entry'!Z85)))-'Advanced Entry'!Z$6)/('Advanced Entry'!Z$7-'Advanced Entry'!Z$6)),1))),"No data"))</f>
        <v/>
      </c>
      <c r="AA85" s="17">
        <f>IF('Advanced Entry'!AA85="","",IFERROR(MAX(0,MIN(10,ROUND(IF('Advanced Entry'!AA$8="Decrease Risk",10-10*((IF('Advanced Entry'!AA$5="Logarithm",LN(0.001+'Advanced Entry'!AA85),IF('Advanced Entry'!AA$5="Exponential",EXP('Advanced Entry'!AA85),'Advanced Entry'!AA85)))-'Advanced Entry'!AA$6)/('Advanced Entry'!AA$7-'Advanced Entry'!AA$6),10*((IF('Advanced Entry'!AA$5="Logarithm",LN(0.001+'Advanced Entry'!AA85),IF('Advanced Entry'!AA$5="Exponential",EXP('Advanced Entry'!AA85),'Advanced Entry'!AA85)))-'Advanced Entry'!AA$6)/('Advanced Entry'!AA$7-'Advanced Entry'!AA$6)),1))),"No data"))</f>
        <v/>
      </c>
      <c r="AB85" s="17">
        <f>IF('Advanced Entry'!AB85="","",IFERROR(MAX(0,MIN(10,ROUND(IF('Advanced Entry'!AB$8="Decrease Risk",10-10*((IF('Advanced Entry'!AB$5="Logarithm",LN(0.001+'Advanced Entry'!AB85),IF('Advanced Entry'!AB$5="Exponential",EXP('Advanced Entry'!AB85),'Advanced Entry'!AB85)))-'Advanced Entry'!AB$6)/('Advanced Entry'!AB$7-'Advanced Entry'!AB$6),10*((IF('Advanced Entry'!AB$5="Logarithm",LN(0.001+'Advanced Entry'!AB85),IF('Advanced Entry'!AB$5="Exponential",EXP('Advanced Entry'!AB85),'Advanced Entry'!AB85)))-'Advanced Entry'!AB$6)/('Advanced Entry'!AB$7-'Advanced Entry'!AB$6)),1))),"No data"))</f>
        <v/>
      </c>
    </row>
    <row r="86">
      <c r="A86" t="inlineStr">
        <is>
          <t>Manyara</t>
        </is>
      </c>
      <c r="B86" t="inlineStr">
        <is>
          <t>Hanang District</t>
        </is>
      </c>
      <c r="C86" t="inlineStr">
        <is>
          <t>C152</t>
        </is>
      </c>
      <c r="D86" s="17">
        <f>IF('Advanced Entry'!D86="","",IFERROR(MAX(0,MIN(10,ROUND(IF('Advanced Entry'!D$8="Decrease Risk",10-10*((IF('Advanced Entry'!D$5="Logarithm",LN(0.001+'Advanced Entry'!D86),IF('Advanced Entry'!D$5="Exponential",EXP('Advanced Entry'!D86),'Advanced Entry'!D86)))-'Advanced Entry'!D$6)/('Advanced Entry'!D$7-'Advanced Entry'!D$6),10*((IF('Advanced Entry'!D$5="Logarithm",LN(0.001+'Advanced Entry'!D86),IF('Advanced Entry'!D$5="Exponential",EXP('Advanced Entry'!D86),'Advanced Entry'!D86)))-'Advanced Entry'!D$6)/('Advanced Entry'!D$7-'Advanced Entry'!D$6)),1))),"No data"))</f>
        <v/>
      </c>
      <c r="E86" s="17">
        <f>IF('Advanced Entry'!E86="","",IFERROR(MAX(0,MIN(10,ROUND(IF('Advanced Entry'!E$8="Decrease Risk",10-10*((IF('Advanced Entry'!E$5="Logarithm",LN(0.001+'Advanced Entry'!E86),IF('Advanced Entry'!E$5="Exponential",EXP('Advanced Entry'!E86),'Advanced Entry'!E86)))-'Advanced Entry'!E$6)/('Advanced Entry'!E$7-'Advanced Entry'!E$6),10*((IF('Advanced Entry'!E$5="Logarithm",LN(0.001+'Advanced Entry'!E86),IF('Advanced Entry'!E$5="Exponential",EXP('Advanced Entry'!E86),'Advanced Entry'!E86)))-'Advanced Entry'!E$6)/('Advanced Entry'!E$7-'Advanced Entry'!E$6)),1))),"No data"))</f>
        <v/>
      </c>
      <c r="F86" s="17">
        <f>IF('Advanced Entry'!F86="","",IFERROR(MAX(0,MIN(10,ROUND(IF('Advanced Entry'!F$8="Decrease Risk",10-10*((IF('Advanced Entry'!F$5="Logarithm",LN(0.001+'Advanced Entry'!F86),IF('Advanced Entry'!F$5="Exponential",EXP('Advanced Entry'!F86),'Advanced Entry'!F86)))-'Advanced Entry'!F$6)/('Advanced Entry'!F$7-'Advanced Entry'!F$6),10*((IF('Advanced Entry'!F$5="Logarithm",LN(0.001+'Advanced Entry'!F86),IF('Advanced Entry'!F$5="Exponential",EXP('Advanced Entry'!F86),'Advanced Entry'!F86)))-'Advanced Entry'!F$6)/('Advanced Entry'!F$7-'Advanced Entry'!F$6)),1))),"No data"))</f>
        <v/>
      </c>
      <c r="G86" s="17">
        <f>IF('Advanced Entry'!G86="","",IFERROR(MAX(0,MIN(10,ROUND(IF('Advanced Entry'!G$8="Decrease Risk",10-10*((IF('Advanced Entry'!G$5="Logarithm",LN(0.001+'Advanced Entry'!G86),IF('Advanced Entry'!G$5="Exponential",EXP('Advanced Entry'!G86),'Advanced Entry'!G86)))-'Advanced Entry'!G$6)/('Advanced Entry'!G$7-'Advanced Entry'!G$6),10*((IF('Advanced Entry'!G$5="Logarithm",LN(0.001+'Advanced Entry'!G86),IF('Advanced Entry'!G$5="Exponential",EXP('Advanced Entry'!G86),'Advanced Entry'!G86)))-'Advanced Entry'!G$6)/('Advanced Entry'!G$7-'Advanced Entry'!G$6)),1))),"No data"))</f>
        <v/>
      </c>
      <c r="H86" s="17">
        <f>IF('Advanced Entry'!H86="","",IFERROR(MAX(0,MIN(10,ROUND(IF('Advanced Entry'!H$8="Decrease Risk",10-10*((IF('Advanced Entry'!H$5="Logarithm",LN(0.001+'Advanced Entry'!H86),IF('Advanced Entry'!H$5="Exponential",EXP('Advanced Entry'!H86),'Advanced Entry'!H86)))-'Advanced Entry'!H$6)/('Advanced Entry'!H$7-'Advanced Entry'!H$6),10*((IF('Advanced Entry'!H$5="Logarithm",LN(0.001+'Advanced Entry'!H86),IF('Advanced Entry'!H$5="Exponential",EXP('Advanced Entry'!H86),'Advanced Entry'!H86)))-'Advanced Entry'!H$6)/('Advanced Entry'!H$7-'Advanced Entry'!H$6)),1))),"No data"))</f>
        <v/>
      </c>
      <c r="I86" s="17">
        <f>IF('Advanced Entry'!I86="","",IFERROR(MAX(0,MIN(10,ROUND(IF('Advanced Entry'!I$8="Decrease Risk",10-10*((IF('Advanced Entry'!I$5="Logarithm",LN(0.001+'Advanced Entry'!I86),IF('Advanced Entry'!I$5="Exponential",EXP('Advanced Entry'!I86),'Advanced Entry'!I86)))-'Advanced Entry'!I$6)/('Advanced Entry'!I$7-'Advanced Entry'!I$6),10*((IF('Advanced Entry'!I$5="Logarithm",LN(0.001+'Advanced Entry'!I86),IF('Advanced Entry'!I$5="Exponential",EXP('Advanced Entry'!I86),'Advanced Entry'!I86)))-'Advanced Entry'!I$6)/('Advanced Entry'!I$7-'Advanced Entry'!I$6)),1))),"No data"))</f>
        <v/>
      </c>
      <c r="J86" s="17">
        <f>IF('Advanced Entry'!J86="","",IFERROR(MAX(0,MIN(10,ROUND(IF('Advanced Entry'!J$8="Decrease Risk",10-10*((IF('Advanced Entry'!J$5="Logarithm",LN(0.001+'Advanced Entry'!J86),IF('Advanced Entry'!J$5="Exponential",EXP('Advanced Entry'!J86),'Advanced Entry'!J86)))-'Advanced Entry'!J$6)/('Advanced Entry'!J$7-'Advanced Entry'!J$6),10*((IF('Advanced Entry'!J$5="Logarithm",LN(0.001+'Advanced Entry'!J86),IF('Advanced Entry'!J$5="Exponential",EXP('Advanced Entry'!J86),'Advanced Entry'!J86)))-'Advanced Entry'!J$6)/('Advanced Entry'!J$7-'Advanced Entry'!J$6)),1))),"No data"))</f>
        <v/>
      </c>
      <c r="K86" s="17">
        <f>IF('Advanced Entry'!K86="","",IFERROR(MAX(0,MIN(10,ROUND(IF('Advanced Entry'!K$8="Decrease Risk",10-10*((IF('Advanced Entry'!K$5="Logarithm",LN(0.001+'Advanced Entry'!K86),IF('Advanced Entry'!K$5="Exponential",EXP('Advanced Entry'!K86),'Advanced Entry'!K86)))-'Advanced Entry'!K$6)/('Advanced Entry'!K$7-'Advanced Entry'!K$6),10*((IF('Advanced Entry'!K$5="Logarithm",LN(0.001+'Advanced Entry'!K86),IF('Advanced Entry'!K$5="Exponential",EXP('Advanced Entry'!K86),'Advanced Entry'!K86)))-'Advanced Entry'!K$6)/('Advanced Entry'!K$7-'Advanced Entry'!K$6)),1))),"No data"))</f>
        <v/>
      </c>
      <c r="L86" s="17">
        <f>IF('Advanced Entry'!L86="","",IFERROR(MAX(0,MIN(10,ROUND(IF('Advanced Entry'!L$8="Decrease Risk",10-10*((IF('Advanced Entry'!L$5="Logarithm",LN(0.001+'Advanced Entry'!L86),IF('Advanced Entry'!L$5="Exponential",EXP('Advanced Entry'!L86),'Advanced Entry'!L86)))-'Advanced Entry'!L$6)/('Advanced Entry'!L$7-'Advanced Entry'!L$6),10*((IF('Advanced Entry'!L$5="Logarithm",LN(0.001+'Advanced Entry'!L86),IF('Advanced Entry'!L$5="Exponential",EXP('Advanced Entry'!L86),'Advanced Entry'!L86)))-'Advanced Entry'!L$6)/('Advanced Entry'!L$7-'Advanced Entry'!L$6)),1))),"No data"))</f>
        <v/>
      </c>
      <c r="M86" s="17">
        <f>IF('Advanced Entry'!M86="","",IFERROR(MAX(0,MIN(10,ROUND(IF('Advanced Entry'!M$8="Decrease Risk",10-10*((IF('Advanced Entry'!M$5="Logarithm",LN(0.001+'Advanced Entry'!M86),IF('Advanced Entry'!M$5="Exponential",EXP('Advanced Entry'!M86),'Advanced Entry'!M86)))-'Advanced Entry'!M$6)/('Advanced Entry'!M$7-'Advanced Entry'!M$6),10*((IF('Advanced Entry'!M$5="Logarithm",LN(0.001+'Advanced Entry'!M86),IF('Advanced Entry'!M$5="Exponential",EXP('Advanced Entry'!M86),'Advanced Entry'!M86)))-'Advanced Entry'!M$6)/('Advanced Entry'!M$7-'Advanced Entry'!M$6)),1))),"No data"))</f>
        <v/>
      </c>
      <c r="N86" s="17">
        <f>IF('Advanced Entry'!N86="","",IFERROR(MAX(0,MIN(10,ROUND(IF('Advanced Entry'!N$8="Decrease Risk",10-10*((IF('Advanced Entry'!N$5="Logarithm",LN(0.001+'Advanced Entry'!N86),IF('Advanced Entry'!N$5="Exponential",EXP('Advanced Entry'!N86),'Advanced Entry'!N86)))-'Advanced Entry'!N$6)/('Advanced Entry'!N$7-'Advanced Entry'!N$6),10*((IF('Advanced Entry'!N$5="Logarithm",LN(0.001+'Advanced Entry'!N86),IF('Advanced Entry'!N$5="Exponential",EXP('Advanced Entry'!N86),'Advanced Entry'!N86)))-'Advanced Entry'!N$6)/('Advanced Entry'!N$7-'Advanced Entry'!N$6)),1))),"No data"))</f>
        <v/>
      </c>
      <c r="O86" s="17">
        <f>IF('Advanced Entry'!O86="","",IFERROR(MAX(0,MIN(10,ROUND(IF('Advanced Entry'!O$8="Decrease Risk",10-10*((IF('Advanced Entry'!O$5="Logarithm",LN(0.001+'Advanced Entry'!O86),IF('Advanced Entry'!O$5="Exponential",EXP('Advanced Entry'!O86),'Advanced Entry'!O86)))-'Advanced Entry'!O$6)/('Advanced Entry'!O$7-'Advanced Entry'!O$6),10*((IF('Advanced Entry'!O$5="Logarithm",LN(0.001+'Advanced Entry'!O86),IF('Advanced Entry'!O$5="Exponential",EXP('Advanced Entry'!O86),'Advanced Entry'!O86)))-'Advanced Entry'!O$6)/('Advanced Entry'!O$7-'Advanced Entry'!O$6)),1))),"No data"))</f>
        <v/>
      </c>
      <c r="P86" s="17">
        <f>IF('Advanced Entry'!P86="","",IFERROR(MAX(0,MIN(10,ROUND(IF('Advanced Entry'!P$8="Decrease Risk",10-10*((IF('Advanced Entry'!P$5="Logarithm",LN(0.001+'Advanced Entry'!P86),IF('Advanced Entry'!P$5="Exponential",EXP('Advanced Entry'!P86),'Advanced Entry'!P86)))-'Advanced Entry'!P$6)/('Advanced Entry'!P$7-'Advanced Entry'!P$6),10*((IF('Advanced Entry'!P$5="Logarithm",LN(0.001+'Advanced Entry'!P86),IF('Advanced Entry'!P$5="Exponential",EXP('Advanced Entry'!P86),'Advanced Entry'!P86)))-'Advanced Entry'!P$6)/('Advanced Entry'!P$7-'Advanced Entry'!P$6)),1))),"No data"))</f>
        <v/>
      </c>
      <c r="Q86" s="17">
        <f>IF('Advanced Entry'!Q86="","",IFERROR(MAX(0,MIN(10,ROUND(IF('Advanced Entry'!Q$8="Decrease Risk",10-10*((IF('Advanced Entry'!Q$5="Logarithm",LN(0.001+'Advanced Entry'!Q86),IF('Advanced Entry'!Q$5="Exponential",EXP('Advanced Entry'!Q86),'Advanced Entry'!Q86)))-'Advanced Entry'!Q$6)/('Advanced Entry'!Q$7-'Advanced Entry'!Q$6),10*((IF('Advanced Entry'!Q$5="Logarithm",LN(0.001+'Advanced Entry'!Q86),IF('Advanced Entry'!Q$5="Exponential",EXP('Advanced Entry'!Q86),'Advanced Entry'!Q86)))-'Advanced Entry'!Q$6)/('Advanced Entry'!Q$7-'Advanced Entry'!Q$6)),1))),"No data"))</f>
        <v/>
      </c>
      <c r="R86" s="17">
        <f>IF('Advanced Entry'!R86="","",IFERROR(MAX(0,MIN(10,ROUND(IF('Advanced Entry'!R$8="Decrease Risk",10-10*((IF('Advanced Entry'!R$5="Logarithm",LN(0.001+'Advanced Entry'!R86),IF('Advanced Entry'!R$5="Exponential",EXP('Advanced Entry'!R86),'Advanced Entry'!R86)))-'Advanced Entry'!R$6)/('Advanced Entry'!R$7-'Advanced Entry'!R$6),10*((IF('Advanced Entry'!R$5="Logarithm",LN(0.001+'Advanced Entry'!R86),IF('Advanced Entry'!R$5="Exponential",EXP('Advanced Entry'!R86),'Advanced Entry'!R86)))-'Advanced Entry'!R$6)/('Advanced Entry'!R$7-'Advanced Entry'!R$6)),1))),"No data"))</f>
        <v/>
      </c>
      <c r="S86" s="17">
        <f>IF('Advanced Entry'!S86="","",IFERROR(MAX(0,MIN(10,ROUND(IF('Advanced Entry'!S$8="Decrease Risk",10-10*((IF('Advanced Entry'!S$5="Logarithm",LN(0.001+'Advanced Entry'!S86),IF('Advanced Entry'!S$5="Exponential",EXP('Advanced Entry'!S86),'Advanced Entry'!S86)))-'Advanced Entry'!S$6)/('Advanced Entry'!S$7-'Advanced Entry'!S$6),10*((IF('Advanced Entry'!S$5="Logarithm",LN(0.001+'Advanced Entry'!S86),IF('Advanced Entry'!S$5="Exponential",EXP('Advanced Entry'!S86),'Advanced Entry'!S86)))-'Advanced Entry'!S$6)/('Advanced Entry'!S$7-'Advanced Entry'!S$6)),1))),"No data"))</f>
        <v/>
      </c>
      <c r="T86" s="17">
        <f>IF('Advanced Entry'!T86="","",IFERROR(MAX(0,MIN(10,ROUND(IF('Advanced Entry'!T$8="Decrease Risk",10-10*((IF('Advanced Entry'!T$5="Logarithm",LN(0.001+'Advanced Entry'!T86),IF('Advanced Entry'!T$5="Exponential",EXP('Advanced Entry'!T86),'Advanced Entry'!T86)))-'Advanced Entry'!T$6)/('Advanced Entry'!T$7-'Advanced Entry'!T$6),10*((IF('Advanced Entry'!T$5="Logarithm",LN(0.001+'Advanced Entry'!T86),IF('Advanced Entry'!T$5="Exponential",EXP('Advanced Entry'!T86),'Advanced Entry'!T86)))-'Advanced Entry'!T$6)/('Advanced Entry'!T$7-'Advanced Entry'!T$6)),1))),"No data"))</f>
        <v/>
      </c>
      <c r="U86" s="17">
        <f>IF('Advanced Entry'!U86="","",IFERROR(MAX(0,MIN(10,ROUND(IF('Advanced Entry'!U$8="Decrease Risk",10-10*((IF('Advanced Entry'!U$5="Logarithm",LN(0.001+'Advanced Entry'!U86),IF('Advanced Entry'!U$5="Exponential",EXP('Advanced Entry'!U86),'Advanced Entry'!U86)))-'Advanced Entry'!U$6)/('Advanced Entry'!U$7-'Advanced Entry'!U$6),10*((IF('Advanced Entry'!U$5="Logarithm",LN(0.001+'Advanced Entry'!U86),IF('Advanced Entry'!U$5="Exponential",EXP('Advanced Entry'!U86),'Advanced Entry'!U86)))-'Advanced Entry'!U$6)/('Advanced Entry'!U$7-'Advanced Entry'!U$6)),1))),"No data"))</f>
        <v/>
      </c>
      <c r="V86" s="17">
        <f>IF('Advanced Entry'!V86="","",IFERROR(MAX(0,MIN(10,ROUND(IF('Advanced Entry'!V$8="Decrease Risk",10-10*((IF('Advanced Entry'!V$5="Logarithm",LN(0.001+'Advanced Entry'!V86),IF('Advanced Entry'!V$5="Exponential",EXP('Advanced Entry'!V86),'Advanced Entry'!V86)))-'Advanced Entry'!V$6)/('Advanced Entry'!V$7-'Advanced Entry'!V$6),10*((IF('Advanced Entry'!V$5="Logarithm",LN(0.001+'Advanced Entry'!V86),IF('Advanced Entry'!V$5="Exponential",EXP('Advanced Entry'!V86),'Advanced Entry'!V86)))-'Advanced Entry'!V$6)/('Advanced Entry'!V$7-'Advanced Entry'!V$6)),1))),"No data"))</f>
        <v/>
      </c>
      <c r="W86" s="17">
        <f>IF('Advanced Entry'!W86="","",IFERROR(MAX(0,MIN(10,ROUND(IF('Advanced Entry'!W$8="Decrease Risk",10-10*((IF('Advanced Entry'!W$5="Logarithm",LN(0.001+'Advanced Entry'!W86),IF('Advanced Entry'!W$5="Exponential",EXP('Advanced Entry'!W86),'Advanced Entry'!W86)))-'Advanced Entry'!W$6)/('Advanced Entry'!W$7-'Advanced Entry'!W$6),10*((IF('Advanced Entry'!W$5="Logarithm",LN(0.001+'Advanced Entry'!W86),IF('Advanced Entry'!W$5="Exponential",EXP('Advanced Entry'!W86),'Advanced Entry'!W86)))-'Advanced Entry'!W$6)/('Advanced Entry'!W$7-'Advanced Entry'!W$6)),1))),"No data"))</f>
        <v/>
      </c>
      <c r="X86" s="17">
        <f>IF('Advanced Entry'!X86="","",IFERROR(MAX(0,MIN(10,ROUND(IF('Advanced Entry'!X$8="Decrease Risk",10-10*((IF('Advanced Entry'!X$5="Logarithm",LN(0.001+'Advanced Entry'!X86),IF('Advanced Entry'!X$5="Exponential",EXP('Advanced Entry'!X86),'Advanced Entry'!X86)))-'Advanced Entry'!X$6)/('Advanced Entry'!X$7-'Advanced Entry'!X$6),10*((IF('Advanced Entry'!X$5="Logarithm",LN(0.001+'Advanced Entry'!X86),IF('Advanced Entry'!X$5="Exponential",EXP('Advanced Entry'!X86),'Advanced Entry'!X86)))-'Advanced Entry'!X$6)/('Advanced Entry'!X$7-'Advanced Entry'!X$6)),1))),"No data"))</f>
        <v/>
      </c>
      <c r="Y86" s="17">
        <f>IF('Advanced Entry'!Y86="","",IFERROR(MAX(0,MIN(10,ROUND(IF('Advanced Entry'!Y$8="Decrease Risk",10-10*((IF('Advanced Entry'!Y$5="Logarithm",LN(0.001+'Advanced Entry'!Y86),IF('Advanced Entry'!Y$5="Exponential",EXP('Advanced Entry'!Y86),'Advanced Entry'!Y86)))-'Advanced Entry'!Y$6)/('Advanced Entry'!Y$7-'Advanced Entry'!Y$6),10*((IF('Advanced Entry'!Y$5="Logarithm",LN(0.001+'Advanced Entry'!Y86),IF('Advanced Entry'!Y$5="Exponential",EXP('Advanced Entry'!Y86),'Advanced Entry'!Y86)))-'Advanced Entry'!Y$6)/('Advanced Entry'!Y$7-'Advanced Entry'!Y$6)),1))),"No data"))</f>
        <v/>
      </c>
      <c r="Z86" s="17">
        <f>IF('Advanced Entry'!Z86="","",IFERROR(MAX(0,MIN(10,ROUND(IF('Advanced Entry'!Z$8="Decrease Risk",10-10*((IF('Advanced Entry'!Z$5="Logarithm",LN(0.001+'Advanced Entry'!Z86),IF('Advanced Entry'!Z$5="Exponential",EXP('Advanced Entry'!Z86),'Advanced Entry'!Z86)))-'Advanced Entry'!Z$6)/('Advanced Entry'!Z$7-'Advanced Entry'!Z$6),10*((IF('Advanced Entry'!Z$5="Logarithm",LN(0.001+'Advanced Entry'!Z86),IF('Advanced Entry'!Z$5="Exponential",EXP('Advanced Entry'!Z86),'Advanced Entry'!Z86)))-'Advanced Entry'!Z$6)/('Advanced Entry'!Z$7-'Advanced Entry'!Z$6)),1))),"No data"))</f>
        <v/>
      </c>
      <c r="AA86" s="17">
        <f>IF('Advanced Entry'!AA86="","",IFERROR(MAX(0,MIN(10,ROUND(IF('Advanced Entry'!AA$8="Decrease Risk",10-10*((IF('Advanced Entry'!AA$5="Logarithm",LN(0.001+'Advanced Entry'!AA86),IF('Advanced Entry'!AA$5="Exponential",EXP('Advanced Entry'!AA86),'Advanced Entry'!AA86)))-'Advanced Entry'!AA$6)/('Advanced Entry'!AA$7-'Advanced Entry'!AA$6),10*((IF('Advanced Entry'!AA$5="Logarithm",LN(0.001+'Advanced Entry'!AA86),IF('Advanced Entry'!AA$5="Exponential",EXP('Advanced Entry'!AA86),'Advanced Entry'!AA86)))-'Advanced Entry'!AA$6)/('Advanced Entry'!AA$7-'Advanced Entry'!AA$6)),1))),"No data"))</f>
        <v/>
      </c>
      <c r="AB86" s="17">
        <f>IF('Advanced Entry'!AB86="","",IFERROR(MAX(0,MIN(10,ROUND(IF('Advanced Entry'!AB$8="Decrease Risk",10-10*((IF('Advanced Entry'!AB$5="Logarithm",LN(0.001+'Advanced Entry'!AB86),IF('Advanced Entry'!AB$5="Exponential",EXP('Advanced Entry'!AB86),'Advanced Entry'!AB86)))-'Advanced Entry'!AB$6)/('Advanced Entry'!AB$7-'Advanced Entry'!AB$6),10*((IF('Advanced Entry'!AB$5="Logarithm",LN(0.001+'Advanced Entry'!AB86),IF('Advanced Entry'!AB$5="Exponential",EXP('Advanced Entry'!AB86),'Advanced Entry'!AB86)))-'Advanced Entry'!AB$6)/('Advanced Entry'!AB$7-'Advanced Entry'!AB$6)),1))),"No data"))</f>
        <v/>
      </c>
    </row>
    <row r="87">
      <c r="A87" t="inlineStr">
        <is>
          <t>Manyara</t>
        </is>
      </c>
      <c r="B87" t="inlineStr">
        <is>
          <t>Kiteto District</t>
        </is>
      </c>
      <c r="C87" t="inlineStr">
        <is>
          <t>C156</t>
        </is>
      </c>
      <c r="D87" s="17">
        <f>IF('Advanced Entry'!D87="","",IFERROR(MAX(0,MIN(10,ROUND(IF('Advanced Entry'!D$8="Decrease Risk",10-10*((IF('Advanced Entry'!D$5="Logarithm",LN(0.001+'Advanced Entry'!D87),IF('Advanced Entry'!D$5="Exponential",EXP('Advanced Entry'!D87),'Advanced Entry'!D87)))-'Advanced Entry'!D$6)/('Advanced Entry'!D$7-'Advanced Entry'!D$6),10*((IF('Advanced Entry'!D$5="Logarithm",LN(0.001+'Advanced Entry'!D87),IF('Advanced Entry'!D$5="Exponential",EXP('Advanced Entry'!D87),'Advanced Entry'!D87)))-'Advanced Entry'!D$6)/('Advanced Entry'!D$7-'Advanced Entry'!D$6)),1))),"No data"))</f>
        <v/>
      </c>
      <c r="E87" s="17">
        <f>IF('Advanced Entry'!E87="","",IFERROR(MAX(0,MIN(10,ROUND(IF('Advanced Entry'!E$8="Decrease Risk",10-10*((IF('Advanced Entry'!E$5="Logarithm",LN(0.001+'Advanced Entry'!E87),IF('Advanced Entry'!E$5="Exponential",EXP('Advanced Entry'!E87),'Advanced Entry'!E87)))-'Advanced Entry'!E$6)/('Advanced Entry'!E$7-'Advanced Entry'!E$6),10*((IF('Advanced Entry'!E$5="Logarithm",LN(0.001+'Advanced Entry'!E87),IF('Advanced Entry'!E$5="Exponential",EXP('Advanced Entry'!E87),'Advanced Entry'!E87)))-'Advanced Entry'!E$6)/('Advanced Entry'!E$7-'Advanced Entry'!E$6)),1))),"No data"))</f>
        <v/>
      </c>
      <c r="F87" s="17">
        <f>IF('Advanced Entry'!F87="","",IFERROR(MAX(0,MIN(10,ROUND(IF('Advanced Entry'!F$8="Decrease Risk",10-10*((IF('Advanced Entry'!F$5="Logarithm",LN(0.001+'Advanced Entry'!F87),IF('Advanced Entry'!F$5="Exponential",EXP('Advanced Entry'!F87),'Advanced Entry'!F87)))-'Advanced Entry'!F$6)/('Advanced Entry'!F$7-'Advanced Entry'!F$6),10*((IF('Advanced Entry'!F$5="Logarithm",LN(0.001+'Advanced Entry'!F87),IF('Advanced Entry'!F$5="Exponential",EXP('Advanced Entry'!F87),'Advanced Entry'!F87)))-'Advanced Entry'!F$6)/('Advanced Entry'!F$7-'Advanced Entry'!F$6)),1))),"No data"))</f>
        <v/>
      </c>
      <c r="G87" s="17">
        <f>IF('Advanced Entry'!G87="","",IFERROR(MAX(0,MIN(10,ROUND(IF('Advanced Entry'!G$8="Decrease Risk",10-10*((IF('Advanced Entry'!G$5="Logarithm",LN(0.001+'Advanced Entry'!G87),IF('Advanced Entry'!G$5="Exponential",EXP('Advanced Entry'!G87),'Advanced Entry'!G87)))-'Advanced Entry'!G$6)/('Advanced Entry'!G$7-'Advanced Entry'!G$6),10*((IF('Advanced Entry'!G$5="Logarithm",LN(0.001+'Advanced Entry'!G87),IF('Advanced Entry'!G$5="Exponential",EXP('Advanced Entry'!G87),'Advanced Entry'!G87)))-'Advanced Entry'!G$6)/('Advanced Entry'!G$7-'Advanced Entry'!G$6)),1))),"No data"))</f>
        <v/>
      </c>
      <c r="H87" s="17">
        <f>IF('Advanced Entry'!H87="","",IFERROR(MAX(0,MIN(10,ROUND(IF('Advanced Entry'!H$8="Decrease Risk",10-10*((IF('Advanced Entry'!H$5="Logarithm",LN(0.001+'Advanced Entry'!H87),IF('Advanced Entry'!H$5="Exponential",EXP('Advanced Entry'!H87),'Advanced Entry'!H87)))-'Advanced Entry'!H$6)/('Advanced Entry'!H$7-'Advanced Entry'!H$6),10*((IF('Advanced Entry'!H$5="Logarithm",LN(0.001+'Advanced Entry'!H87),IF('Advanced Entry'!H$5="Exponential",EXP('Advanced Entry'!H87),'Advanced Entry'!H87)))-'Advanced Entry'!H$6)/('Advanced Entry'!H$7-'Advanced Entry'!H$6)),1))),"No data"))</f>
        <v/>
      </c>
      <c r="I87" s="17">
        <f>IF('Advanced Entry'!I87="","",IFERROR(MAX(0,MIN(10,ROUND(IF('Advanced Entry'!I$8="Decrease Risk",10-10*((IF('Advanced Entry'!I$5="Logarithm",LN(0.001+'Advanced Entry'!I87),IF('Advanced Entry'!I$5="Exponential",EXP('Advanced Entry'!I87),'Advanced Entry'!I87)))-'Advanced Entry'!I$6)/('Advanced Entry'!I$7-'Advanced Entry'!I$6),10*((IF('Advanced Entry'!I$5="Logarithm",LN(0.001+'Advanced Entry'!I87),IF('Advanced Entry'!I$5="Exponential",EXP('Advanced Entry'!I87),'Advanced Entry'!I87)))-'Advanced Entry'!I$6)/('Advanced Entry'!I$7-'Advanced Entry'!I$6)),1))),"No data"))</f>
        <v/>
      </c>
      <c r="J87" s="17">
        <f>IF('Advanced Entry'!J87="","",IFERROR(MAX(0,MIN(10,ROUND(IF('Advanced Entry'!J$8="Decrease Risk",10-10*((IF('Advanced Entry'!J$5="Logarithm",LN(0.001+'Advanced Entry'!J87),IF('Advanced Entry'!J$5="Exponential",EXP('Advanced Entry'!J87),'Advanced Entry'!J87)))-'Advanced Entry'!J$6)/('Advanced Entry'!J$7-'Advanced Entry'!J$6),10*((IF('Advanced Entry'!J$5="Logarithm",LN(0.001+'Advanced Entry'!J87),IF('Advanced Entry'!J$5="Exponential",EXP('Advanced Entry'!J87),'Advanced Entry'!J87)))-'Advanced Entry'!J$6)/('Advanced Entry'!J$7-'Advanced Entry'!J$6)),1))),"No data"))</f>
        <v/>
      </c>
      <c r="K87" s="17">
        <f>IF('Advanced Entry'!K87="","",IFERROR(MAX(0,MIN(10,ROUND(IF('Advanced Entry'!K$8="Decrease Risk",10-10*((IF('Advanced Entry'!K$5="Logarithm",LN(0.001+'Advanced Entry'!K87),IF('Advanced Entry'!K$5="Exponential",EXP('Advanced Entry'!K87),'Advanced Entry'!K87)))-'Advanced Entry'!K$6)/('Advanced Entry'!K$7-'Advanced Entry'!K$6),10*((IF('Advanced Entry'!K$5="Logarithm",LN(0.001+'Advanced Entry'!K87),IF('Advanced Entry'!K$5="Exponential",EXP('Advanced Entry'!K87),'Advanced Entry'!K87)))-'Advanced Entry'!K$6)/('Advanced Entry'!K$7-'Advanced Entry'!K$6)),1))),"No data"))</f>
        <v/>
      </c>
      <c r="L87" s="17">
        <f>IF('Advanced Entry'!L87="","",IFERROR(MAX(0,MIN(10,ROUND(IF('Advanced Entry'!L$8="Decrease Risk",10-10*((IF('Advanced Entry'!L$5="Logarithm",LN(0.001+'Advanced Entry'!L87),IF('Advanced Entry'!L$5="Exponential",EXP('Advanced Entry'!L87),'Advanced Entry'!L87)))-'Advanced Entry'!L$6)/('Advanced Entry'!L$7-'Advanced Entry'!L$6),10*((IF('Advanced Entry'!L$5="Logarithm",LN(0.001+'Advanced Entry'!L87),IF('Advanced Entry'!L$5="Exponential",EXP('Advanced Entry'!L87),'Advanced Entry'!L87)))-'Advanced Entry'!L$6)/('Advanced Entry'!L$7-'Advanced Entry'!L$6)),1))),"No data"))</f>
        <v/>
      </c>
      <c r="M87" s="17">
        <f>IF('Advanced Entry'!M87="","",IFERROR(MAX(0,MIN(10,ROUND(IF('Advanced Entry'!M$8="Decrease Risk",10-10*((IF('Advanced Entry'!M$5="Logarithm",LN(0.001+'Advanced Entry'!M87),IF('Advanced Entry'!M$5="Exponential",EXP('Advanced Entry'!M87),'Advanced Entry'!M87)))-'Advanced Entry'!M$6)/('Advanced Entry'!M$7-'Advanced Entry'!M$6),10*((IF('Advanced Entry'!M$5="Logarithm",LN(0.001+'Advanced Entry'!M87),IF('Advanced Entry'!M$5="Exponential",EXP('Advanced Entry'!M87),'Advanced Entry'!M87)))-'Advanced Entry'!M$6)/('Advanced Entry'!M$7-'Advanced Entry'!M$6)),1))),"No data"))</f>
        <v/>
      </c>
      <c r="N87" s="17">
        <f>IF('Advanced Entry'!N87="","",IFERROR(MAX(0,MIN(10,ROUND(IF('Advanced Entry'!N$8="Decrease Risk",10-10*((IF('Advanced Entry'!N$5="Logarithm",LN(0.001+'Advanced Entry'!N87),IF('Advanced Entry'!N$5="Exponential",EXP('Advanced Entry'!N87),'Advanced Entry'!N87)))-'Advanced Entry'!N$6)/('Advanced Entry'!N$7-'Advanced Entry'!N$6),10*((IF('Advanced Entry'!N$5="Logarithm",LN(0.001+'Advanced Entry'!N87),IF('Advanced Entry'!N$5="Exponential",EXP('Advanced Entry'!N87),'Advanced Entry'!N87)))-'Advanced Entry'!N$6)/('Advanced Entry'!N$7-'Advanced Entry'!N$6)),1))),"No data"))</f>
        <v/>
      </c>
      <c r="O87" s="17">
        <f>IF('Advanced Entry'!O87="","",IFERROR(MAX(0,MIN(10,ROUND(IF('Advanced Entry'!O$8="Decrease Risk",10-10*((IF('Advanced Entry'!O$5="Logarithm",LN(0.001+'Advanced Entry'!O87),IF('Advanced Entry'!O$5="Exponential",EXP('Advanced Entry'!O87),'Advanced Entry'!O87)))-'Advanced Entry'!O$6)/('Advanced Entry'!O$7-'Advanced Entry'!O$6),10*((IF('Advanced Entry'!O$5="Logarithm",LN(0.001+'Advanced Entry'!O87),IF('Advanced Entry'!O$5="Exponential",EXP('Advanced Entry'!O87),'Advanced Entry'!O87)))-'Advanced Entry'!O$6)/('Advanced Entry'!O$7-'Advanced Entry'!O$6)),1))),"No data"))</f>
        <v/>
      </c>
      <c r="P87" s="17">
        <f>IF('Advanced Entry'!P87="","",IFERROR(MAX(0,MIN(10,ROUND(IF('Advanced Entry'!P$8="Decrease Risk",10-10*((IF('Advanced Entry'!P$5="Logarithm",LN(0.001+'Advanced Entry'!P87),IF('Advanced Entry'!P$5="Exponential",EXP('Advanced Entry'!P87),'Advanced Entry'!P87)))-'Advanced Entry'!P$6)/('Advanced Entry'!P$7-'Advanced Entry'!P$6),10*((IF('Advanced Entry'!P$5="Logarithm",LN(0.001+'Advanced Entry'!P87),IF('Advanced Entry'!P$5="Exponential",EXP('Advanced Entry'!P87),'Advanced Entry'!P87)))-'Advanced Entry'!P$6)/('Advanced Entry'!P$7-'Advanced Entry'!P$6)),1))),"No data"))</f>
        <v/>
      </c>
      <c r="Q87" s="17">
        <f>IF('Advanced Entry'!Q87="","",IFERROR(MAX(0,MIN(10,ROUND(IF('Advanced Entry'!Q$8="Decrease Risk",10-10*((IF('Advanced Entry'!Q$5="Logarithm",LN(0.001+'Advanced Entry'!Q87),IF('Advanced Entry'!Q$5="Exponential",EXP('Advanced Entry'!Q87),'Advanced Entry'!Q87)))-'Advanced Entry'!Q$6)/('Advanced Entry'!Q$7-'Advanced Entry'!Q$6),10*((IF('Advanced Entry'!Q$5="Logarithm",LN(0.001+'Advanced Entry'!Q87),IF('Advanced Entry'!Q$5="Exponential",EXP('Advanced Entry'!Q87),'Advanced Entry'!Q87)))-'Advanced Entry'!Q$6)/('Advanced Entry'!Q$7-'Advanced Entry'!Q$6)),1))),"No data"))</f>
        <v/>
      </c>
      <c r="R87" s="17">
        <f>IF('Advanced Entry'!R87="","",IFERROR(MAX(0,MIN(10,ROUND(IF('Advanced Entry'!R$8="Decrease Risk",10-10*((IF('Advanced Entry'!R$5="Logarithm",LN(0.001+'Advanced Entry'!R87),IF('Advanced Entry'!R$5="Exponential",EXP('Advanced Entry'!R87),'Advanced Entry'!R87)))-'Advanced Entry'!R$6)/('Advanced Entry'!R$7-'Advanced Entry'!R$6),10*((IF('Advanced Entry'!R$5="Logarithm",LN(0.001+'Advanced Entry'!R87),IF('Advanced Entry'!R$5="Exponential",EXP('Advanced Entry'!R87),'Advanced Entry'!R87)))-'Advanced Entry'!R$6)/('Advanced Entry'!R$7-'Advanced Entry'!R$6)),1))),"No data"))</f>
        <v/>
      </c>
      <c r="S87" s="17">
        <f>IF('Advanced Entry'!S87="","",IFERROR(MAX(0,MIN(10,ROUND(IF('Advanced Entry'!S$8="Decrease Risk",10-10*((IF('Advanced Entry'!S$5="Logarithm",LN(0.001+'Advanced Entry'!S87),IF('Advanced Entry'!S$5="Exponential",EXP('Advanced Entry'!S87),'Advanced Entry'!S87)))-'Advanced Entry'!S$6)/('Advanced Entry'!S$7-'Advanced Entry'!S$6),10*((IF('Advanced Entry'!S$5="Logarithm",LN(0.001+'Advanced Entry'!S87),IF('Advanced Entry'!S$5="Exponential",EXP('Advanced Entry'!S87),'Advanced Entry'!S87)))-'Advanced Entry'!S$6)/('Advanced Entry'!S$7-'Advanced Entry'!S$6)),1))),"No data"))</f>
        <v/>
      </c>
      <c r="T87" s="17">
        <f>IF('Advanced Entry'!T87="","",IFERROR(MAX(0,MIN(10,ROUND(IF('Advanced Entry'!T$8="Decrease Risk",10-10*((IF('Advanced Entry'!T$5="Logarithm",LN(0.001+'Advanced Entry'!T87),IF('Advanced Entry'!T$5="Exponential",EXP('Advanced Entry'!T87),'Advanced Entry'!T87)))-'Advanced Entry'!T$6)/('Advanced Entry'!T$7-'Advanced Entry'!T$6),10*((IF('Advanced Entry'!T$5="Logarithm",LN(0.001+'Advanced Entry'!T87),IF('Advanced Entry'!T$5="Exponential",EXP('Advanced Entry'!T87),'Advanced Entry'!T87)))-'Advanced Entry'!T$6)/('Advanced Entry'!T$7-'Advanced Entry'!T$6)),1))),"No data"))</f>
        <v/>
      </c>
      <c r="U87" s="17">
        <f>IF('Advanced Entry'!U87="","",IFERROR(MAX(0,MIN(10,ROUND(IF('Advanced Entry'!U$8="Decrease Risk",10-10*((IF('Advanced Entry'!U$5="Logarithm",LN(0.001+'Advanced Entry'!U87),IF('Advanced Entry'!U$5="Exponential",EXP('Advanced Entry'!U87),'Advanced Entry'!U87)))-'Advanced Entry'!U$6)/('Advanced Entry'!U$7-'Advanced Entry'!U$6),10*((IF('Advanced Entry'!U$5="Logarithm",LN(0.001+'Advanced Entry'!U87),IF('Advanced Entry'!U$5="Exponential",EXP('Advanced Entry'!U87),'Advanced Entry'!U87)))-'Advanced Entry'!U$6)/('Advanced Entry'!U$7-'Advanced Entry'!U$6)),1))),"No data"))</f>
        <v/>
      </c>
      <c r="V87" s="17">
        <f>IF('Advanced Entry'!V87="","",IFERROR(MAX(0,MIN(10,ROUND(IF('Advanced Entry'!V$8="Decrease Risk",10-10*((IF('Advanced Entry'!V$5="Logarithm",LN(0.001+'Advanced Entry'!V87),IF('Advanced Entry'!V$5="Exponential",EXP('Advanced Entry'!V87),'Advanced Entry'!V87)))-'Advanced Entry'!V$6)/('Advanced Entry'!V$7-'Advanced Entry'!V$6),10*((IF('Advanced Entry'!V$5="Logarithm",LN(0.001+'Advanced Entry'!V87),IF('Advanced Entry'!V$5="Exponential",EXP('Advanced Entry'!V87),'Advanced Entry'!V87)))-'Advanced Entry'!V$6)/('Advanced Entry'!V$7-'Advanced Entry'!V$6)),1))),"No data"))</f>
        <v/>
      </c>
      <c r="W87" s="17">
        <f>IF('Advanced Entry'!W87="","",IFERROR(MAX(0,MIN(10,ROUND(IF('Advanced Entry'!W$8="Decrease Risk",10-10*((IF('Advanced Entry'!W$5="Logarithm",LN(0.001+'Advanced Entry'!W87),IF('Advanced Entry'!W$5="Exponential",EXP('Advanced Entry'!W87),'Advanced Entry'!W87)))-'Advanced Entry'!W$6)/('Advanced Entry'!W$7-'Advanced Entry'!W$6),10*((IF('Advanced Entry'!W$5="Logarithm",LN(0.001+'Advanced Entry'!W87),IF('Advanced Entry'!W$5="Exponential",EXP('Advanced Entry'!W87),'Advanced Entry'!W87)))-'Advanced Entry'!W$6)/('Advanced Entry'!W$7-'Advanced Entry'!W$6)),1))),"No data"))</f>
        <v/>
      </c>
      <c r="X87" s="17">
        <f>IF('Advanced Entry'!X87="","",IFERROR(MAX(0,MIN(10,ROUND(IF('Advanced Entry'!X$8="Decrease Risk",10-10*((IF('Advanced Entry'!X$5="Logarithm",LN(0.001+'Advanced Entry'!X87),IF('Advanced Entry'!X$5="Exponential",EXP('Advanced Entry'!X87),'Advanced Entry'!X87)))-'Advanced Entry'!X$6)/('Advanced Entry'!X$7-'Advanced Entry'!X$6),10*((IF('Advanced Entry'!X$5="Logarithm",LN(0.001+'Advanced Entry'!X87),IF('Advanced Entry'!X$5="Exponential",EXP('Advanced Entry'!X87),'Advanced Entry'!X87)))-'Advanced Entry'!X$6)/('Advanced Entry'!X$7-'Advanced Entry'!X$6)),1))),"No data"))</f>
        <v/>
      </c>
      <c r="Y87" s="17">
        <f>IF('Advanced Entry'!Y87="","",IFERROR(MAX(0,MIN(10,ROUND(IF('Advanced Entry'!Y$8="Decrease Risk",10-10*((IF('Advanced Entry'!Y$5="Logarithm",LN(0.001+'Advanced Entry'!Y87),IF('Advanced Entry'!Y$5="Exponential",EXP('Advanced Entry'!Y87),'Advanced Entry'!Y87)))-'Advanced Entry'!Y$6)/('Advanced Entry'!Y$7-'Advanced Entry'!Y$6),10*((IF('Advanced Entry'!Y$5="Logarithm",LN(0.001+'Advanced Entry'!Y87),IF('Advanced Entry'!Y$5="Exponential",EXP('Advanced Entry'!Y87),'Advanced Entry'!Y87)))-'Advanced Entry'!Y$6)/('Advanced Entry'!Y$7-'Advanced Entry'!Y$6)),1))),"No data"))</f>
        <v/>
      </c>
      <c r="Z87" s="17">
        <f>IF('Advanced Entry'!Z87="","",IFERROR(MAX(0,MIN(10,ROUND(IF('Advanced Entry'!Z$8="Decrease Risk",10-10*((IF('Advanced Entry'!Z$5="Logarithm",LN(0.001+'Advanced Entry'!Z87),IF('Advanced Entry'!Z$5="Exponential",EXP('Advanced Entry'!Z87),'Advanced Entry'!Z87)))-'Advanced Entry'!Z$6)/('Advanced Entry'!Z$7-'Advanced Entry'!Z$6),10*((IF('Advanced Entry'!Z$5="Logarithm",LN(0.001+'Advanced Entry'!Z87),IF('Advanced Entry'!Z$5="Exponential",EXP('Advanced Entry'!Z87),'Advanced Entry'!Z87)))-'Advanced Entry'!Z$6)/('Advanced Entry'!Z$7-'Advanced Entry'!Z$6)),1))),"No data"))</f>
        <v/>
      </c>
      <c r="AA87" s="17">
        <f>IF('Advanced Entry'!AA87="","",IFERROR(MAX(0,MIN(10,ROUND(IF('Advanced Entry'!AA$8="Decrease Risk",10-10*((IF('Advanced Entry'!AA$5="Logarithm",LN(0.001+'Advanced Entry'!AA87),IF('Advanced Entry'!AA$5="Exponential",EXP('Advanced Entry'!AA87),'Advanced Entry'!AA87)))-'Advanced Entry'!AA$6)/('Advanced Entry'!AA$7-'Advanced Entry'!AA$6),10*((IF('Advanced Entry'!AA$5="Logarithm",LN(0.001+'Advanced Entry'!AA87),IF('Advanced Entry'!AA$5="Exponential",EXP('Advanced Entry'!AA87),'Advanced Entry'!AA87)))-'Advanced Entry'!AA$6)/('Advanced Entry'!AA$7-'Advanced Entry'!AA$6)),1))),"No data"))</f>
        <v/>
      </c>
      <c r="AB87" s="17">
        <f>IF('Advanced Entry'!AB87="","",IFERROR(MAX(0,MIN(10,ROUND(IF('Advanced Entry'!AB$8="Decrease Risk",10-10*((IF('Advanced Entry'!AB$5="Logarithm",LN(0.001+'Advanced Entry'!AB87),IF('Advanced Entry'!AB$5="Exponential",EXP('Advanced Entry'!AB87),'Advanced Entry'!AB87)))-'Advanced Entry'!AB$6)/('Advanced Entry'!AB$7-'Advanced Entry'!AB$6),10*((IF('Advanced Entry'!AB$5="Logarithm",LN(0.001+'Advanced Entry'!AB87),IF('Advanced Entry'!AB$5="Exponential",EXP('Advanced Entry'!AB87),'Advanced Entry'!AB87)))-'Advanced Entry'!AB$6)/('Advanced Entry'!AB$7-'Advanced Entry'!AB$6)),1))),"No data"))</f>
        <v/>
      </c>
    </row>
    <row r="88">
      <c r="A88" t="inlineStr">
        <is>
          <t>Manyara</t>
        </is>
      </c>
      <c r="B88" t="inlineStr">
        <is>
          <t>Mbulu District</t>
        </is>
      </c>
      <c r="C88" t="inlineStr">
        <is>
          <t>C153</t>
        </is>
      </c>
      <c r="D88" s="17">
        <f>IF('Advanced Entry'!D88="","",IFERROR(MAX(0,MIN(10,ROUND(IF('Advanced Entry'!D$8="Decrease Risk",10-10*((IF('Advanced Entry'!D$5="Logarithm",LN(0.001+'Advanced Entry'!D88),IF('Advanced Entry'!D$5="Exponential",EXP('Advanced Entry'!D88),'Advanced Entry'!D88)))-'Advanced Entry'!D$6)/('Advanced Entry'!D$7-'Advanced Entry'!D$6),10*((IF('Advanced Entry'!D$5="Logarithm",LN(0.001+'Advanced Entry'!D88),IF('Advanced Entry'!D$5="Exponential",EXP('Advanced Entry'!D88),'Advanced Entry'!D88)))-'Advanced Entry'!D$6)/('Advanced Entry'!D$7-'Advanced Entry'!D$6)),1))),"No data"))</f>
        <v/>
      </c>
      <c r="E88" s="17">
        <f>IF('Advanced Entry'!E88="","",IFERROR(MAX(0,MIN(10,ROUND(IF('Advanced Entry'!E$8="Decrease Risk",10-10*((IF('Advanced Entry'!E$5="Logarithm",LN(0.001+'Advanced Entry'!E88),IF('Advanced Entry'!E$5="Exponential",EXP('Advanced Entry'!E88),'Advanced Entry'!E88)))-'Advanced Entry'!E$6)/('Advanced Entry'!E$7-'Advanced Entry'!E$6),10*((IF('Advanced Entry'!E$5="Logarithm",LN(0.001+'Advanced Entry'!E88),IF('Advanced Entry'!E$5="Exponential",EXP('Advanced Entry'!E88),'Advanced Entry'!E88)))-'Advanced Entry'!E$6)/('Advanced Entry'!E$7-'Advanced Entry'!E$6)),1))),"No data"))</f>
        <v/>
      </c>
      <c r="F88" s="17">
        <f>IF('Advanced Entry'!F88="","",IFERROR(MAX(0,MIN(10,ROUND(IF('Advanced Entry'!F$8="Decrease Risk",10-10*((IF('Advanced Entry'!F$5="Logarithm",LN(0.001+'Advanced Entry'!F88),IF('Advanced Entry'!F$5="Exponential",EXP('Advanced Entry'!F88),'Advanced Entry'!F88)))-'Advanced Entry'!F$6)/('Advanced Entry'!F$7-'Advanced Entry'!F$6),10*((IF('Advanced Entry'!F$5="Logarithm",LN(0.001+'Advanced Entry'!F88),IF('Advanced Entry'!F$5="Exponential",EXP('Advanced Entry'!F88),'Advanced Entry'!F88)))-'Advanced Entry'!F$6)/('Advanced Entry'!F$7-'Advanced Entry'!F$6)),1))),"No data"))</f>
        <v/>
      </c>
      <c r="G88" s="17">
        <f>IF('Advanced Entry'!G88="","",IFERROR(MAX(0,MIN(10,ROUND(IF('Advanced Entry'!G$8="Decrease Risk",10-10*((IF('Advanced Entry'!G$5="Logarithm",LN(0.001+'Advanced Entry'!G88),IF('Advanced Entry'!G$5="Exponential",EXP('Advanced Entry'!G88),'Advanced Entry'!G88)))-'Advanced Entry'!G$6)/('Advanced Entry'!G$7-'Advanced Entry'!G$6),10*((IF('Advanced Entry'!G$5="Logarithm",LN(0.001+'Advanced Entry'!G88),IF('Advanced Entry'!G$5="Exponential",EXP('Advanced Entry'!G88),'Advanced Entry'!G88)))-'Advanced Entry'!G$6)/('Advanced Entry'!G$7-'Advanced Entry'!G$6)),1))),"No data"))</f>
        <v/>
      </c>
      <c r="H88" s="17">
        <f>IF('Advanced Entry'!H88="","",IFERROR(MAX(0,MIN(10,ROUND(IF('Advanced Entry'!H$8="Decrease Risk",10-10*((IF('Advanced Entry'!H$5="Logarithm",LN(0.001+'Advanced Entry'!H88),IF('Advanced Entry'!H$5="Exponential",EXP('Advanced Entry'!H88),'Advanced Entry'!H88)))-'Advanced Entry'!H$6)/('Advanced Entry'!H$7-'Advanced Entry'!H$6),10*((IF('Advanced Entry'!H$5="Logarithm",LN(0.001+'Advanced Entry'!H88),IF('Advanced Entry'!H$5="Exponential",EXP('Advanced Entry'!H88),'Advanced Entry'!H88)))-'Advanced Entry'!H$6)/('Advanced Entry'!H$7-'Advanced Entry'!H$6)),1))),"No data"))</f>
        <v/>
      </c>
      <c r="I88" s="17">
        <f>IF('Advanced Entry'!I88="","",IFERROR(MAX(0,MIN(10,ROUND(IF('Advanced Entry'!I$8="Decrease Risk",10-10*((IF('Advanced Entry'!I$5="Logarithm",LN(0.001+'Advanced Entry'!I88),IF('Advanced Entry'!I$5="Exponential",EXP('Advanced Entry'!I88),'Advanced Entry'!I88)))-'Advanced Entry'!I$6)/('Advanced Entry'!I$7-'Advanced Entry'!I$6),10*((IF('Advanced Entry'!I$5="Logarithm",LN(0.001+'Advanced Entry'!I88),IF('Advanced Entry'!I$5="Exponential",EXP('Advanced Entry'!I88),'Advanced Entry'!I88)))-'Advanced Entry'!I$6)/('Advanced Entry'!I$7-'Advanced Entry'!I$6)),1))),"No data"))</f>
        <v/>
      </c>
      <c r="J88" s="17">
        <f>IF('Advanced Entry'!J88="","",IFERROR(MAX(0,MIN(10,ROUND(IF('Advanced Entry'!J$8="Decrease Risk",10-10*((IF('Advanced Entry'!J$5="Logarithm",LN(0.001+'Advanced Entry'!J88),IF('Advanced Entry'!J$5="Exponential",EXP('Advanced Entry'!J88),'Advanced Entry'!J88)))-'Advanced Entry'!J$6)/('Advanced Entry'!J$7-'Advanced Entry'!J$6),10*((IF('Advanced Entry'!J$5="Logarithm",LN(0.001+'Advanced Entry'!J88),IF('Advanced Entry'!J$5="Exponential",EXP('Advanced Entry'!J88),'Advanced Entry'!J88)))-'Advanced Entry'!J$6)/('Advanced Entry'!J$7-'Advanced Entry'!J$6)),1))),"No data"))</f>
        <v/>
      </c>
      <c r="K88" s="17">
        <f>IF('Advanced Entry'!K88="","",IFERROR(MAX(0,MIN(10,ROUND(IF('Advanced Entry'!K$8="Decrease Risk",10-10*((IF('Advanced Entry'!K$5="Logarithm",LN(0.001+'Advanced Entry'!K88),IF('Advanced Entry'!K$5="Exponential",EXP('Advanced Entry'!K88),'Advanced Entry'!K88)))-'Advanced Entry'!K$6)/('Advanced Entry'!K$7-'Advanced Entry'!K$6),10*((IF('Advanced Entry'!K$5="Logarithm",LN(0.001+'Advanced Entry'!K88),IF('Advanced Entry'!K$5="Exponential",EXP('Advanced Entry'!K88),'Advanced Entry'!K88)))-'Advanced Entry'!K$6)/('Advanced Entry'!K$7-'Advanced Entry'!K$6)),1))),"No data"))</f>
        <v/>
      </c>
      <c r="L88" s="17">
        <f>IF('Advanced Entry'!L88="","",IFERROR(MAX(0,MIN(10,ROUND(IF('Advanced Entry'!L$8="Decrease Risk",10-10*((IF('Advanced Entry'!L$5="Logarithm",LN(0.001+'Advanced Entry'!L88),IF('Advanced Entry'!L$5="Exponential",EXP('Advanced Entry'!L88),'Advanced Entry'!L88)))-'Advanced Entry'!L$6)/('Advanced Entry'!L$7-'Advanced Entry'!L$6),10*((IF('Advanced Entry'!L$5="Logarithm",LN(0.001+'Advanced Entry'!L88),IF('Advanced Entry'!L$5="Exponential",EXP('Advanced Entry'!L88),'Advanced Entry'!L88)))-'Advanced Entry'!L$6)/('Advanced Entry'!L$7-'Advanced Entry'!L$6)),1))),"No data"))</f>
        <v/>
      </c>
      <c r="M88" s="17">
        <f>IF('Advanced Entry'!M88="","",IFERROR(MAX(0,MIN(10,ROUND(IF('Advanced Entry'!M$8="Decrease Risk",10-10*((IF('Advanced Entry'!M$5="Logarithm",LN(0.001+'Advanced Entry'!M88),IF('Advanced Entry'!M$5="Exponential",EXP('Advanced Entry'!M88),'Advanced Entry'!M88)))-'Advanced Entry'!M$6)/('Advanced Entry'!M$7-'Advanced Entry'!M$6),10*((IF('Advanced Entry'!M$5="Logarithm",LN(0.001+'Advanced Entry'!M88),IF('Advanced Entry'!M$5="Exponential",EXP('Advanced Entry'!M88),'Advanced Entry'!M88)))-'Advanced Entry'!M$6)/('Advanced Entry'!M$7-'Advanced Entry'!M$6)),1))),"No data"))</f>
        <v/>
      </c>
      <c r="N88" s="17">
        <f>IF('Advanced Entry'!N88="","",IFERROR(MAX(0,MIN(10,ROUND(IF('Advanced Entry'!N$8="Decrease Risk",10-10*((IF('Advanced Entry'!N$5="Logarithm",LN(0.001+'Advanced Entry'!N88),IF('Advanced Entry'!N$5="Exponential",EXP('Advanced Entry'!N88),'Advanced Entry'!N88)))-'Advanced Entry'!N$6)/('Advanced Entry'!N$7-'Advanced Entry'!N$6),10*((IF('Advanced Entry'!N$5="Logarithm",LN(0.001+'Advanced Entry'!N88),IF('Advanced Entry'!N$5="Exponential",EXP('Advanced Entry'!N88),'Advanced Entry'!N88)))-'Advanced Entry'!N$6)/('Advanced Entry'!N$7-'Advanced Entry'!N$6)),1))),"No data"))</f>
        <v/>
      </c>
      <c r="O88" s="17">
        <f>IF('Advanced Entry'!O88="","",IFERROR(MAX(0,MIN(10,ROUND(IF('Advanced Entry'!O$8="Decrease Risk",10-10*((IF('Advanced Entry'!O$5="Logarithm",LN(0.001+'Advanced Entry'!O88),IF('Advanced Entry'!O$5="Exponential",EXP('Advanced Entry'!O88),'Advanced Entry'!O88)))-'Advanced Entry'!O$6)/('Advanced Entry'!O$7-'Advanced Entry'!O$6),10*((IF('Advanced Entry'!O$5="Logarithm",LN(0.001+'Advanced Entry'!O88),IF('Advanced Entry'!O$5="Exponential",EXP('Advanced Entry'!O88),'Advanced Entry'!O88)))-'Advanced Entry'!O$6)/('Advanced Entry'!O$7-'Advanced Entry'!O$6)),1))),"No data"))</f>
        <v/>
      </c>
      <c r="P88" s="17">
        <f>IF('Advanced Entry'!P88="","",IFERROR(MAX(0,MIN(10,ROUND(IF('Advanced Entry'!P$8="Decrease Risk",10-10*((IF('Advanced Entry'!P$5="Logarithm",LN(0.001+'Advanced Entry'!P88),IF('Advanced Entry'!P$5="Exponential",EXP('Advanced Entry'!P88),'Advanced Entry'!P88)))-'Advanced Entry'!P$6)/('Advanced Entry'!P$7-'Advanced Entry'!P$6),10*((IF('Advanced Entry'!P$5="Logarithm",LN(0.001+'Advanced Entry'!P88),IF('Advanced Entry'!P$5="Exponential",EXP('Advanced Entry'!P88),'Advanced Entry'!P88)))-'Advanced Entry'!P$6)/('Advanced Entry'!P$7-'Advanced Entry'!P$6)),1))),"No data"))</f>
        <v/>
      </c>
      <c r="Q88" s="17">
        <f>IF('Advanced Entry'!Q88="","",IFERROR(MAX(0,MIN(10,ROUND(IF('Advanced Entry'!Q$8="Decrease Risk",10-10*((IF('Advanced Entry'!Q$5="Logarithm",LN(0.001+'Advanced Entry'!Q88),IF('Advanced Entry'!Q$5="Exponential",EXP('Advanced Entry'!Q88),'Advanced Entry'!Q88)))-'Advanced Entry'!Q$6)/('Advanced Entry'!Q$7-'Advanced Entry'!Q$6),10*((IF('Advanced Entry'!Q$5="Logarithm",LN(0.001+'Advanced Entry'!Q88),IF('Advanced Entry'!Q$5="Exponential",EXP('Advanced Entry'!Q88),'Advanced Entry'!Q88)))-'Advanced Entry'!Q$6)/('Advanced Entry'!Q$7-'Advanced Entry'!Q$6)),1))),"No data"))</f>
        <v/>
      </c>
      <c r="R88" s="17">
        <f>IF('Advanced Entry'!R88="","",IFERROR(MAX(0,MIN(10,ROUND(IF('Advanced Entry'!R$8="Decrease Risk",10-10*((IF('Advanced Entry'!R$5="Logarithm",LN(0.001+'Advanced Entry'!R88),IF('Advanced Entry'!R$5="Exponential",EXP('Advanced Entry'!R88),'Advanced Entry'!R88)))-'Advanced Entry'!R$6)/('Advanced Entry'!R$7-'Advanced Entry'!R$6),10*((IF('Advanced Entry'!R$5="Logarithm",LN(0.001+'Advanced Entry'!R88),IF('Advanced Entry'!R$5="Exponential",EXP('Advanced Entry'!R88),'Advanced Entry'!R88)))-'Advanced Entry'!R$6)/('Advanced Entry'!R$7-'Advanced Entry'!R$6)),1))),"No data"))</f>
        <v/>
      </c>
      <c r="S88" s="17">
        <f>IF('Advanced Entry'!S88="","",IFERROR(MAX(0,MIN(10,ROUND(IF('Advanced Entry'!S$8="Decrease Risk",10-10*((IF('Advanced Entry'!S$5="Logarithm",LN(0.001+'Advanced Entry'!S88),IF('Advanced Entry'!S$5="Exponential",EXP('Advanced Entry'!S88),'Advanced Entry'!S88)))-'Advanced Entry'!S$6)/('Advanced Entry'!S$7-'Advanced Entry'!S$6),10*((IF('Advanced Entry'!S$5="Logarithm",LN(0.001+'Advanced Entry'!S88),IF('Advanced Entry'!S$5="Exponential",EXP('Advanced Entry'!S88),'Advanced Entry'!S88)))-'Advanced Entry'!S$6)/('Advanced Entry'!S$7-'Advanced Entry'!S$6)),1))),"No data"))</f>
        <v/>
      </c>
      <c r="T88" s="17">
        <f>IF('Advanced Entry'!T88="","",IFERROR(MAX(0,MIN(10,ROUND(IF('Advanced Entry'!T$8="Decrease Risk",10-10*((IF('Advanced Entry'!T$5="Logarithm",LN(0.001+'Advanced Entry'!T88),IF('Advanced Entry'!T$5="Exponential",EXP('Advanced Entry'!T88),'Advanced Entry'!T88)))-'Advanced Entry'!T$6)/('Advanced Entry'!T$7-'Advanced Entry'!T$6),10*((IF('Advanced Entry'!T$5="Logarithm",LN(0.001+'Advanced Entry'!T88),IF('Advanced Entry'!T$5="Exponential",EXP('Advanced Entry'!T88),'Advanced Entry'!T88)))-'Advanced Entry'!T$6)/('Advanced Entry'!T$7-'Advanced Entry'!T$6)),1))),"No data"))</f>
        <v/>
      </c>
      <c r="U88" s="17">
        <f>IF('Advanced Entry'!U88="","",IFERROR(MAX(0,MIN(10,ROUND(IF('Advanced Entry'!U$8="Decrease Risk",10-10*((IF('Advanced Entry'!U$5="Logarithm",LN(0.001+'Advanced Entry'!U88),IF('Advanced Entry'!U$5="Exponential",EXP('Advanced Entry'!U88),'Advanced Entry'!U88)))-'Advanced Entry'!U$6)/('Advanced Entry'!U$7-'Advanced Entry'!U$6),10*((IF('Advanced Entry'!U$5="Logarithm",LN(0.001+'Advanced Entry'!U88),IF('Advanced Entry'!U$5="Exponential",EXP('Advanced Entry'!U88),'Advanced Entry'!U88)))-'Advanced Entry'!U$6)/('Advanced Entry'!U$7-'Advanced Entry'!U$6)),1))),"No data"))</f>
        <v/>
      </c>
      <c r="V88" s="17">
        <f>IF('Advanced Entry'!V88="","",IFERROR(MAX(0,MIN(10,ROUND(IF('Advanced Entry'!V$8="Decrease Risk",10-10*((IF('Advanced Entry'!V$5="Logarithm",LN(0.001+'Advanced Entry'!V88),IF('Advanced Entry'!V$5="Exponential",EXP('Advanced Entry'!V88),'Advanced Entry'!V88)))-'Advanced Entry'!V$6)/('Advanced Entry'!V$7-'Advanced Entry'!V$6),10*((IF('Advanced Entry'!V$5="Logarithm",LN(0.001+'Advanced Entry'!V88),IF('Advanced Entry'!V$5="Exponential",EXP('Advanced Entry'!V88),'Advanced Entry'!V88)))-'Advanced Entry'!V$6)/('Advanced Entry'!V$7-'Advanced Entry'!V$6)),1))),"No data"))</f>
        <v/>
      </c>
      <c r="W88" s="17">
        <f>IF('Advanced Entry'!W88="","",IFERROR(MAX(0,MIN(10,ROUND(IF('Advanced Entry'!W$8="Decrease Risk",10-10*((IF('Advanced Entry'!W$5="Logarithm",LN(0.001+'Advanced Entry'!W88),IF('Advanced Entry'!W$5="Exponential",EXP('Advanced Entry'!W88),'Advanced Entry'!W88)))-'Advanced Entry'!W$6)/('Advanced Entry'!W$7-'Advanced Entry'!W$6),10*((IF('Advanced Entry'!W$5="Logarithm",LN(0.001+'Advanced Entry'!W88),IF('Advanced Entry'!W$5="Exponential",EXP('Advanced Entry'!W88),'Advanced Entry'!W88)))-'Advanced Entry'!W$6)/('Advanced Entry'!W$7-'Advanced Entry'!W$6)),1))),"No data"))</f>
        <v/>
      </c>
      <c r="X88" s="17">
        <f>IF('Advanced Entry'!X88="","",IFERROR(MAX(0,MIN(10,ROUND(IF('Advanced Entry'!X$8="Decrease Risk",10-10*((IF('Advanced Entry'!X$5="Logarithm",LN(0.001+'Advanced Entry'!X88),IF('Advanced Entry'!X$5="Exponential",EXP('Advanced Entry'!X88),'Advanced Entry'!X88)))-'Advanced Entry'!X$6)/('Advanced Entry'!X$7-'Advanced Entry'!X$6),10*((IF('Advanced Entry'!X$5="Logarithm",LN(0.001+'Advanced Entry'!X88),IF('Advanced Entry'!X$5="Exponential",EXP('Advanced Entry'!X88),'Advanced Entry'!X88)))-'Advanced Entry'!X$6)/('Advanced Entry'!X$7-'Advanced Entry'!X$6)),1))),"No data"))</f>
        <v/>
      </c>
      <c r="Y88" s="17">
        <f>IF('Advanced Entry'!Y88="","",IFERROR(MAX(0,MIN(10,ROUND(IF('Advanced Entry'!Y$8="Decrease Risk",10-10*((IF('Advanced Entry'!Y$5="Logarithm",LN(0.001+'Advanced Entry'!Y88),IF('Advanced Entry'!Y$5="Exponential",EXP('Advanced Entry'!Y88),'Advanced Entry'!Y88)))-'Advanced Entry'!Y$6)/('Advanced Entry'!Y$7-'Advanced Entry'!Y$6),10*((IF('Advanced Entry'!Y$5="Logarithm",LN(0.001+'Advanced Entry'!Y88),IF('Advanced Entry'!Y$5="Exponential",EXP('Advanced Entry'!Y88),'Advanced Entry'!Y88)))-'Advanced Entry'!Y$6)/('Advanced Entry'!Y$7-'Advanced Entry'!Y$6)),1))),"No data"))</f>
        <v/>
      </c>
      <c r="Z88" s="17">
        <f>IF('Advanced Entry'!Z88="","",IFERROR(MAX(0,MIN(10,ROUND(IF('Advanced Entry'!Z$8="Decrease Risk",10-10*((IF('Advanced Entry'!Z$5="Logarithm",LN(0.001+'Advanced Entry'!Z88),IF('Advanced Entry'!Z$5="Exponential",EXP('Advanced Entry'!Z88),'Advanced Entry'!Z88)))-'Advanced Entry'!Z$6)/('Advanced Entry'!Z$7-'Advanced Entry'!Z$6),10*((IF('Advanced Entry'!Z$5="Logarithm",LN(0.001+'Advanced Entry'!Z88),IF('Advanced Entry'!Z$5="Exponential",EXP('Advanced Entry'!Z88),'Advanced Entry'!Z88)))-'Advanced Entry'!Z$6)/('Advanced Entry'!Z$7-'Advanced Entry'!Z$6)),1))),"No data"))</f>
        <v/>
      </c>
      <c r="AA88" s="17">
        <f>IF('Advanced Entry'!AA88="","",IFERROR(MAX(0,MIN(10,ROUND(IF('Advanced Entry'!AA$8="Decrease Risk",10-10*((IF('Advanced Entry'!AA$5="Logarithm",LN(0.001+'Advanced Entry'!AA88),IF('Advanced Entry'!AA$5="Exponential",EXP('Advanced Entry'!AA88),'Advanced Entry'!AA88)))-'Advanced Entry'!AA$6)/('Advanced Entry'!AA$7-'Advanced Entry'!AA$6),10*((IF('Advanced Entry'!AA$5="Logarithm",LN(0.001+'Advanced Entry'!AA88),IF('Advanced Entry'!AA$5="Exponential",EXP('Advanced Entry'!AA88),'Advanced Entry'!AA88)))-'Advanced Entry'!AA$6)/('Advanced Entry'!AA$7-'Advanced Entry'!AA$6)),1))),"No data"))</f>
        <v/>
      </c>
      <c r="AB88" s="17">
        <f>IF('Advanced Entry'!AB88="","",IFERROR(MAX(0,MIN(10,ROUND(IF('Advanced Entry'!AB$8="Decrease Risk",10-10*((IF('Advanced Entry'!AB$5="Logarithm",LN(0.001+'Advanced Entry'!AB88),IF('Advanced Entry'!AB$5="Exponential",EXP('Advanced Entry'!AB88),'Advanced Entry'!AB88)))-'Advanced Entry'!AB$6)/('Advanced Entry'!AB$7-'Advanced Entry'!AB$6),10*((IF('Advanced Entry'!AB$5="Logarithm",LN(0.001+'Advanced Entry'!AB88),IF('Advanced Entry'!AB$5="Exponential",EXP('Advanced Entry'!AB88),'Advanced Entry'!AB88)))-'Advanced Entry'!AB$6)/('Advanced Entry'!AB$7-'Advanced Entry'!AB$6)),1))),"No data"))</f>
        <v/>
      </c>
    </row>
    <row r="89">
      <c r="A89" t="inlineStr">
        <is>
          <t>Manyara</t>
        </is>
      </c>
      <c r="B89" t="inlineStr">
        <is>
          <t>Mbulu Town</t>
        </is>
      </c>
      <c r="C89" t="inlineStr">
        <is>
          <t>C154</t>
        </is>
      </c>
      <c r="D89" s="17">
        <f>IF('Advanced Entry'!D89="","",IFERROR(MAX(0,MIN(10,ROUND(IF('Advanced Entry'!D$8="Decrease Risk",10-10*((IF('Advanced Entry'!D$5="Logarithm",LN(0.001+'Advanced Entry'!D89),IF('Advanced Entry'!D$5="Exponential",EXP('Advanced Entry'!D89),'Advanced Entry'!D89)))-'Advanced Entry'!D$6)/('Advanced Entry'!D$7-'Advanced Entry'!D$6),10*((IF('Advanced Entry'!D$5="Logarithm",LN(0.001+'Advanced Entry'!D89),IF('Advanced Entry'!D$5="Exponential",EXP('Advanced Entry'!D89),'Advanced Entry'!D89)))-'Advanced Entry'!D$6)/('Advanced Entry'!D$7-'Advanced Entry'!D$6)),1))),"No data"))</f>
        <v/>
      </c>
      <c r="E89" s="17">
        <f>IF('Advanced Entry'!E89="","",IFERROR(MAX(0,MIN(10,ROUND(IF('Advanced Entry'!E$8="Decrease Risk",10-10*((IF('Advanced Entry'!E$5="Logarithm",LN(0.001+'Advanced Entry'!E89),IF('Advanced Entry'!E$5="Exponential",EXP('Advanced Entry'!E89),'Advanced Entry'!E89)))-'Advanced Entry'!E$6)/('Advanced Entry'!E$7-'Advanced Entry'!E$6),10*((IF('Advanced Entry'!E$5="Logarithm",LN(0.001+'Advanced Entry'!E89),IF('Advanced Entry'!E$5="Exponential",EXP('Advanced Entry'!E89),'Advanced Entry'!E89)))-'Advanced Entry'!E$6)/('Advanced Entry'!E$7-'Advanced Entry'!E$6)),1))),"No data"))</f>
        <v/>
      </c>
      <c r="F89" s="17">
        <f>IF('Advanced Entry'!F89="","",IFERROR(MAX(0,MIN(10,ROUND(IF('Advanced Entry'!F$8="Decrease Risk",10-10*((IF('Advanced Entry'!F$5="Logarithm",LN(0.001+'Advanced Entry'!F89),IF('Advanced Entry'!F$5="Exponential",EXP('Advanced Entry'!F89),'Advanced Entry'!F89)))-'Advanced Entry'!F$6)/('Advanced Entry'!F$7-'Advanced Entry'!F$6),10*((IF('Advanced Entry'!F$5="Logarithm",LN(0.001+'Advanced Entry'!F89),IF('Advanced Entry'!F$5="Exponential",EXP('Advanced Entry'!F89),'Advanced Entry'!F89)))-'Advanced Entry'!F$6)/('Advanced Entry'!F$7-'Advanced Entry'!F$6)),1))),"No data"))</f>
        <v/>
      </c>
      <c r="G89" s="17">
        <f>IF('Advanced Entry'!G89="","",IFERROR(MAX(0,MIN(10,ROUND(IF('Advanced Entry'!G$8="Decrease Risk",10-10*((IF('Advanced Entry'!G$5="Logarithm",LN(0.001+'Advanced Entry'!G89),IF('Advanced Entry'!G$5="Exponential",EXP('Advanced Entry'!G89),'Advanced Entry'!G89)))-'Advanced Entry'!G$6)/('Advanced Entry'!G$7-'Advanced Entry'!G$6),10*((IF('Advanced Entry'!G$5="Logarithm",LN(0.001+'Advanced Entry'!G89),IF('Advanced Entry'!G$5="Exponential",EXP('Advanced Entry'!G89),'Advanced Entry'!G89)))-'Advanced Entry'!G$6)/('Advanced Entry'!G$7-'Advanced Entry'!G$6)),1))),"No data"))</f>
        <v/>
      </c>
      <c r="H89" s="17">
        <f>IF('Advanced Entry'!H89="","",IFERROR(MAX(0,MIN(10,ROUND(IF('Advanced Entry'!H$8="Decrease Risk",10-10*((IF('Advanced Entry'!H$5="Logarithm",LN(0.001+'Advanced Entry'!H89),IF('Advanced Entry'!H$5="Exponential",EXP('Advanced Entry'!H89),'Advanced Entry'!H89)))-'Advanced Entry'!H$6)/('Advanced Entry'!H$7-'Advanced Entry'!H$6),10*((IF('Advanced Entry'!H$5="Logarithm",LN(0.001+'Advanced Entry'!H89),IF('Advanced Entry'!H$5="Exponential",EXP('Advanced Entry'!H89),'Advanced Entry'!H89)))-'Advanced Entry'!H$6)/('Advanced Entry'!H$7-'Advanced Entry'!H$6)),1))),"No data"))</f>
        <v/>
      </c>
      <c r="I89" s="17">
        <f>IF('Advanced Entry'!I89="","",IFERROR(MAX(0,MIN(10,ROUND(IF('Advanced Entry'!I$8="Decrease Risk",10-10*((IF('Advanced Entry'!I$5="Logarithm",LN(0.001+'Advanced Entry'!I89),IF('Advanced Entry'!I$5="Exponential",EXP('Advanced Entry'!I89),'Advanced Entry'!I89)))-'Advanced Entry'!I$6)/('Advanced Entry'!I$7-'Advanced Entry'!I$6),10*((IF('Advanced Entry'!I$5="Logarithm",LN(0.001+'Advanced Entry'!I89),IF('Advanced Entry'!I$5="Exponential",EXP('Advanced Entry'!I89),'Advanced Entry'!I89)))-'Advanced Entry'!I$6)/('Advanced Entry'!I$7-'Advanced Entry'!I$6)),1))),"No data"))</f>
        <v/>
      </c>
      <c r="J89" s="17">
        <f>IF('Advanced Entry'!J89="","",IFERROR(MAX(0,MIN(10,ROUND(IF('Advanced Entry'!J$8="Decrease Risk",10-10*((IF('Advanced Entry'!J$5="Logarithm",LN(0.001+'Advanced Entry'!J89),IF('Advanced Entry'!J$5="Exponential",EXP('Advanced Entry'!J89),'Advanced Entry'!J89)))-'Advanced Entry'!J$6)/('Advanced Entry'!J$7-'Advanced Entry'!J$6),10*((IF('Advanced Entry'!J$5="Logarithm",LN(0.001+'Advanced Entry'!J89),IF('Advanced Entry'!J$5="Exponential",EXP('Advanced Entry'!J89),'Advanced Entry'!J89)))-'Advanced Entry'!J$6)/('Advanced Entry'!J$7-'Advanced Entry'!J$6)),1))),"No data"))</f>
        <v/>
      </c>
      <c r="K89" s="17">
        <f>IF('Advanced Entry'!K89="","",IFERROR(MAX(0,MIN(10,ROUND(IF('Advanced Entry'!K$8="Decrease Risk",10-10*((IF('Advanced Entry'!K$5="Logarithm",LN(0.001+'Advanced Entry'!K89),IF('Advanced Entry'!K$5="Exponential",EXP('Advanced Entry'!K89),'Advanced Entry'!K89)))-'Advanced Entry'!K$6)/('Advanced Entry'!K$7-'Advanced Entry'!K$6),10*((IF('Advanced Entry'!K$5="Logarithm",LN(0.001+'Advanced Entry'!K89),IF('Advanced Entry'!K$5="Exponential",EXP('Advanced Entry'!K89),'Advanced Entry'!K89)))-'Advanced Entry'!K$6)/('Advanced Entry'!K$7-'Advanced Entry'!K$6)),1))),"No data"))</f>
        <v/>
      </c>
      <c r="L89" s="17">
        <f>IF('Advanced Entry'!L89="","",IFERROR(MAX(0,MIN(10,ROUND(IF('Advanced Entry'!L$8="Decrease Risk",10-10*((IF('Advanced Entry'!L$5="Logarithm",LN(0.001+'Advanced Entry'!L89),IF('Advanced Entry'!L$5="Exponential",EXP('Advanced Entry'!L89),'Advanced Entry'!L89)))-'Advanced Entry'!L$6)/('Advanced Entry'!L$7-'Advanced Entry'!L$6),10*((IF('Advanced Entry'!L$5="Logarithm",LN(0.001+'Advanced Entry'!L89),IF('Advanced Entry'!L$5="Exponential",EXP('Advanced Entry'!L89),'Advanced Entry'!L89)))-'Advanced Entry'!L$6)/('Advanced Entry'!L$7-'Advanced Entry'!L$6)),1))),"No data"))</f>
        <v/>
      </c>
      <c r="M89" s="17">
        <f>IF('Advanced Entry'!M89="","",IFERROR(MAX(0,MIN(10,ROUND(IF('Advanced Entry'!M$8="Decrease Risk",10-10*((IF('Advanced Entry'!M$5="Logarithm",LN(0.001+'Advanced Entry'!M89),IF('Advanced Entry'!M$5="Exponential",EXP('Advanced Entry'!M89),'Advanced Entry'!M89)))-'Advanced Entry'!M$6)/('Advanced Entry'!M$7-'Advanced Entry'!M$6),10*((IF('Advanced Entry'!M$5="Logarithm",LN(0.001+'Advanced Entry'!M89),IF('Advanced Entry'!M$5="Exponential",EXP('Advanced Entry'!M89),'Advanced Entry'!M89)))-'Advanced Entry'!M$6)/('Advanced Entry'!M$7-'Advanced Entry'!M$6)),1))),"No data"))</f>
        <v/>
      </c>
      <c r="N89" s="17">
        <f>IF('Advanced Entry'!N89="","",IFERROR(MAX(0,MIN(10,ROUND(IF('Advanced Entry'!N$8="Decrease Risk",10-10*((IF('Advanced Entry'!N$5="Logarithm",LN(0.001+'Advanced Entry'!N89),IF('Advanced Entry'!N$5="Exponential",EXP('Advanced Entry'!N89),'Advanced Entry'!N89)))-'Advanced Entry'!N$6)/('Advanced Entry'!N$7-'Advanced Entry'!N$6),10*((IF('Advanced Entry'!N$5="Logarithm",LN(0.001+'Advanced Entry'!N89),IF('Advanced Entry'!N$5="Exponential",EXP('Advanced Entry'!N89),'Advanced Entry'!N89)))-'Advanced Entry'!N$6)/('Advanced Entry'!N$7-'Advanced Entry'!N$6)),1))),"No data"))</f>
        <v/>
      </c>
      <c r="O89" s="17">
        <f>IF('Advanced Entry'!O89="","",IFERROR(MAX(0,MIN(10,ROUND(IF('Advanced Entry'!O$8="Decrease Risk",10-10*((IF('Advanced Entry'!O$5="Logarithm",LN(0.001+'Advanced Entry'!O89),IF('Advanced Entry'!O$5="Exponential",EXP('Advanced Entry'!O89),'Advanced Entry'!O89)))-'Advanced Entry'!O$6)/('Advanced Entry'!O$7-'Advanced Entry'!O$6),10*((IF('Advanced Entry'!O$5="Logarithm",LN(0.001+'Advanced Entry'!O89),IF('Advanced Entry'!O$5="Exponential",EXP('Advanced Entry'!O89),'Advanced Entry'!O89)))-'Advanced Entry'!O$6)/('Advanced Entry'!O$7-'Advanced Entry'!O$6)),1))),"No data"))</f>
        <v/>
      </c>
      <c r="P89" s="17">
        <f>IF('Advanced Entry'!P89="","",IFERROR(MAX(0,MIN(10,ROUND(IF('Advanced Entry'!P$8="Decrease Risk",10-10*((IF('Advanced Entry'!P$5="Logarithm",LN(0.001+'Advanced Entry'!P89),IF('Advanced Entry'!P$5="Exponential",EXP('Advanced Entry'!P89),'Advanced Entry'!P89)))-'Advanced Entry'!P$6)/('Advanced Entry'!P$7-'Advanced Entry'!P$6),10*((IF('Advanced Entry'!P$5="Logarithm",LN(0.001+'Advanced Entry'!P89),IF('Advanced Entry'!P$5="Exponential",EXP('Advanced Entry'!P89),'Advanced Entry'!P89)))-'Advanced Entry'!P$6)/('Advanced Entry'!P$7-'Advanced Entry'!P$6)),1))),"No data"))</f>
        <v/>
      </c>
      <c r="Q89" s="17">
        <f>IF('Advanced Entry'!Q89="","",IFERROR(MAX(0,MIN(10,ROUND(IF('Advanced Entry'!Q$8="Decrease Risk",10-10*((IF('Advanced Entry'!Q$5="Logarithm",LN(0.001+'Advanced Entry'!Q89),IF('Advanced Entry'!Q$5="Exponential",EXP('Advanced Entry'!Q89),'Advanced Entry'!Q89)))-'Advanced Entry'!Q$6)/('Advanced Entry'!Q$7-'Advanced Entry'!Q$6),10*((IF('Advanced Entry'!Q$5="Logarithm",LN(0.001+'Advanced Entry'!Q89),IF('Advanced Entry'!Q$5="Exponential",EXP('Advanced Entry'!Q89),'Advanced Entry'!Q89)))-'Advanced Entry'!Q$6)/('Advanced Entry'!Q$7-'Advanced Entry'!Q$6)),1))),"No data"))</f>
        <v/>
      </c>
      <c r="R89" s="17">
        <f>IF('Advanced Entry'!R89="","",IFERROR(MAX(0,MIN(10,ROUND(IF('Advanced Entry'!R$8="Decrease Risk",10-10*((IF('Advanced Entry'!R$5="Logarithm",LN(0.001+'Advanced Entry'!R89),IF('Advanced Entry'!R$5="Exponential",EXP('Advanced Entry'!R89),'Advanced Entry'!R89)))-'Advanced Entry'!R$6)/('Advanced Entry'!R$7-'Advanced Entry'!R$6),10*((IF('Advanced Entry'!R$5="Logarithm",LN(0.001+'Advanced Entry'!R89),IF('Advanced Entry'!R$5="Exponential",EXP('Advanced Entry'!R89),'Advanced Entry'!R89)))-'Advanced Entry'!R$6)/('Advanced Entry'!R$7-'Advanced Entry'!R$6)),1))),"No data"))</f>
        <v/>
      </c>
      <c r="S89" s="17">
        <f>IF('Advanced Entry'!S89="","",IFERROR(MAX(0,MIN(10,ROUND(IF('Advanced Entry'!S$8="Decrease Risk",10-10*((IF('Advanced Entry'!S$5="Logarithm",LN(0.001+'Advanced Entry'!S89),IF('Advanced Entry'!S$5="Exponential",EXP('Advanced Entry'!S89),'Advanced Entry'!S89)))-'Advanced Entry'!S$6)/('Advanced Entry'!S$7-'Advanced Entry'!S$6),10*((IF('Advanced Entry'!S$5="Logarithm",LN(0.001+'Advanced Entry'!S89),IF('Advanced Entry'!S$5="Exponential",EXP('Advanced Entry'!S89),'Advanced Entry'!S89)))-'Advanced Entry'!S$6)/('Advanced Entry'!S$7-'Advanced Entry'!S$6)),1))),"No data"))</f>
        <v/>
      </c>
      <c r="T89" s="17">
        <f>IF('Advanced Entry'!T89="","",IFERROR(MAX(0,MIN(10,ROUND(IF('Advanced Entry'!T$8="Decrease Risk",10-10*((IF('Advanced Entry'!T$5="Logarithm",LN(0.001+'Advanced Entry'!T89),IF('Advanced Entry'!T$5="Exponential",EXP('Advanced Entry'!T89),'Advanced Entry'!T89)))-'Advanced Entry'!T$6)/('Advanced Entry'!T$7-'Advanced Entry'!T$6),10*((IF('Advanced Entry'!T$5="Logarithm",LN(0.001+'Advanced Entry'!T89),IF('Advanced Entry'!T$5="Exponential",EXP('Advanced Entry'!T89),'Advanced Entry'!T89)))-'Advanced Entry'!T$6)/('Advanced Entry'!T$7-'Advanced Entry'!T$6)),1))),"No data"))</f>
        <v/>
      </c>
      <c r="U89" s="17">
        <f>IF('Advanced Entry'!U89="","",IFERROR(MAX(0,MIN(10,ROUND(IF('Advanced Entry'!U$8="Decrease Risk",10-10*((IF('Advanced Entry'!U$5="Logarithm",LN(0.001+'Advanced Entry'!U89),IF('Advanced Entry'!U$5="Exponential",EXP('Advanced Entry'!U89),'Advanced Entry'!U89)))-'Advanced Entry'!U$6)/('Advanced Entry'!U$7-'Advanced Entry'!U$6),10*((IF('Advanced Entry'!U$5="Logarithm",LN(0.001+'Advanced Entry'!U89),IF('Advanced Entry'!U$5="Exponential",EXP('Advanced Entry'!U89),'Advanced Entry'!U89)))-'Advanced Entry'!U$6)/('Advanced Entry'!U$7-'Advanced Entry'!U$6)),1))),"No data"))</f>
        <v/>
      </c>
      <c r="V89" s="17">
        <f>IF('Advanced Entry'!V89="","",IFERROR(MAX(0,MIN(10,ROUND(IF('Advanced Entry'!V$8="Decrease Risk",10-10*((IF('Advanced Entry'!V$5="Logarithm",LN(0.001+'Advanced Entry'!V89),IF('Advanced Entry'!V$5="Exponential",EXP('Advanced Entry'!V89),'Advanced Entry'!V89)))-'Advanced Entry'!V$6)/('Advanced Entry'!V$7-'Advanced Entry'!V$6),10*((IF('Advanced Entry'!V$5="Logarithm",LN(0.001+'Advanced Entry'!V89),IF('Advanced Entry'!V$5="Exponential",EXP('Advanced Entry'!V89),'Advanced Entry'!V89)))-'Advanced Entry'!V$6)/('Advanced Entry'!V$7-'Advanced Entry'!V$6)),1))),"No data"))</f>
        <v/>
      </c>
      <c r="W89" s="17">
        <f>IF('Advanced Entry'!W89="","",IFERROR(MAX(0,MIN(10,ROUND(IF('Advanced Entry'!W$8="Decrease Risk",10-10*((IF('Advanced Entry'!W$5="Logarithm",LN(0.001+'Advanced Entry'!W89),IF('Advanced Entry'!W$5="Exponential",EXP('Advanced Entry'!W89),'Advanced Entry'!W89)))-'Advanced Entry'!W$6)/('Advanced Entry'!W$7-'Advanced Entry'!W$6),10*((IF('Advanced Entry'!W$5="Logarithm",LN(0.001+'Advanced Entry'!W89),IF('Advanced Entry'!W$5="Exponential",EXP('Advanced Entry'!W89),'Advanced Entry'!W89)))-'Advanced Entry'!W$6)/('Advanced Entry'!W$7-'Advanced Entry'!W$6)),1))),"No data"))</f>
        <v/>
      </c>
      <c r="X89" s="17">
        <f>IF('Advanced Entry'!X89="","",IFERROR(MAX(0,MIN(10,ROUND(IF('Advanced Entry'!X$8="Decrease Risk",10-10*((IF('Advanced Entry'!X$5="Logarithm",LN(0.001+'Advanced Entry'!X89),IF('Advanced Entry'!X$5="Exponential",EXP('Advanced Entry'!X89),'Advanced Entry'!X89)))-'Advanced Entry'!X$6)/('Advanced Entry'!X$7-'Advanced Entry'!X$6),10*((IF('Advanced Entry'!X$5="Logarithm",LN(0.001+'Advanced Entry'!X89),IF('Advanced Entry'!X$5="Exponential",EXP('Advanced Entry'!X89),'Advanced Entry'!X89)))-'Advanced Entry'!X$6)/('Advanced Entry'!X$7-'Advanced Entry'!X$6)),1))),"No data"))</f>
        <v/>
      </c>
      <c r="Y89" s="17">
        <f>IF('Advanced Entry'!Y89="","",IFERROR(MAX(0,MIN(10,ROUND(IF('Advanced Entry'!Y$8="Decrease Risk",10-10*((IF('Advanced Entry'!Y$5="Logarithm",LN(0.001+'Advanced Entry'!Y89),IF('Advanced Entry'!Y$5="Exponential",EXP('Advanced Entry'!Y89),'Advanced Entry'!Y89)))-'Advanced Entry'!Y$6)/('Advanced Entry'!Y$7-'Advanced Entry'!Y$6),10*((IF('Advanced Entry'!Y$5="Logarithm",LN(0.001+'Advanced Entry'!Y89),IF('Advanced Entry'!Y$5="Exponential",EXP('Advanced Entry'!Y89),'Advanced Entry'!Y89)))-'Advanced Entry'!Y$6)/('Advanced Entry'!Y$7-'Advanced Entry'!Y$6)),1))),"No data"))</f>
        <v/>
      </c>
      <c r="Z89" s="17">
        <f>IF('Advanced Entry'!Z89="","",IFERROR(MAX(0,MIN(10,ROUND(IF('Advanced Entry'!Z$8="Decrease Risk",10-10*((IF('Advanced Entry'!Z$5="Logarithm",LN(0.001+'Advanced Entry'!Z89),IF('Advanced Entry'!Z$5="Exponential",EXP('Advanced Entry'!Z89),'Advanced Entry'!Z89)))-'Advanced Entry'!Z$6)/('Advanced Entry'!Z$7-'Advanced Entry'!Z$6),10*((IF('Advanced Entry'!Z$5="Logarithm",LN(0.001+'Advanced Entry'!Z89),IF('Advanced Entry'!Z$5="Exponential",EXP('Advanced Entry'!Z89),'Advanced Entry'!Z89)))-'Advanced Entry'!Z$6)/('Advanced Entry'!Z$7-'Advanced Entry'!Z$6)),1))),"No data"))</f>
        <v/>
      </c>
      <c r="AA89" s="17">
        <f>IF('Advanced Entry'!AA89="","",IFERROR(MAX(0,MIN(10,ROUND(IF('Advanced Entry'!AA$8="Decrease Risk",10-10*((IF('Advanced Entry'!AA$5="Logarithm",LN(0.001+'Advanced Entry'!AA89),IF('Advanced Entry'!AA$5="Exponential",EXP('Advanced Entry'!AA89),'Advanced Entry'!AA89)))-'Advanced Entry'!AA$6)/('Advanced Entry'!AA$7-'Advanced Entry'!AA$6),10*((IF('Advanced Entry'!AA$5="Logarithm",LN(0.001+'Advanced Entry'!AA89),IF('Advanced Entry'!AA$5="Exponential",EXP('Advanced Entry'!AA89),'Advanced Entry'!AA89)))-'Advanced Entry'!AA$6)/('Advanced Entry'!AA$7-'Advanced Entry'!AA$6)),1))),"No data"))</f>
        <v/>
      </c>
      <c r="AB89" s="17">
        <f>IF('Advanced Entry'!AB89="","",IFERROR(MAX(0,MIN(10,ROUND(IF('Advanced Entry'!AB$8="Decrease Risk",10-10*((IF('Advanced Entry'!AB$5="Logarithm",LN(0.001+'Advanced Entry'!AB89),IF('Advanced Entry'!AB$5="Exponential",EXP('Advanced Entry'!AB89),'Advanced Entry'!AB89)))-'Advanced Entry'!AB$6)/('Advanced Entry'!AB$7-'Advanced Entry'!AB$6),10*((IF('Advanced Entry'!AB$5="Logarithm",LN(0.001+'Advanced Entry'!AB89),IF('Advanced Entry'!AB$5="Exponential",EXP('Advanced Entry'!AB89),'Advanced Entry'!AB89)))-'Advanced Entry'!AB$6)/('Advanced Entry'!AB$7-'Advanced Entry'!AB$6)),1))),"No data"))</f>
        <v/>
      </c>
    </row>
    <row r="90">
      <c r="A90" t="inlineStr">
        <is>
          <t>Manyara</t>
        </is>
      </c>
      <c r="B90" t="inlineStr">
        <is>
          <t>Simanjiro District</t>
        </is>
      </c>
      <c r="C90" t="inlineStr">
        <is>
          <t>C155</t>
        </is>
      </c>
      <c r="D90" s="17">
        <f>IF('Advanced Entry'!D90="","",IFERROR(MAX(0,MIN(10,ROUND(IF('Advanced Entry'!D$8="Decrease Risk",10-10*((IF('Advanced Entry'!D$5="Logarithm",LN(0.001+'Advanced Entry'!D90),IF('Advanced Entry'!D$5="Exponential",EXP('Advanced Entry'!D90),'Advanced Entry'!D90)))-'Advanced Entry'!D$6)/('Advanced Entry'!D$7-'Advanced Entry'!D$6),10*((IF('Advanced Entry'!D$5="Logarithm",LN(0.001+'Advanced Entry'!D90),IF('Advanced Entry'!D$5="Exponential",EXP('Advanced Entry'!D90),'Advanced Entry'!D90)))-'Advanced Entry'!D$6)/('Advanced Entry'!D$7-'Advanced Entry'!D$6)),1))),"No data"))</f>
        <v/>
      </c>
      <c r="E90" s="17">
        <f>IF('Advanced Entry'!E90="","",IFERROR(MAX(0,MIN(10,ROUND(IF('Advanced Entry'!E$8="Decrease Risk",10-10*((IF('Advanced Entry'!E$5="Logarithm",LN(0.001+'Advanced Entry'!E90),IF('Advanced Entry'!E$5="Exponential",EXP('Advanced Entry'!E90),'Advanced Entry'!E90)))-'Advanced Entry'!E$6)/('Advanced Entry'!E$7-'Advanced Entry'!E$6),10*((IF('Advanced Entry'!E$5="Logarithm",LN(0.001+'Advanced Entry'!E90),IF('Advanced Entry'!E$5="Exponential",EXP('Advanced Entry'!E90),'Advanced Entry'!E90)))-'Advanced Entry'!E$6)/('Advanced Entry'!E$7-'Advanced Entry'!E$6)),1))),"No data"))</f>
        <v/>
      </c>
      <c r="F90" s="17">
        <f>IF('Advanced Entry'!F90="","",IFERROR(MAX(0,MIN(10,ROUND(IF('Advanced Entry'!F$8="Decrease Risk",10-10*((IF('Advanced Entry'!F$5="Logarithm",LN(0.001+'Advanced Entry'!F90),IF('Advanced Entry'!F$5="Exponential",EXP('Advanced Entry'!F90),'Advanced Entry'!F90)))-'Advanced Entry'!F$6)/('Advanced Entry'!F$7-'Advanced Entry'!F$6),10*((IF('Advanced Entry'!F$5="Logarithm",LN(0.001+'Advanced Entry'!F90),IF('Advanced Entry'!F$5="Exponential",EXP('Advanced Entry'!F90),'Advanced Entry'!F90)))-'Advanced Entry'!F$6)/('Advanced Entry'!F$7-'Advanced Entry'!F$6)),1))),"No data"))</f>
        <v/>
      </c>
      <c r="G90" s="17">
        <f>IF('Advanced Entry'!G90="","",IFERROR(MAX(0,MIN(10,ROUND(IF('Advanced Entry'!G$8="Decrease Risk",10-10*((IF('Advanced Entry'!G$5="Logarithm",LN(0.001+'Advanced Entry'!G90),IF('Advanced Entry'!G$5="Exponential",EXP('Advanced Entry'!G90),'Advanced Entry'!G90)))-'Advanced Entry'!G$6)/('Advanced Entry'!G$7-'Advanced Entry'!G$6),10*((IF('Advanced Entry'!G$5="Logarithm",LN(0.001+'Advanced Entry'!G90),IF('Advanced Entry'!G$5="Exponential",EXP('Advanced Entry'!G90),'Advanced Entry'!G90)))-'Advanced Entry'!G$6)/('Advanced Entry'!G$7-'Advanced Entry'!G$6)),1))),"No data"))</f>
        <v/>
      </c>
      <c r="H90" s="17">
        <f>IF('Advanced Entry'!H90="","",IFERROR(MAX(0,MIN(10,ROUND(IF('Advanced Entry'!H$8="Decrease Risk",10-10*((IF('Advanced Entry'!H$5="Logarithm",LN(0.001+'Advanced Entry'!H90),IF('Advanced Entry'!H$5="Exponential",EXP('Advanced Entry'!H90),'Advanced Entry'!H90)))-'Advanced Entry'!H$6)/('Advanced Entry'!H$7-'Advanced Entry'!H$6),10*((IF('Advanced Entry'!H$5="Logarithm",LN(0.001+'Advanced Entry'!H90),IF('Advanced Entry'!H$5="Exponential",EXP('Advanced Entry'!H90),'Advanced Entry'!H90)))-'Advanced Entry'!H$6)/('Advanced Entry'!H$7-'Advanced Entry'!H$6)),1))),"No data"))</f>
        <v/>
      </c>
      <c r="I90" s="17">
        <f>IF('Advanced Entry'!I90="","",IFERROR(MAX(0,MIN(10,ROUND(IF('Advanced Entry'!I$8="Decrease Risk",10-10*((IF('Advanced Entry'!I$5="Logarithm",LN(0.001+'Advanced Entry'!I90),IF('Advanced Entry'!I$5="Exponential",EXP('Advanced Entry'!I90),'Advanced Entry'!I90)))-'Advanced Entry'!I$6)/('Advanced Entry'!I$7-'Advanced Entry'!I$6),10*((IF('Advanced Entry'!I$5="Logarithm",LN(0.001+'Advanced Entry'!I90),IF('Advanced Entry'!I$5="Exponential",EXP('Advanced Entry'!I90),'Advanced Entry'!I90)))-'Advanced Entry'!I$6)/('Advanced Entry'!I$7-'Advanced Entry'!I$6)),1))),"No data"))</f>
        <v/>
      </c>
      <c r="J90" s="17">
        <f>IF('Advanced Entry'!J90="","",IFERROR(MAX(0,MIN(10,ROUND(IF('Advanced Entry'!J$8="Decrease Risk",10-10*((IF('Advanced Entry'!J$5="Logarithm",LN(0.001+'Advanced Entry'!J90),IF('Advanced Entry'!J$5="Exponential",EXP('Advanced Entry'!J90),'Advanced Entry'!J90)))-'Advanced Entry'!J$6)/('Advanced Entry'!J$7-'Advanced Entry'!J$6),10*((IF('Advanced Entry'!J$5="Logarithm",LN(0.001+'Advanced Entry'!J90),IF('Advanced Entry'!J$5="Exponential",EXP('Advanced Entry'!J90),'Advanced Entry'!J90)))-'Advanced Entry'!J$6)/('Advanced Entry'!J$7-'Advanced Entry'!J$6)),1))),"No data"))</f>
        <v/>
      </c>
      <c r="K90" s="17">
        <f>IF('Advanced Entry'!K90="","",IFERROR(MAX(0,MIN(10,ROUND(IF('Advanced Entry'!K$8="Decrease Risk",10-10*((IF('Advanced Entry'!K$5="Logarithm",LN(0.001+'Advanced Entry'!K90),IF('Advanced Entry'!K$5="Exponential",EXP('Advanced Entry'!K90),'Advanced Entry'!K90)))-'Advanced Entry'!K$6)/('Advanced Entry'!K$7-'Advanced Entry'!K$6),10*((IF('Advanced Entry'!K$5="Logarithm",LN(0.001+'Advanced Entry'!K90),IF('Advanced Entry'!K$5="Exponential",EXP('Advanced Entry'!K90),'Advanced Entry'!K90)))-'Advanced Entry'!K$6)/('Advanced Entry'!K$7-'Advanced Entry'!K$6)),1))),"No data"))</f>
        <v/>
      </c>
      <c r="L90" s="17">
        <f>IF('Advanced Entry'!L90="","",IFERROR(MAX(0,MIN(10,ROUND(IF('Advanced Entry'!L$8="Decrease Risk",10-10*((IF('Advanced Entry'!L$5="Logarithm",LN(0.001+'Advanced Entry'!L90),IF('Advanced Entry'!L$5="Exponential",EXP('Advanced Entry'!L90),'Advanced Entry'!L90)))-'Advanced Entry'!L$6)/('Advanced Entry'!L$7-'Advanced Entry'!L$6),10*((IF('Advanced Entry'!L$5="Logarithm",LN(0.001+'Advanced Entry'!L90),IF('Advanced Entry'!L$5="Exponential",EXP('Advanced Entry'!L90),'Advanced Entry'!L90)))-'Advanced Entry'!L$6)/('Advanced Entry'!L$7-'Advanced Entry'!L$6)),1))),"No data"))</f>
        <v/>
      </c>
      <c r="M90" s="17">
        <f>IF('Advanced Entry'!M90="","",IFERROR(MAX(0,MIN(10,ROUND(IF('Advanced Entry'!M$8="Decrease Risk",10-10*((IF('Advanced Entry'!M$5="Logarithm",LN(0.001+'Advanced Entry'!M90),IF('Advanced Entry'!M$5="Exponential",EXP('Advanced Entry'!M90),'Advanced Entry'!M90)))-'Advanced Entry'!M$6)/('Advanced Entry'!M$7-'Advanced Entry'!M$6),10*((IF('Advanced Entry'!M$5="Logarithm",LN(0.001+'Advanced Entry'!M90),IF('Advanced Entry'!M$5="Exponential",EXP('Advanced Entry'!M90),'Advanced Entry'!M90)))-'Advanced Entry'!M$6)/('Advanced Entry'!M$7-'Advanced Entry'!M$6)),1))),"No data"))</f>
        <v/>
      </c>
      <c r="N90" s="17">
        <f>IF('Advanced Entry'!N90="","",IFERROR(MAX(0,MIN(10,ROUND(IF('Advanced Entry'!N$8="Decrease Risk",10-10*((IF('Advanced Entry'!N$5="Logarithm",LN(0.001+'Advanced Entry'!N90),IF('Advanced Entry'!N$5="Exponential",EXP('Advanced Entry'!N90),'Advanced Entry'!N90)))-'Advanced Entry'!N$6)/('Advanced Entry'!N$7-'Advanced Entry'!N$6),10*((IF('Advanced Entry'!N$5="Logarithm",LN(0.001+'Advanced Entry'!N90),IF('Advanced Entry'!N$5="Exponential",EXP('Advanced Entry'!N90),'Advanced Entry'!N90)))-'Advanced Entry'!N$6)/('Advanced Entry'!N$7-'Advanced Entry'!N$6)),1))),"No data"))</f>
        <v/>
      </c>
      <c r="O90" s="17">
        <f>IF('Advanced Entry'!O90="","",IFERROR(MAX(0,MIN(10,ROUND(IF('Advanced Entry'!O$8="Decrease Risk",10-10*((IF('Advanced Entry'!O$5="Logarithm",LN(0.001+'Advanced Entry'!O90),IF('Advanced Entry'!O$5="Exponential",EXP('Advanced Entry'!O90),'Advanced Entry'!O90)))-'Advanced Entry'!O$6)/('Advanced Entry'!O$7-'Advanced Entry'!O$6),10*((IF('Advanced Entry'!O$5="Logarithm",LN(0.001+'Advanced Entry'!O90),IF('Advanced Entry'!O$5="Exponential",EXP('Advanced Entry'!O90),'Advanced Entry'!O90)))-'Advanced Entry'!O$6)/('Advanced Entry'!O$7-'Advanced Entry'!O$6)),1))),"No data"))</f>
        <v/>
      </c>
      <c r="P90" s="17">
        <f>IF('Advanced Entry'!P90="","",IFERROR(MAX(0,MIN(10,ROUND(IF('Advanced Entry'!P$8="Decrease Risk",10-10*((IF('Advanced Entry'!P$5="Logarithm",LN(0.001+'Advanced Entry'!P90),IF('Advanced Entry'!P$5="Exponential",EXP('Advanced Entry'!P90),'Advanced Entry'!P90)))-'Advanced Entry'!P$6)/('Advanced Entry'!P$7-'Advanced Entry'!P$6),10*((IF('Advanced Entry'!P$5="Logarithm",LN(0.001+'Advanced Entry'!P90),IF('Advanced Entry'!P$5="Exponential",EXP('Advanced Entry'!P90),'Advanced Entry'!P90)))-'Advanced Entry'!P$6)/('Advanced Entry'!P$7-'Advanced Entry'!P$6)),1))),"No data"))</f>
        <v/>
      </c>
      <c r="Q90" s="17">
        <f>IF('Advanced Entry'!Q90="","",IFERROR(MAX(0,MIN(10,ROUND(IF('Advanced Entry'!Q$8="Decrease Risk",10-10*((IF('Advanced Entry'!Q$5="Logarithm",LN(0.001+'Advanced Entry'!Q90),IF('Advanced Entry'!Q$5="Exponential",EXP('Advanced Entry'!Q90),'Advanced Entry'!Q90)))-'Advanced Entry'!Q$6)/('Advanced Entry'!Q$7-'Advanced Entry'!Q$6),10*((IF('Advanced Entry'!Q$5="Logarithm",LN(0.001+'Advanced Entry'!Q90),IF('Advanced Entry'!Q$5="Exponential",EXP('Advanced Entry'!Q90),'Advanced Entry'!Q90)))-'Advanced Entry'!Q$6)/('Advanced Entry'!Q$7-'Advanced Entry'!Q$6)),1))),"No data"))</f>
        <v/>
      </c>
      <c r="R90" s="17">
        <f>IF('Advanced Entry'!R90="","",IFERROR(MAX(0,MIN(10,ROUND(IF('Advanced Entry'!R$8="Decrease Risk",10-10*((IF('Advanced Entry'!R$5="Logarithm",LN(0.001+'Advanced Entry'!R90),IF('Advanced Entry'!R$5="Exponential",EXP('Advanced Entry'!R90),'Advanced Entry'!R90)))-'Advanced Entry'!R$6)/('Advanced Entry'!R$7-'Advanced Entry'!R$6),10*((IF('Advanced Entry'!R$5="Logarithm",LN(0.001+'Advanced Entry'!R90),IF('Advanced Entry'!R$5="Exponential",EXP('Advanced Entry'!R90),'Advanced Entry'!R90)))-'Advanced Entry'!R$6)/('Advanced Entry'!R$7-'Advanced Entry'!R$6)),1))),"No data"))</f>
        <v/>
      </c>
      <c r="S90" s="17">
        <f>IF('Advanced Entry'!S90="","",IFERROR(MAX(0,MIN(10,ROUND(IF('Advanced Entry'!S$8="Decrease Risk",10-10*((IF('Advanced Entry'!S$5="Logarithm",LN(0.001+'Advanced Entry'!S90),IF('Advanced Entry'!S$5="Exponential",EXP('Advanced Entry'!S90),'Advanced Entry'!S90)))-'Advanced Entry'!S$6)/('Advanced Entry'!S$7-'Advanced Entry'!S$6),10*((IF('Advanced Entry'!S$5="Logarithm",LN(0.001+'Advanced Entry'!S90),IF('Advanced Entry'!S$5="Exponential",EXP('Advanced Entry'!S90),'Advanced Entry'!S90)))-'Advanced Entry'!S$6)/('Advanced Entry'!S$7-'Advanced Entry'!S$6)),1))),"No data"))</f>
        <v/>
      </c>
      <c r="T90" s="17">
        <f>IF('Advanced Entry'!T90="","",IFERROR(MAX(0,MIN(10,ROUND(IF('Advanced Entry'!T$8="Decrease Risk",10-10*((IF('Advanced Entry'!T$5="Logarithm",LN(0.001+'Advanced Entry'!T90),IF('Advanced Entry'!T$5="Exponential",EXP('Advanced Entry'!T90),'Advanced Entry'!T90)))-'Advanced Entry'!T$6)/('Advanced Entry'!T$7-'Advanced Entry'!T$6),10*((IF('Advanced Entry'!T$5="Logarithm",LN(0.001+'Advanced Entry'!T90),IF('Advanced Entry'!T$5="Exponential",EXP('Advanced Entry'!T90),'Advanced Entry'!T90)))-'Advanced Entry'!T$6)/('Advanced Entry'!T$7-'Advanced Entry'!T$6)),1))),"No data"))</f>
        <v/>
      </c>
      <c r="U90" s="17">
        <f>IF('Advanced Entry'!U90="","",IFERROR(MAX(0,MIN(10,ROUND(IF('Advanced Entry'!U$8="Decrease Risk",10-10*((IF('Advanced Entry'!U$5="Logarithm",LN(0.001+'Advanced Entry'!U90),IF('Advanced Entry'!U$5="Exponential",EXP('Advanced Entry'!U90),'Advanced Entry'!U90)))-'Advanced Entry'!U$6)/('Advanced Entry'!U$7-'Advanced Entry'!U$6),10*((IF('Advanced Entry'!U$5="Logarithm",LN(0.001+'Advanced Entry'!U90),IF('Advanced Entry'!U$5="Exponential",EXP('Advanced Entry'!U90),'Advanced Entry'!U90)))-'Advanced Entry'!U$6)/('Advanced Entry'!U$7-'Advanced Entry'!U$6)),1))),"No data"))</f>
        <v/>
      </c>
      <c r="V90" s="17">
        <f>IF('Advanced Entry'!V90="","",IFERROR(MAX(0,MIN(10,ROUND(IF('Advanced Entry'!V$8="Decrease Risk",10-10*((IF('Advanced Entry'!V$5="Logarithm",LN(0.001+'Advanced Entry'!V90),IF('Advanced Entry'!V$5="Exponential",EXP('Advanced Entry'!V90),'Advanced Entry'!V90)))-'Advanced Entry'!V$6)/('Advanced Entry'!V$7-'Advanced Entry'!V$6),10*((IF('Advanced Entry'!V$5="Logarithm",LN(0.001+'Advanced Entry'!V90),IF('Advanced Entry'!V$5="Exponential",EXP('Advanced Entry'!V90),'Advanced Entry'!V90)))-'Advanced Entry'!V$6)/('Advanced Entry'!V$7-'Advanced Entry'!V$6)),1))),"No data"))</f>
        <v/>
      </c>
      <c r="W90" s="17">
        <f>IF('Advanced Entry'!W90="","",IFERROR(MAX(0,MIN(10,ROUND(IF('Advanced Entry'!W$8="Decrease Risk",10-10*((IF('Advanced Entry'!W$5="Logarithm",LN(0.001+'Advanced Entry'!W90),IF('Advanced Entry'!W$5="Exponential",EXP('Advanced Entry'!W90),'Advanced Entry'!W90)))-'Advanced Entry'!W$6)/('Advanced Entry'!W$7-'Advanced Entry'!W$6),10*((IF('Advanced Entry'!W$5="Logarithm",LN(0.001+'Advanced Entry'!W90),IF('Advanced Entry'!W$5="Exponential",EXP('Advanced Entry'!W90),'Advanced Entry'!W90)))-'Advanced Entry'!W$6)/('Advanced Entry'!W$7-'Advanced Entry'!W$6)),1))),"No data"))</f>
        <v/>
      </c>
      <c r="X90" s="17">
        <f>IF('Advanced Entry'!X90="","",IFERROR(MAX(0,MIN(10,ROUND(IF('Advanced Entry'!X$8="Decrease Risk",10-10*((IF('Advanced Entry'!X$5="Logarithm",LN(0.001+'Advanced Entry'!X90),IF('Advanced Entry'!X$5="Exponential",EXP('Advanced Entry'!X90),'Advanced Entry'!X90)))-'Advanced Entry'!X$6)/('Advanced Entry'!X$7-'Advanced Entry'!X$6),10*((IF('Advanced Entry'!X$5="Logarithm",LN(0.001+'Advanced Entry'!X90),IF('Advanced Entry'!X$5="Exponential",EXP('Advanced Entry'!X90),'Advanced Entry'!X90)))-'Advanced Entry'!X$6)/('Advanced Entry'!X$7-'Advanced Entry'!X$6)),1))),"No data"))</f>
        <v/>
      </c>
      <c r="Y90" s="17">
        <f>IF('Advanced Entry'!Y90="","",IFERROR(MAX(0,MIN(10,ROUND(IF('Advanced Entry'!Y$8="Decrease Risk",10-10*((IF('Advanced Entry'!Y$5="Logarithm",LN(0.001+'Advanced Entry'!Y90),IF('Advanced Entry'!Y$5="Exponential",EXP('Advanced Entry'!Y90),'Advanced Entry'!Y90)))-'Advanced Entry'!Y$6)/('Advanced Entry'!Y$7-'Advanced Entry'!Y$6),10*((IF('Advanced Entry'!Y$5="Logarithm",LN(0.001+'Advanced Entry'!Y90),IF('Advanced Entry'!Y$5="Exponential",EXP('Advanced Entry'!Y90),'Advanced Entry'!Y90)))-'Advanced Entry'!Y$6)/('Advanced Entry'!Y$7-'Advanced Entry'!Y$6)),1))),"No data"))</f>
        <v/>
      </c>
      <c r="Z90" s="17">
        <f>IF('Advanced Entry'!Z90="","",IFERROR(MAX(0,MIN(10,ROUND(IF('Advanced Entry'!Z$8="Decrease Risk",10-10*((IF('Advanced Entry'!Z$5="Logarithm",LN(0.001+'Advanced Entry'!Z90),IF('Advanced Entry'!Z$5="Exponential",EXP('Advanced Entry'!Z90),'Advanced Entry'!Z90)))-'Advanced Entry'!Z$6)/('Advanced Entry'!Z$7-'Advanced Entry'!Z$6),10*((IF('Advanced Entry'!Z$5="Logarithm",LN(0.001+'Advanced Entry'!Z90),IF('Advanced Entry'!Z$5="Exponential",EXP('Advanced Entry'!Z90),'Advanced Entry'!Z90)))-'Advanced Entry'!Z$6)/('Advanced Entry'!Z$7-'Advanced Entry'!Z$6)),1))),"No data"))</f>
        <v/>
      </c>
      <c r="AA90" s="17">
        <f>IF('Advanced Entry'!AA90="","",IFERROR(MAX(0,MIN(10,ROUND(IF('Advanced Entry'!AA$8="Decrease Risk",10-10*((IF('Advanced Entry'!AA$5="Logarithm",LN(0.001+'Advanced Entry'!AA90),IF('Advanced Entry'!AA$5="Exponential",EXP('Advanced Entry'!AA90),'Advanced Entry'!AA90)))-'Advanced Entry'!AA$6)/('Advanced Entry'!AA$7-'Advanced Entry'!AA$6),10*((IF('Advanced Entry'!AA$5="Logarithm",LN(0.001+'Advanced Entry'!AA90),IF('Advanced Entry'!AA$5="Exponential",EXP('Advanced Entry'!AA90),'Advanced Entry'!AA90)))-'Advanced Entry'!AA$6)/('Advanced Entry'!AA$7-'Advanced Entry'!AA$6)),1))),"No data"))</f>
        <v/>
      </c>
      <c r="AB90" s="17">
        <f>IF('Advanced Entry'!AB90="","",IFERROR(MAX(0,MIN(10,ROUND(IF('Advanced Entry'!AB$8="Decrease Risk",10-10*((IF('Advanced Entry'!AB$5="Logarithm",LN(0.001+'Advanced Entry'!AB90),IF('Advanced Entry'!AB$5="Exponential",EXP('Advanced Entry'!AB90),'Advanced Entry'!AB90)))-'Advanced Entry'!AB$6)/('Advanced Entry'!AB$7-'Advanced Entry'!AB$6),10*((IF('Advanced Entry'!AB$5="Logarithm",LN(0.001+'Advanced Entry'!AB90),IF('Advanced Entry'!AB$5="Exponential",EXP('Advanced Entry'!AB90),'Advanced Entry'!AB90)))-'Advanced Entry'!AB$6)/('Advanced Entry'!AB$7-'Advanced Entry'!AB$6)),1))),"No data"))</f>
        <v/>
      </c>
    </row>
    <row r="91">
      <c r="A91" t="inlineStr">
        <is>
          <t>Mara</t>
        </is>
      </c>
      <c r="B91" t="inlineStr">
        <is>
          <t>Bunda District</t>
        </is>
      </c>
      <c r="C91" t="inlineStr">
        <is>
          <t>C146</t>
        </is>
      </c>
      <c r="D91" s="17">
        <f>IF('Advanced Entry'!D91="","",IFERROR(MAX(0,MIN(10,ROUND(IF('Advanced Entry'!D$8="Decrease Risk",10-10*((IF('Advanced Entry'!D$5="Logarithm",LN(0.001+'Advanced Entry'!D91),IF('Advanced Entry'!D$5="Exponential",EXP('Advanced Entry'!D91),'Advanced Entry'!D91)))-'Advanced Entry'!D$6)/('Advanced Entry'!D$7-'Advanced Entry'!D$6),10*((IF('Advanced Entry'!D$5="Logarithm",LN(0.001+'Advanced Entry'!D91),IF('Advanced Entry'!D$5="Exponential",EXP('Advanced Entry'!D91),'Advanced Entry'!D91)))-'Advanced Entry'!D$6)/('Advanced Entry'!D$7-'Advanced Entry'!D$6)),1))),"No data"))</f>
        <v/>
      </c>
      <c r="E91" s="17">
        <f>IF('Advanced Entry'!E91="","",IFERROR(MAX(0,MIN(10,ROUND(IF('Advanced Entry'!E$8="Decrease Risk",10-10*((IF('Advanced Entry'!E$5="Logarithm",LN(0.001+'Advanced Entry'!E91),IF('Advanced Entry'!E$5="Exponential",EXP('Advanced Entry'!E91),'Advanced Entry'!E91)))-'Advanced Entry'!E$6)/('Advanced Entry'!E$7-'Advanced Entry'!E$6),10*((IF('Advanced Entry'!E$5="Logarithm",LN(0.001+'Advanced Entry'!E91),IF('Advanced Entry'!E$5="Exponential",EXP('Advanced Entry'!E91),'Advanced Entry'!E91)))-'Advanced Entry'!E$6)/('Advanced Entry'!E$7-'Advanced Entry'!E$6)),1))),"No data"))</f>
        <v/>
      </c>
      <c r="F91" s="17">
        <f>IF('Advanced Entry'!F91="","",IFERROR(MAX(0,MIN(10,ROUND(IF('Advanced Entry'!F$8="Decrease Risk",10-10*((IF('Advanced Entry'!F$5="Logarithm",LN(0.001+'Advanced Entry'!F91),IF('Advanced Entry'!F$5="Exponential",EXP('Advanced Entry'!F91),'Advanced Entry'!F91)))-'Advanced Entry'!F$6)/('Advanced Entry'!F$7-'Advanced Entry'!F$6),10*((IF('Advanced Entry'!F$5="Logarithm",LN(0.001+'Advanced Entry'!F91),IF('Advanced Entry'!F$5="Exponential",EXP('Advanced Entry'!F91),'Advanced Entry'!F91)))-'Advanced Entry'!F$6)/('Advanced Entry'!F$7-'Advanced Entry'!F$6)),1))),"No data"))</f>
        <v/>
      </c>
      <c r="G91" s="17">
        <f>IF('Advanced Entry'!G91="","",IFERROR(MAX(0,MIN(10,ROUND(IF('Advanced Entry'!G$8="Decrease Risk",10-10*((IF('Advanced Entry'!G$5="Logarithm",LN(0.001+'Advanced Entry'!G91),IF('Advanced Entry'!G$5="Exponential",EXP('Advanced Entry'!G91),'Advanced Entry'!G91)))-'Advanced Entry'!G$6)/('Advanced Entry'!G$7-'Advanced Entry'!G$6),10*((IF('Advanced Entry'!G$5="Logarithm",LN(0.001+'Advanced Entry'!G91),IF('Advanced Entry'!G$5="Exponential",EXP('Advanced Entry'!G91),'Advanced Entry'!G91)))-'Advanced Entry'!G$6)/('Advanced Entry'!G$7-'Advanced Entry'!G$6)),1))),"No data"))</f>
        <v/>
      </c>
      <c r="H91" s="17">
        <f>IF('Advanced Entry'!H91="","",IFERROR(MAX(0,MIN(10,ROUND(IF('Advanced Entry'!H$8="Decrease Risk",10-10*((IF('Advanced Entry'!H$5="Logarithm",LN(0.001+'Advanced Entry'!H91),IF('Advanced Entry'!H$5="Exponential",EXP('Advanced Entry'!H91),'Advanced Entry'!H91)))-'Advanced Entry'!H$6)/('Advanced Entry'!H$7-'Advanced Entry'!H$6),10*((IF('Advanced Entry'!H$5="Logarithm",LN(0.001+'Advanced Entry'!H91),IF('Advanced Entry'!H$5="Exponential",EXP('Advanced Entry'!H91),'Advanced Entry'!H91)))-'Advanced Entry'!H$6)/('Advanced Entry'!H$7-'Advanced Entry'!H$6)),1))),"No data"))</f>
        <v/>
      </c>
      <c r="I91" s="17">
        <f>IF('Advanced Entry'!I91="","",IFERROR(MAX(0,MIN(10,ROUND(IF('Advanced Entry'!I$8="Decrease Risk",10-10*((IF('Advanced Entry'!I$5="Logarithm",LN(0.001+'Advanced Entry'!I91),IF('Advanced Entry'!I$5="Exponential",EXP('Advanced Entry'!I91),'Advanced Entry'!I91)))-'Advanced Entry'!I$6)/('Advanced Entry'!I$7-'Advanced Entry'!I$6),10*((IF('Advanced Entry'!I$5="Logarithm",LN(0.001+'Advanced Entry'!I91),IF('Advanced Entry'!I$5="Exponential",EXP('Advanced Entry'!I91),'Advanced Entry'!I91)))-'Advanced Entry'!I$6)/('Advanced Entry'!I$7-'Advanced Entry'!I$6)),1))),"No data"))</f>
        <v/>
      </c>
      <c r="J91" s="17">
        <f>IF('Advanced Entry'!J91="","",IFERROR(MAX(0,MIN(10,ROUND(IF('Advanced Entry'!J$8="Decrease Risk",10-10*((IF('Advanced Entry'!J$5="Logarithm",LN(0.001+'Advanced Entry'!J91),IF('Advanced Entry'!J$5="Exponential",EXP('Advanced Entry'!J91),'Advanced Entry'!J91)))-'Advanced Entry'!J$6)/('Advanced Entry'!J$7-'Advanced Entry'!J$6),10*((IF('Advanced Entry'!J$5="Logarithm",LN(0.001+'Advanced Entry'!J91),IF('Advanced Entry'!J$5="Exponential",EXP('Advanced Entry'!J91),'Advanced Entry'!J91)))-'Advanced Entry'!J$6)/('Advanced Entry'!J$7-'Advanced Entry'!J$6)),1))),"No data"))</f>
        <v/>
      </c>
      <c r="K91" s="17">
        <f>IF('Advanced Entry'!K91="","",IFERROR(MAX(0,MIN(10,ROUND(IF('Advanced Entry'!K$8="Decrease Risk",10-10*((IF('Advanced Entry'!K$5="Logarithm",LN(0.001+'Advanced Entry'!K91),IF('Advanced Entry'!K$5="Exponential",EXP('Advanced Entry'!K91),'Advanced Entry'!K91)))-'Advanced Entry'!K$6)/('Advanced Entry'!K$7-'Advanced Entry'!K$6),10*((IF('Advanced Entry'!K$5="Logarithm",LN(0.001+'Advanced Entry'!K91),IF('Advanced Entry'!K$5="Exponential",EXP('Advanced Entry'!K91),'Advanced Entry'!K91)))-'Advanced Entry'!K$6)/('Advanced Entry'!K$7-'Advanced Entry'!K$6)),1))),"No data"))</f>
        <v/>
      </c>
      <c r="L91" s="17">
        <f>IF('Advanced Entry'!L91="","",IFERROR(MAX(0,MIN(10,ROUND(IF('Advanced Entry'!L$8="Decrease Risk",10-10*((IF('Advanced Entry'!L$5="Logarithm",LN(0.001+'Advanced Entry'!L91),IF('Advanced Entry'!L$5="Exponential",EXP('Advanced Entry'!L91),'Advanced Entry'!L91)))-'Advanced Entry'!L$6)/('Advanced Entry'!L$7-'Advanced Entry'!L$6),10*((IF('Advanced Entry'!L$5="Logarithm",LN(0.001+'Advanced Entry'!L91),IF('Advanced Entry'!L$5="Exponential",EXP('Advanced Entry'!L91),'Advanced Entry'!L91)))-'Advanced Entry'!L$6)/('Advanced Entry'!L$7-'Advanced Entry'!L$6)),1))),"No data"))</f>
        <v/>
      </c>
      <c r="M91" s="17">
        <f>IF('Advanced Entry'!M91="","",IFERROR(MAX(0,MIN(10,ROUND(IF('Advanced Entry'!M$8="Decrease Risk",10-10*((IF('Advanced Entry'!M$5="Logarithm",LN(0.001+'Advanced Entry'!M91),IF('Advanced Entry'!M$5="Exponential",EXP('Advanced Entry'!M91),'Advanced Entry'!M91)))-'Advanced Entry'!M$6)/('Advanced Entry'!M$7-'Advanced Entry'!M$6),10*((IF('Advanced Entry'!M$5="Logarithm",LN(0.001+'Advanced Entry'!M91),IF('Advanced Entry'!M$5="Exponential",EXP('Advanced Entry'!M91),'Advanced Entry'!M91)))-'Advanced Entry'!M$6)/('Advanced Entry'!M$7-'Advanced Entry'!M$6)),1))),"No data"))</f>
        <v/>
      </c>
      <c r="N91" s="17">
        <f>IF('Advanced Entry'!N91="","",IFERROR(MAX(0,MIN(10,ROUND(IF('Advanced Entry'!N$8="Decrease Risk",10-10*((IF('Advanced Entry'!N$5="Logarithm",LN(0.001+'Advanced Entry'!N91),IF('Advanced Entry'!N$5="Exponential",EXP('Advanced Entry'!N91),'Advanced Entry'!N91)))-'Advanced Entry'!N$6)/('Advanced Entry'!N$7-'Advanced Entry'!N$6),10*((IF('Advanced Entry'!N$5="Logarithm",LN(0.001+'Advanced Entry'!N91),IF('Advanced Entry'!N$5="Exponential",EXP('Advanced Entry'!N91),'Advanced Entry'!N91)))-'Advanced Entry'!N$6)/('Advanced Entry'!N$7-'Advanced Entry'!N$6)),1))),"No data"))</f>
        <v/>
      </c>
      <c r="O91" s="17">
        <f>IF('Advanced Entry'!O91="","",IFERROR(MAX(0,MIN(10,ROUND(IF('Advanced Entry'!O$8="Decrease Risk",10-10*((IF('Advanced Entry'!O$5="Logarithm",LN(0.001+'Advanced Entry'!O91),IF('Advanced Entry'!O$5="Exponential",EXP('Advanced Entry'!O91),'Advanced Entry'!O91)))-'Advanced Entry'!O$6)/('Advanced Entry'!O$7-'Advanced Entry'!O$6),10*((IF('Advanced Entry'!O$5="Logarithm",LN(0.001+'Advanced Entry'!O91),IF('Advanced Entry'!O$5="Exponential",EXP('Advanced Entry'!O91),'Advanced Entry'!O91)))-'Advanced Entry'!O$6)/('Advanced Entry'!O$7-'Advanced Entry'!O$6)),1))),"No data"))</f>
        <v/>
      </c>
      <c r="P91" s="17">
        <f>IF('Advanced Entry'!P91="","",IFERROR(MAX(0,MIN(10,ROUND(IF('Advanced Entry'!P$8="Decrease Risk",10-10*((IF('Advanced Entry'!P$5="Logarithm",LN(0.001+'Advanced Entry'!P91),IF('Advanced Entry'!P$5="Exponential",EXP('Advanced Entry'!P91),'Advanced Entry'!P91)))-'Advanced Entry'!P$6)/('Advanced Entry'!P$7-'Advanced Entry'!P$6),10*((IF('Advanced Entry'!P$5="Logarithm",LN(0.001+'Advanced Entry'!P91),IF('Advanced Entry'!P$5="Exponential",EXP('Advanced Entry'!P91),'Advanced Entry'!P91)))-'Advanced Entry'!P$6)/('Advanced Entry'!P$7-'Advanced Entry'!P$6)),1))),"No data"))</f>
        <v/>
      </c>
      <c r="Q91" s="17">
        <f>IF('Advanced Entry'!Q91="","",IFERROR(MAX(0,MIN(10,ROUND(IF('Advanced Entry'!Q$8="Decrease Risk",10-10*((IF('Advanced Entry'!Q$5="Logarithm",LN(0.001+'Advanced Entry'!Q91),IF('Advanced Entry'!Q$5="Exponential",EXP('Advanced Entry'!Q91),'Advanced Entry'!Q91)))-'Advanced Entry'!Q$6)/('Advanced Entry'!Q$7-'Advanced Entry'!Q$6),10*((IF('Advanced Entry'!Q$5="Logarithm",LN(0.001+'Advanced Entry'!Q91),IF('Advanced Entry'!Q$5="Exponential",EXP('Advanced Entry'!Q91),'Advanced Entry'!Q91)))-'Advanced Entry'!Q$6)/('Advanced Entry'!Q$7-'Advanced Entry'!Q$6)),1))),"No data"))</f>
        <v/>
      </c>
      <c r="R91" s="17">
        <f>IF('Advanced Entry'!R91="","",IFERROR(MAX(0,MIN(10,ROUND(IF('Advanced Entry'!R$8="Decrease Risk",10-10*((IF('Advanced Entry'!R$5="Logarithm",LN(0.001+'Advanced Entry'!R91),IF('Advanced Entry'!R$5="Exponential",EXP('Advanced Entry'!R91),'Advanced Entry'!R91)))-'Advanced Entry'!R$6)/('Advanced Entry'!R$7-'Advanced Entry'!R$6),10*((IF('Advanced Entry'!R$5="Logarithm",LN(0.001+'Advanced Entry'!R91),IF('Advanced Entry'!R$5="Exponential",EXP('Advanced Entry'!R91),'Advanced Entry'!R91)))-'Advanced Entry'!R$6)/('Advanced Entry'!R$7-'Advanced Entry'!R$6)),1))),"No data"))</f>
        <v/>
      </c>
      <c r="S91" s="17">
        <f>IF('Advanced Entry'!S91="","",IFERROR(MAX(0,MIN(10,ROUND(IF('Advanced Entry'!S$8="Decrease Risk",10-10*((IF('Advanced Entry'!S$5="Logarithm",LN(0.001+'Advanced Entry'!S91),IF('Advanced Entry'!S$5="Exponential",EXP('Advanced Entry'!S91),'Advanced Entry'!S91)))-'Advanced Entry'!S$6)/('Advanced Entry'!S$7-'Advanced Entry'!S$6),10*((IF('Advanced Entry'!S$5="Logarithm",LN(0.001+'Advanced Entry'!S91),IF('Advanced Entry'!S$5="Exponential",EXP('Advanced Entry'!S91),'Advanced Entry'!S91)))-'Advanced Entry'!S$6)/('Advanced Entry'!S$7-'Advanced Entry'!S$6)),1))),"No data"))</f>
        <v/>
      </c>
      <c r="T91" s="17">
        <f>IF('Advanced Entry'!T91="","",IFERROR(MAX(0,MIN(10,ROUND(IF('Advanced Entry'!T$8="Decrease Risk",10-10*((IF('Advanced Entry'!T$5="Logarithm",LN(0.001+'Advanced Entry'!T91),IF('Advanced Entry'!T$5="Exponential",EXP('Advanced Entry'!T91),'Advanced Entry'!T91)))-'Advanced Entry'!T$6)/('Advanced Entry'!T$7-'Advanced Entry'!T$6),10*((IF('Advanced Entry'!T$5="Logarithm",LN(0.001+'Advanced Entry'!T91),IF('Advanced Entry'!T$5="Exponential",EXP('Advanced Entry'!T91),'Advanced Entry'!T91)))-'Advanced Entry'!T$6)/('Advanced Entry'!T$7-'Advanced Entry'!T$6)),1))),"No data"))</f>
        <v/>
      </c>
      <c r="U91" s="17">
        <f>IF('Advanced Entry'!U91="","",IFERROR(MAX(0,MIN(10,ROUND(IF('Advanced Entry'!U$8="Decrease Risk",10-10*((IF('Advanced Entry'!U$5="Logarithm",LN(0.001+'Advanced Entry'!U91),IF('Advanced Entry'!U$5="Exponential",EXP('Advanced Entry'!U91),'Advanced Entry'!U91)))-'Advanced Entry'!U$6)/('Advanced Entry'!U$7-'Advanced Entry'!U$6),10*((IF('Advanced Entry'!U$5="Logarithm",LN(0.001+'Advanced Entry'!U91),IF('Advanced Entry'!U$5="Exponential",EXP('Advanced Entry'!U91),'Advanced Entry'!U91)))-'Advanced Entry'!U$6)/('Advanced Entry'!U$7-'Advanced Entry'!U$6)),1))),"No data"))</f>
        <v/>
      </c>
      <c r="V91" s="17">
        <f>IF('Advanced Entry'!V91="","",IFERROR(MAX(0,MIN(10,ROUND(IF('Advanced Entry'!V$8="Decrease Risk",10-10*((IF('Advanced Entry'!V$5="Logarithm",LN(0.001+'Advanced Entry'!V91),IF('Advanced Entry'!V$5="Exponential",EXP('Advanced Entry'!V91),'Advanced Entry'!V91)))-'Advanced Entry'!V$6)/('Advanced Entry'!V$7-'Advanced Entry'!V$6),10*((IF('Advanced Entry'!V$5="Logarithm",LN(0.001+'Advanced Entry'!V91),IF('Advanced Entry'!V$5="Exponential",EXP('Advanced Entry'!V91),'Advanced Entry'!V91)))-'Advanced Entry'!V$6)/('Advanced Entry'!V$7-'Advanced Entry'!V$6)),1))),"No data"))</f>
        <v/>
      </c>
      <c r="W91" s="17">
        <f>IF('Advanced Entry'!W91="","",IFERROR(MAX(0,MIN(10,ROUND(IF('Advanced Entry'!W$8="Decrease Risk",10-10*((IF('Advanced Entry'!W$5="Logarithm",LN(0.001+'Advanced Entry'!W91),IF('Advanced Entry'!W$5="Exponential",EXP('Advanced Entry'!W91),'Advanced Entry'!W91)))-'Advanced Entry'!W$6)/('Advanced Entry'!W$7-'Advanced Entry'!W$6),10*((IF('Advanced Entry'!W$5="Logarithm",LN(0.001+'Advanced Entry'!W91),IF('Advanced Entry'!W$5="Exponential",EXP('Advanced Entry'!W91),'Advanced Entry'!W91)))-'Advanced Entry'!W$6)/('Advanced Entry'!W$7-'Advanced Entry'!W$6)),1))),"No data"))</f>
        <v/>
      </c>
      <c r="X91" s="17">
        <f>IF('Advanced Entry'!X91="","",IFERROR(MAX(0,MIN(10,ROUND(IF('Advanced Entry'!X$8="Decrease Risk",10-10*((IF('Advanced Entry'!X$5="Logarithm",LN(0.001+'Advanced Entry'!X91),IF('Advanced Entry'!X$5="Exponential",EXP('Advanced Entry'!X91),'Advanced Entry'!X91)))-'Advanced Entry'!X$6)/('Advanced Entry'!X$7-'Advanced Entry'!X$6),10*((IF('Advanced Entry'!X$5="Logarithm",LN(0.001+'Advanced Entry'!X91),IF('Advanced Entry'!X$5="Exponential",EXP('Advanced Entry'!X91),'Advanced Entry'!X91)))-'Advanced Entry'!X$6)/('Advanced Entry'!X$7-'Advanced Entry'!X$6)),1))),"No data"))</f>
        <v/>
      </c>
      <c r="Y91" s="17">
        <f>IF('Advanced Entry'!Y91="","",IFERROR(MAX(0,MIN(10,ROUND(IF('Advanced Entry'!Y$8="Decrease Risk",10-10*((IF('Advanced Entry'!Y$5="Logarithm",LN(0.001+'Advanced Entry'!Y91),IF('Advanced Entry'!Y$5="Exponential",EXP('Advanced Entry'!Y91),'Advanced Entry'!Y91)))-'Advanced Entry'!Y$6)/('Advanced Entry'!Y$7-'Advanced Entry'!Y$6),10*((IF('Advanced Entry'!Y$5="Logarithm",LN(0.001+'Advanced Entry'!Y91),IF('Advanced Entry'!Y$5="Exponential",EXP('Advanced Entry'!Y91),'Advanced Entry'!Y91)))-'Advanced Entry'!Y$6)/('Advanced Entry'!Y$7-'Advanced Entry'!Y$6)),1))),"No data"))</f>
        <v/>
      </c>
      <c r="Z91" s="17">
        <f>IF('Advanced Entry'!Z91="","",IFERROR(MAX(0,MIN(10,ROUND(IF('Advanced Entry'!Z$8="Decrease Risk",10-10*((IF('Advanced Entry'!Z$5="Logarithm",LN(0.001+'Advanced Entry'!Z91),IF('Advanced Entry'!Z$5="Exponential",EXP('Advanced Entry'!Z91),'Advanced Entry'!Z91)))-'Advanced Entry'!Z$6)/('Advanced Entry'!Z$7-'Advanced Entry'!Z$6),10*((IF('Advanced Entry'!Z$5="Logarithm",LN(0.001+'Advanced Entry'!Z91),IF('Advanced Entry'!Z$5="Exponential",EXP('Advanced Entry'!Z91),'Advanced Entry'!Z91)))-'Advanced Entry'!Z$6)/('Advanced Entry'!Z$7-'Advanced Entry'!Z$6)),1))),"No data"))</f>
        <v/>
      </c>
      <c r="AA91" s="17">
        <f>IF('Advanced Entry'!AA91="","",IFERROR(MAX(0,MIN(10,ROUND(IF('Advanced Entry'!AA$8="Decrease Risk",10-10*((IF('Advanced Entry'!AA$5="Logarithm",LN(0.001+'Advanced Entry'!AA91),IF('Advanced Entry'!AA$5="Exponential",EXP('Advanced Entry'!AA91),'Advanced Entry'!AA91)))-'Advanced Entry'!AA$6)/('Advanced Entry'!AA$7-'Advanced Entry'!AA$6),10*((IF('Advanced Entry'!AA$5="Logarithm",LN(0.001+'Advanced Entry'!AA91),IF('Advanced Entry'!AA$5="Exponential",EXP('Advanced Entry'!AA91),'Advanced Entry'!AA91)))-'Advanced Entry'!AA$6)/('Advanced Entry'!AA$7-'Advanced Entry'!AA$6)),1))),"No data"))</f>
        <v/>
      </c>
      <c r="AB91" s="17">
        <f>IF('Advanced Entry'!AB91="","",IFERROR(MAX(0,MIN(10,ROUND(IF('Advanced Entry'!AB$8="Decrease Risk",10-10*((IF('Advanced Entry'!AB$5="Logarithm",LN(0.001+'Advanced Entry'!AB91),IF('Advanced Entry'!AB$5="Exponential",EXP('Advanced Entry'!AB91),'Advanced Entry'!AB91)))-'Advanced Entry'!AB$6)/('Advanced Entry'!AB$7-'Advanced Entry'!AB$6),10*((IF('Advanced Entry'!AB$5="Logarithm",LN(0.001+'Advanced Entry'!AB91),IF('Advanced Entry'!AB$5="Exponential",EXP('Advanced Entry'!AB91),'Advanced Entry'!AB91)))-'Advanced Entry'!AB$6)/('Advanced Entry'!AB$7-'Advanced Entry'!AB$6)),1))),"No data"))</f>
        <v/>
      </c>
    </row>
    <row r="92">
      <c r="A92" t="inlineStr">
        <is>
          <t>Mara</t>
        </is>
      </c>
      <c r="B92" t="inlineStr">
        <is>
          <t>Bunda Town</t>
        </is>
      </c>
      <c r="C92" t="inlineStr">
        <is>
          <t>C147</t>
        </is>
      </c>
      <c r="D92" s="17">
        <f>IF('Advanced Entry'!D92="","",IFERROR(MAX(0,MIN(10,ROUND(IF('Advanced Entry'!D$8="Decrease Risk",10-10*((IF('Advanced Entry'!D$5="Logarithm",LN(0.001+'Advanced Entry'!D92),IF('Advanced Entry'!D$5="Exponential",EXP('Advanced Entry'!D92),'Advanced Entry'!D92)))-'Advanced Entry'!D$6)/('Advanced Entry'!D$7-'Advanced Entry'!D$6),10*((IF('Advanced Entry'!D$5="Logarithm",LN(0.001+'Advanced Entry'!D92),IF('Advanced Entry'!D$5="Exponential",EXP('Advanced Entry'!D92),'Advanced Entry'!D92)))-'Advanced Entry'!D$6)/('Advanced Entry'!D$7-'Advanced Entry'!D$6)),1))),"No data"))</f>
        <v/>
      </c>
      <c r="E92" s="17">
        <f>IF('Advanced Entry'!E92="","",IFERROR(MAX(0,MIN(10,ROUND(IF('Advanced Entry'!E$8="Decrease Risk",10-10*((IF('Advanced Entry'!E$5="Logarithm",LN(0.001+'Advanced Entry'!E92),IF('Advanced Entry'!E$5="Exponential",EXP('Advanced Entry'!E92),'Advanced Entry'!E92)))-'Advanced Entry'!E$6)/('Advanced Entry'!E$7-'Advanced Entry'!E$6),10*((IF('Advanced Entry'!E$5="Logarithm",LN(0.001+'Advanced Entry'!E92),IF('Advanced Entry'!E$5="Exponential",EXP('Advanced Entry'!E92),'Advanced Entry'!E92)))-'Advanced Entry'!E$6)/('Advanced Entry'!E$7-'Advanced Entry'!E$6)),1))),"No data"))</f>
        <v/>
      </c>
      <c r="F92" s="17">
        <f>IF('Advanced Entry'!F92="","",IFERROR(MAX(0,MIN(10,ROUND(IF('Advanced Entry'!F$8="Decrease Risk",10-10*((IF('Advanced Entry'!F$5="Logarithm",LN(0.001+'Advanced Entry'!F92),IF('Advanced Entry'!F$5="Exponential",EXP('Advanced Entry'!F92),'Advanced Entry'!F92)))-'Advanced Entry'!F$6)/('Advanced Entry'!F$7-'Advanced Entry'!F$6),10*((IF('Advanced Entry'!F$5="Logarithm",LN(0.001+'Advanced Entry'!F92),IF('Advanced Entry'!F$5="Exponential",EXP('Advanced Entry'!F92),'Advanced Entry'!F92)))-'Advanced Entry'!F$6)/('Advanced Entry'!F$7-'Advanced Entry'!F$6)),1))),"No data"))</f>
        <v/>
      </c>
      <c r="G92" s="17">
        <f>IF('Advanced Entry'!G92="","",IFERROR(MAX(0,MIN(10,ROUND(IF('Advanced Entry'!G$8="Decrease Risk",10-10*((IF('Advanced Entry'!G$5="Logarithm",LN(0.001+'Advanced Entry'!G92),IF('Advanced Entry'!G$5="Exponential",EXP('Advanced Entry'!G92),'Advanced Entry'!G92)))-'Advanced Entry'!G$6)/('Advanced Entry'!G$7-'Advanced Entry'!G$6),10*((IF('Advanced Entry'!G$5="Logarithm",LN(0.001+'Advanced Entry'!G92),IF('Advanced Entry'!G$5="Exponential",EXP('Advanced Entry'!G92),'Advanced Entry'!G92)))-'Advanced Entry'!G$6)/('Advanced Entry'!G$7-'Advanced Entry'!G$6)),1))),"No data"))</f>
        <v/>
      </c>
      <c r="H92" s="17">
        <f>IF('Advanced Entry'!H92="","",IFERROR(MAX(0,MIN(10,ROUND(IF('Advanced Entry'!H$8="Decrease Risk",10-10*((IF('Advanced Entry'!H$5="Logarithm",LN(0.001+'Advanced Entry'!H92),IF('Advanced Entry'!H$5="Exponential",EXP('Advanced Entry'!H92),'Advanced Entry'!H92)))-'Advanced Entry'!H$6)/('Advanced Entry'!H$7-'Advanced Entry'!H$6),10*((IF('Advanced Entry'!H$5="Logarithm",LN(0.001+'Advanced Entry'!H92),IF('Advanced Entry'!H$5="Exponential",EXP('Advanced Entry'!H92),'Advanced Entry'!H92)))-'Advanced Entry'!H$6)/('Advanced Entry'!H$7-'Advanced Entry'!H$6)),1))),"No data"))</f>
        <v/>
      </c>
      <c r="I92" s="17">
        <f>IF('Advanced Entry'!I92="","",IFERROR(MAX(0,MIN(10,ROUND(IF('Advanced Entry'!I$8="Decrease Risk",10-10*((IF('Advanced Entry'!I$5="Logarithm",LN(0.001+'Advanced Entry'!I92),IF('Advanced Entry'!I$5="Exponential",EXP('Advanced Entry'!I92),'Advanced Entry'!I92)))-'Advanced Entry'!I$6)/('Advanced Entry'!I$7-'Advanced Entry'!I$6),10*((IF('Advanced Entry'!I$5="Logarithm",LN(0.001+'Advanced Entry'!I92),IF('Advanced Entry'!I$5="Exponential",EXP('Advanced Entry'!I92),'Advanced Entry'!I92)))-'Advanced Entry'!I$6)/('Advanced Entry'!I$7-'Advanced Entry'!I$6)),1))),"No data"))</f>
        <v/>
      </c>
      <c r="J92" s="17">
        <f>IF('Advanced Entry'!J92="","",IFERROR(MAX(0,MIN(10,ROUND(IF('Advanced Entry'!J$8="Decrease Risk",10-10*((IF('Advanced Entry'!J$5="Logarithm",LN(0.001+'Advanced Entry'!J92),IF('Advanced Entry'!J$5="Exponential",EXP('Advanced Entry'!J92),'Advanced Entry'!J92)))-'Advanced Entry'!J$6)/('Advanced Entry'!J$7-'Advanced Entry'!J$6),10*((IF('Advanced Entry'!J$5="Logarithm",LN(0.001+'Advanced Entry'!J92),IF('Advanced Entry'!J$5="Exponential",EXP('Advanced Entry'!J92),'Advanced Entry'!J92)))-'Advanced Entry'!J$6)/('Advanced Entry'!J$7-'Advanced Entry'!J$6)),1))),"No data"))</f>
        <v/>
      </c>
      <c r="K92" s="17">
        <f>IF('Advanced Entry'!K92="","",IFERROR(MAX(0,MIN(10,ROUND(IF('Advanced Entry'!K$8="Decrease Risk",10-10*((IF('Advanced Entry'!K$5="Logarithm",LN(0.001+'Advanced Entry'!K92),IF('Advanced Entry'!K$5="Exponential",EXP('Advanced Entry'!K92),'Advanced Entry'!K92)))-'Advanced Entry'!K$6)/('Advanced Entry'!K$7-'Advanced Entry'!K$6),10*((IF('Advanced Entry'!K$5="Logarithm",LN(0.001+'Advanced Entry'!K92),IF('Advanced Entry'!K$5="Exponential",EXP('Advanced Entry'!K92),'Advanced Entry'!K92)))-'Advanced Entry'!K$6)/('Advanced Entry'!K$7-'Advanced Entry'!K$6)),1))),"No data"))</f>
        <v/>
      </c>
      <c r="L92" s="17">
        <f>IF('Advanced Entry'!L92="","",IFERROR(MAX(0,MIN(10,ROUND(IF('Advanced Entry'!L$8="Decrease Risk",10-10*((IF('Advanced Entry'!L$5="Logarithm",LN(0.001+'Advanced Entry'!L92),IF('Advanced Entry'!L$5="Exponential",EXP('Advanced Entry'!L92),'Advanced Entry'!L92)))-'Advanced Entry'!L$6)/('Advanced Entry'!L$7-'Advanced Entry'!L$6),10*((IF('Advanced Entry'!L$5="Logarithm",LN(0.001+'Advanced Entry'!L92),IF('Advanced Entry'!L$5="Exponential",EXP('Advanced Entry'!L92),'Advanced Entry'!L92)))-'Advanced Entry'!L$6)/('Advanced Entry'!L$7-'Advanced Entry'!L$6)),1))),"No data"))</f>
        <v/>
      </c>
      <c r="M92" s="17">
        <f>IF('Advanced Entry'!M92="","",IFERROR(MAX(0,MIN(10,ROUND(IF('Advanced Entry'!M$8="Decrease Risk",10-10*((IF('Advanced Entry'!M$5="Logarithm",LN(0.001+'Advanced Entry'!M92),IF('Advanced Entry'!M$5="Exponential",EXP('Advanced Entry'!M92),'Advanced Entry'!M92)))-'Advanced Entry'!M$6)/('Advanced Entry'!M$7-'Advanced Entry'!M$6),10*((IF('Advanced Entry'!M$5="Logarithm",LN(0.001+'Advanced Entry'!M92),IF('Advanced Entry'!M$5="Exponential",EXP('Advanced Entry'!M92),'Advanced Entry'!M92)))-'Advanced Entry'!M$6)/('Advanced Entry'!M$7-'Advanced Entry'!M$6)),1))),"No data"))</f>
        <v/>
      </c>
      <c r="N92" s="17">
        <f>IF('Advanced Entry'!N92="","",IFERROR(MAX(0,MIN(10,ROUND(IF('Advanced Entry'!N$8="Decrease Risk",10-10*((IF('Advanced Entry'!N$5="Logarithm",LN(0.001+'Advanced Entry'!N92),IF('Advanced Entry'!N$5="Exponential",EXP('Advanced Entry'!N92),'Advanced Entry'!N92)))-'Advanced Entry'!N$6)/('Advanced Entry'!N$7-'Advanced Entry'!N$6),10*((IF('Advanced Entry'!N$5="Logarithm",LN(0.001+'Advanced Entry'!N92),IF('Advanced Entry'!N$5="Exponential",EXP('Advanced Entry'!N92),'Advanced Entry'!N92)))-'Advanced Entry'!N$6)/('Advanced Entry'!N$7-'Advanced Entry'!N$6)),1))),"No data"))</f>
        <v/>
      </c>
      <c r="O92" s="17">
        <f>IF('Advanced Entry'!O92="","",IFERROR(MAX(0,MIN(10,ROUND(IF('Advanced Entry'!O$8="Decrease Risk",10-10*((IF('Advanced Entry'!O$5="Logarithm",LN(0.001+'Advanced Entry'!O92),IF('Advanced Entry'!O$5="Exponential",EXP('Advanced Entry'!O92),'Advanced Entry'!O92)))-'Advanced Entry'!O$6)/('Advanced Entry'!O$7-'Advanced Entry'!O$6),10*((IF('Advanced Entry'!O$5="Logarithm",LN(0.001+'Advanced Entry'!O92),IF('Advanced Entry'!O$5="Exponential",EXP('Advanced Entry'!O92),'Advanced Entry'!O92)))-'Advanced Entry'!O$6)/('Advanced Entry'!O$7-'Advanced Entry'!O$6)),1))),"No data"))</f>
        <v/>
      </c>
      <c r="P92" s="17">
        <f>IF('Advanced Entry'!P92="","",IFERROR(MAX(0,MIN(10,ROUND(IF('Advanced Entry'!P$8="Decrease Risk",10-10*((IF('Advanced Entry'!P$5="Logarithm",LN(0.001+'Advanced Entry'!P92),IF('Advanced Entry'!P$5="Exponential",EXP('Advanced Entry'!P92),'Advanced Entry'!P92)))-'Advanced Entry'!P$6)/('Advanced Entry'!P$7-'Advanced Entry'!P$6),10*((IF('Advanced Entry'!P$5="Logarithm",LN(0.001+'Advanced Entry'!P92),IF('Advanced Entry'!P$5="Exponential",EXP('Advanced Entry'!P92),'Advanced Entry'!P92)))-'Advanced Entry'!P$6)/('Advanced Entry'!P$7-'Advanced Entry'!P$6)),1))),"No data"))</f>
        <v/>
      </c>
      <c r="Q92" s="17">
        <f>IF('Advanced Entry'!Q92="","",IFERROR(MAX(0,MIN(10,ROUND(IF('Advanced Entry'!Q$8="Decrease Risk",10-10*((IF('Advanced Entry'!Q$5="Logarithm",LN(0.001+'Advanced Entry'!Q92),IF('Advanced Entry'!Q$5="Exponential",EXP('Advanced Entry'!Q92),'Advanced Entry'!Q92)))-'Advanced Entry'!Q$6)/('Advanced Entry'!Q$7-'Advanced Entry'!Q$6),10*((IF('Advanced Entry'!Q$5="Logarithm",LN(0.001+'Advanced Entry'!Q92),IF('Advanced Entry'!Q$5="Exponential",EXP('Advanced Entry'!Q92),'Advanced Entry'!Q92)))-'Advanced Entry'!Q$6)/('Advanced Entry'!Q$7-'Advanced Entry'!Q$6)),1))),"No data"))</f>
        <v/>
      </c>
      <c r="R92" s="17">
        <f>IF('Advanced Entry'!R92="","",IFERROR(MAX(0,MIN(10,ROUND(IF('Advanced Entry'!R$8="Decrease Risk",10-10*((IF('Advanced Entry'!R$5="Logarithm",LN(0.001+'Advanced Entry'!R92),IF('Advanced Entry'!R$5="Exponential",EXP('Advanced Entry'!R92),'Advanced Entry'!R92)))-'Advanced Entry'!R$6)/('Advanced Entry'!R$7-'Advanced Entry'!R$6),10*((IF('Advanced Entry'!R$5="Logarithm",LN(0.001+'Advanced Entry'!R92),IF('Advanced Entry'!R$5="Exponential",EXP('Advanced Entry'!R92),'Advanced Entry'!R92)))-'Advanced Entry'!R$6)/('Advanced Entry'!R$7-'Advanced Entry'!R$6)),1))),"No data"))</f>
        <v/>
      </c>
      <c r="S92" s="17">
        <f>IF('Advanced Entry'!S92="","",IFERROR(MAX(0,MIN(10,ROUND(IF('Advanced Entry'!S$8="Decrease Risk",10-10*((IF('Advanced Entry'!S$5="Logarithm",LN(0.001+'Advanced Entry'!S92),IF('Advanced Entry'!S$5="Exponential",EXP('Advanced Entry'!S92),'Advanced Entry'!S92)))-'Advanced Entry'!S$6)/('Advanced Entry'!S$7-'Advanced Entry'!S$6),10*((IF('Advanced Entry'!S$5="Logarithm",LN(0.001+'Advanced Entry'!S92),IF('Advanced Entry'!S$5="Exponential",EXP('Advanced Entry'!S92),'Advanced Entry'!S92)))-'Advanced Entry'!S$6)/('Advanced Entry'!S$7-'Advanced Entry'!S$6)),1))),"No data"))</f>
        <v/>
      </c>
      <c r="T92" s="17">
        <f>IF('Advanced Entry'!T92="","",IFERROR(MAX(0,MIN(10,ROUND(IF('Advanced Entry'!T$8="Decrease Risk",10-10*((IF('Advanced Entry'!T$5="Logarithm",LN(0.001+'Advanced Entry'!T92),IF('Advanced Entry'!T$5="Exponential",EXP('Advanced Entry'!T92),'Advanced Entry'!T92)))-'Advanced Entry'!T$6)/('Advanced Entry'!T$7-'Advanced Entry'!T$6),10*((IF('Advanced Entry'!T$5="Logarithm",LN(0.001+'Advanced Entry'!T92),IF('Advanced Entry'!T$5="Exponential",EXP('Advanced Entry'!T92),'Advanced Entry'!T92)))-'Advanced Entry'!T$6)/('Advanced Entry'!T$7-'Advanced Entry'!T$6)),1))),"No data"))</f>
        <v/>
      </c>
      <c r="U92" s="17">
        <f>IF('Advanced Entry'!U92="","",IFERROR(MAX(0,MIN(10,ROUND(IF('Advanced Entry'!U$8="Decrease Risk",10-10*((IF('Advanced Entry'!U$5="Logarithm",LN(0.001+'Advanced Entry'!U92),IF('Advanced Entry'!U$5="Exponential",EXP('Advanced Entry'!U92),'Advanced Entry'!U92)))-'Advanced Entry'!U$6)/('Advanced Entry'!U$7-'Advanced Entry'!U$6),10*((IF('Advanced Entry'!U$5="Logarithm",LN(0.001+'Advanced Entry'!U92),IF('Advanced Entry'!U$5="Exponential",EXP('Advanced Entry'!U92),'Advanced Entry'!U92)))-'Advanced Entry'!U$6)/('Advanced Entry'!U$7-'Advanced Entry'!U$6)),1))),"No data"))</f>
        <v/>
      </c>
      <c r="V92" s="17">
        <f>IF('Advanced Entry'!V92="","",IFERROR(MAX(0,MIN(10,ROUND(IF('Advanced Entry'!V$8="Decrease Risk",10-10*((IF('Advanced Entry'!V$5="Logarithm",LN(0.001+'Advanced Entry'!V92),IF('Advanced Entry'!V$5="Exponential",EXP('Advanced Entry'!V92),'Advanced Entry'!V92)))-'Advanced Entry'!V$6)/('Advanced Entry'!V$7-'Advanced Entry'!V$6),10*((IF('Advanced Entry'!V$5="Logarithm",LN(0.001+'Advanced Entry'!V92),IF('Advanced Entry'!V$5="Exponential",EXP('Advanced Entry'!V92),'Advanced Entry'!V92)))-'Advanced Entry'!V$6)/('Advanced Entry'!V$7-'Advanced Entry'!V$6)),1))),"No data"))</f>
        <v/>
      </c>
      <c r="W92" s="17">
        <f>IF('Advanced Entry'!W92="","",IFERROR(MAX(0,MIN(10,ROUND(IF('Advanced Entry'!W$8="Decrease Risk",10-10*((IF('Advanced Entry'!W$5="Logarithm",LN(0.001+'Advanced Entry'!W92),IF('Advanced Entry'!W$5="Exponential",EXP('Advanced Entry'!W92),'Advanced Entry'!W92)))-'Advanced Entry'!W$6)/('Advanced Entry'!W$7-'Advanced Entry'!W$6),10*((IF('Advanced Entry'!W$5="Logarithm",LN(0.001+'Advanced Entry'!W92),IF('Advanced Entry'!W$5="Exponential",EXP('Advanced Entry'!W92),'Advanced Entry'!W92)))-'Advanced Entry'!W$6)/('Advanced Entry'!W$7-'Advanced Entry'!W$6)),1))),"No data"))</f>
        <v/>
      </c>
      <c r="X92" s="17">
        <f>IF('Advanced Entry'!X92="","",IFERROR(MAX(0,MIN(10,ROUND(IF('Advanced Entry'!X$8="Decrease Risk",10-10*((IF('Advanced Entry'!X$5="Logarithm",LN(0.001+'Advanced Entry'!X92),IF('Advanced Entry'!X$5="Exponential",EXP('Advanced Entry'!X92),'Advanced Entry'!X92)))-'Advanced Entry'!X$6)/('Advanced Entry'!X$7-'Advanced Entry'!X$6),10*((IF('Advanced Entry'!X$5="Logarithm",LN(0.001+'Advanced Entry'!X92),IF('Advanced Entry'!X$5="Exponential",EXP('Advanced Entry'!X92),'Advanced Entry'!X92)))-'Advanced Entry'!X$6)/('Advanced Entry'!X$7-'Advanced Entry'!X$6)),1))),"No data"))</f>
        <v/>
      </c>
      <c r="Y92" s="17">
        <f>IF('Advanced Entry'!Y92="","",IFERROR(MAX(0,MIN(10,ROUND(IF('Advanced Entry'!Y$8="Decrease Risk",10-10*((IF('Advanced Entry'!Y$5="Logarithm",LN(0.001+'Advanced Entry'!Y92),IF('Advanced Entry'!Y$5="Exponential",EXP('Advanced Entry'!Y92),'Advanced Entry'!Y92)))-'Advanced Entry'!Y$6)/('Advanced Entry'!Y$7-'Advanced Entry'!Y$6),10*((IF('Advanced Entry'!Y$5="Logarithm",LN(0.001+'Advanced Entry'!Y92),IF('Advanced Entry'!Y$5="Exponential",EXP('Advanced Entry'!Y92),'Advanced Entry'!Y92)))-'Advanced Entry'!Y$6)/('Advanced Entry'!Y$7-'Advanced Entry'!Y$6)),1))),"No data"))</f>
        <v/>
      </c>
      <c r="Z92" s="17">
        <f>IF('Advanced Entry'!Z92="","",IFERROR(MAX(0,MIN(10,ROUND(IF('Advanced Entry'!Z$8="Decrease Risk",10-10*((IF('Advanced Entry'!Z$5="Logarithm",LN(0.001+'Advanced Entry'!Z92),IF('Advanced Entry'!Z$5="Exponential",EXP('Advanced Entry'!Z92),'Advanced Entry'!Z92)))-'Advanced Entry'!Z$6)/('Advanced Entry'!Z$7-'Advanced Entry'!Z$6),10*((IF('Advanced Entry'!Z$5="Logarithm",LN(0.001+'Advanced Entry'!Z92),IF('Advanced Entry'!Z$5="Exponential",EXP('Advanced Entry'!Z92),'Advanced Entry'!Z92)))-'Advanced Entry'!Z$6)/('Advanced Entry'!Z$7-'Advanced Entry'!Z$6)),1))),"No data"))</f>
        <v/>
      </c>
      <c r="AA92" s="17">
        <f>IF('Advanced Entry'!AA92="","",IFERROR(MAX(0,MIN(10,ROUND(IF('Advanced Entry'!AA$8="Decrease Risk",10-10*((IF('Advanced Entry'!AA$5="Logarithm",LN(0.001+'Advanced Entry'!AA92),IF('Advanced Entry'!AA$5="Exponential",EXP('Advanced Entry'!AA92),'Advanced Entry'!AA92)))-'Advanced Entry'!AA$6)/('Advanced Entry'!AA$7-'Advanced Entry'!AA$6),10*((IF('Advanced Entry'!AA$5="Logarithm",LN(0.001+'Advanced Entry'!AA92),IF('Advanced Entry'!AA$5="Exponential",EXP('Advanced Entry'!AA92),'Advanced Entry'!AA92)))-'Advanced Entry'!AA$6)/('Advanced Entry'!AA$7-'Advanced Entry'!AA$6)),1))),"No data"))</f>
        <v/>
      </c>
      <c r="AB92" s="17">
        <f>IF('Advanced Entry'!AB92="","",IFERROR(MAX(0,MIN(10,ROUND(IF('Advanced Entry'!AB$8="Decrease Risk",10-10*((IF('Advanced Entry'!AB$5="Logarithm",LN(0.001+'Advanced Entry'!AB92),IF('Advanced Entry'!AB$5="Exponential",EXP('Advanced Entry'!AB92),'Advanced Entry'!AB92)))-'Advanced Entry'!AB$6)/('Advanced Entry'!AB$7-'Advanced Entry'!AB$6),10*((IF('Advanced Entry'!AB$5="Logarithm",LN(0.001+'Advanced Entry'!AB92),IF('Advanced Entry'!AB$5="Exponential",EXP('Advanced Entry'!AB92),'Advanced Entry'!AB92)))-'Advanced Entry'!AB$6)/('Advanced Entry'!AB$7-'Advanced Entry'!AB$6)),1))),"No data"))</f>
        <v/>
      </c>
    </row>
    <row r="93">
      <c r="A93" t="inlineStr">
        <is>
          <t>Mara</t>
        </is>
      </c>
      <c r="B93" t="inlineStr">
        <is>
          <t>Butiama District</t>
        </is>
      </c>
      <c r="C93" t="inlineStr">
        <is>
          <t>C148</t>
        </is>
      </c>
      <c r="D93" s="17">
        <f>IF('Advanced Entry'!D93="","",IFERROR(MAX(0,MIN(10,ROUND(IF('Advanced Entry'!D$8="Decrease Risk",10-10*((IF('Advanced Entry'!D$5="Logarithm",LN(0.001+'Advanced Entry'!D93),IF('Advanced Entry'!D$5="Exponential",EXP('Advanced Entry'!D93),'Advanced Entry'!D93)))-'Advanced Entry'!D$6)/('Advanced Entry'!D$7-'Advanced Entry'!D$6),10*((IF('Advanced Entry'!D$5="Logarithm",LN(0.001+'Advanced Entry'!D93),IF('Advanced Entry'!D$5="Exponential",EXP('Advanced Entry'!D93),'Advanced Entry'!D93)))-'Advanced Entry'!D$6)/('Advanced Entry'!D$7-'Advanced Entry'!D$6)),1))),"No data"))</f>
        <v/>
      </c>
      <c r="E93" s="17">
        <f>IF('Advanced Entry'!E93="","",IFERROR(MAX(0,MIN(10,ROUND(IF('Advanced Entry'!E$8="Decrease Risk",10-10*((IF('Advanced Entry'!E$5="Logarithm",LN(0.001+'Advanced Entry'!E93),IF('Advanced Entry'!E$5="Exponential",EXP('Advanced Entry'!E93),'Advanced Entry'!E93)))-'Advanced Entry'!E$6)/('Advanced Entry'!E$7-'Advanced Entry'!E$6),10*((IF('Advanced Entry'!E$5="Logarithm",LN(0.001+'Advanced Entry'!E93),IF('Advanced Entry'!E$5="Exponential",EXP('Advanced Entry'!E93),'Advanced Entry'!E93)))-'Advanced Entry'!E$6)/('Advanced Entry'!E$7-'Advanced Entry'!E$6)),1))),"No data"))</f>
        <v/>
      </c>
      <c r="F93" s="17">
        <f>IF('Advanced Entry'!F93="","",IFERROR(MAX(0,MIN(10,ROUND(IF('Advanced Entry'!F$8="Decrease Risk",10-10*((IF('Advanced Entry'!F$5="Logarithm",LN(0.001+'Advanced Entry'!F93),IF('Advanced Entry'!F$5="Exponential",EXP('Advanced Entry'!F93),'Advanced Entry'!F93)))-'Advanced Entry'!F$6)/('Advanced Entry'!F$7-'Advanced Entry'!F$6),10*((IF('Advanced Entry'!F$5="Logarithm",LN(0.001+'Advanced Entry'!F93),IF('Advanced Entry'!F$5="Exponential",EXP('Advanced Entry'!F93),'Advanced Entry'!F93)))-'Advanced Entry'!F$6)/('Advanced Entry'!F$7-'Advanced Entry'!F$6)),1))),"No data"))</f>
        <v/>
      </c>
      <c r="G93" s="17">
        <f>IF('Advanced Entry'!G93="","",IFERROR(MAX(0,MIN(10,ROUND(IF('Advanced Entry'!G$8="Decrease Risk",10-10*((IF('Advanced Entry'!G$5="Logarithm",LN(0.001+'Advanced Entry'!G93),IF('Advanced Entry'!G$5="Exponential",EXP('Advanced Entry'!G93),'Advanced Entry'!G93)))-'Advanced Entry'!G$6)/('Advanced Entry'!G$7-'Advanced Entry'!G$6),10*((IF('Advanced Entry'!G$5="Logarithm",LN(0.001+'Advanced Entry'!G93),IF('Advanced Entry'!G$5="Exponential",EXP('Advanced Entry'!G93),'Advanced Entry'!G93)))-'Advanced Entry'!G$6)/('Advanced Entry'!G$7-'Advanced Entry'!G$6)),1))),"No data"))</f>
        <v/>
      </c>
      <c r="H93" s="17">
        <f>IF('Advanced Entry'!H93="","",IFERROR(MAX(0,MIN(10,ROUND(IF('Advanced Entry'!H$8="Decrease Risk",10-10*((IF('Advanced Entry'!H$5="Logarithm",LN(0.001+'Advanced Entry'!H93),IF('Advanced Entry'!H$5="Exponential",EXP('Advanced Entry'!H93),'Advanced Entry'!H93)))-'Advanced Entry'!H$6)/('Advanced Entry'!H$7-'Advanced Entry'!H$6),10*((IF('Advanced Entry'!H$5="Logarithm",LN(0.001+'Advanced Entry'!H93),IF('Advanced Entry'!H$5="Exponential",EXP('Advanced Entry'!H93),'Advanced Entry'!H93)))-'Advanced Entry'!H$6)/('Advanced Entry'!H$7-'Advanced Entry'!H$6)),1))),"No data"))</f>
        <v/>
      </c>
      <c r="I93" s="17">
        <f>IF('Advanced Entry'!I93="","",IFERROR(MAX(0,MIN(10,ROUND(IF('Advanced Entry'!I$8="Decrease Risk",10-10*((IF('Advanced Entry'!I$5="Logarithm",LN(0.001+'Advanced Entry'!I93),IF('Advanced Entry'!I$5="Exponential",EXP('Advanced Entry'!I93),'Advanced Entry'!I93)))-'Advanced Entry'!I$6)/('Advanced Entry'!I$7-'Advanced Entry'!I$6),10*((IF('Advanced Entry'!I$5="Logarithm",LN(0.001+'Advanced Entry'!I93),IF('Advanced Entry'!I$5="Exponential",EXP('Advanced Entry'!I93),'Advanced Entry'!I93)))-'Advanced Entry'!I$6)/('Advanced Entry'!I$7-'Advanced Entry'!I$6)),1))),"No data"))</f>
        <v/>
      </c>
      <c r="J93" s="17">
        <f>IF('Advanced Entry'!J93="","",IFERROR(MAX(0,MIN(10,ROUND(IF('Advanced Entry'!J$8="Decrease Risk",10-10*((IF('Advanced Entry'!J$5="Logarithm",LN(0.001+'Advanced Entry'!J93),IF('Advanced Entry'!J$5="Exponential",EXP('Advanced Entry'!J93),'Advanced Entry'!J93)))-'Advanced Entry'!J$6)/('Advanced Entry'!J$7-'Advanced Entry'!J$6),10*((IF('Advanced Entry'!J$5="Logarithm",LN(0.001+'Advanced Entry'!J93),IF('Advanced Entry'!J$5="Exponential",EXP('Advanced Entry'!J93),'Advanced Entry'!J93)))-'Advanced Entry'!J$6)/('Advanced Entry'!J$7-'Advanced Entry'!J$6)),1))),"No data"))</f>
        <v/>
      </c>
      <c r="K93" s="17">
        <f>IF('Advanced Entry'!K93="","",IFERROR(MAX(0,MIN(10,ROUND(IF('Advanced Entry'!K$8="Decrease Risk",10-10*((IF('Advanced Entry'!K$5="Logarithm",LN(0.001+'Advanced Entry'!K93),IF('Advanced Entry'!K$5="Exponential",EXP('Advanced Entry'!K93),'Advanced Entry'!K93)))-'Advanced Entry'!K$6)/('Advanced Entry'!K$7-'Advanced Entry'!K$6),10*((IF('Advanced Entry'!K$5="Logarithm",LN(0.001+'Advanced Entry'!K93),IF('Advanced Entry'!K$5="Exponential",EXP('Advanced Entry'!K93),'Advanced Entry'!K93)))-'Advanced Entry'!K$6)/('Advanced Entry'!K$7-'Advanced Entry'!K$6)),1))),"No data"))</f>
        <v/>
      </c>
      <c r="L93" s="17">
        <f>IF('Advanced Entry'!L93="","",IFERROR(MAX(0,MIN(10,ROUND(IF('Advanced Entry'!L$8="Decrease Risk",10-10*((IF('Advanced Entry'!L$5="Logarithm",LN(0.001+'Advanced Entry'!L93),IF('Advanced Entry'!L$5="Exponential",EXP('Advanced Entry'!L93),'Advanced Entry'!L93)))-'Advanced Entry'!L$6)/('Advanced Entry'!L$7-'Advanced Entry'!L$6),10*((IF('Advanced Entry'!L$5="Logarithm",LN(0.001+'Advanced Entry'!L93),IF('Advanced Entry'!L$5="Exponential",EXP('Advanced Entry'!L93),'Advanced Entry'!L93)))-'Advanced Entry'!L$6)/('Advanced Entry'!L$7-'Advanced Entry'!L$6)),1))),"No data"))</f>
        <v/>
      </c>
      <c r="M93" s="17">
        <f>IF('Advanced Entry'!M93="","",IFERROR(MAX(0,MIN(10,ROUND(IF('Advanced Entry'!M$8="Decrease Risk",10-10*((IF('Advanced Entry'!M$5="Logarithm",LN(0.001+'Advanced Entry'!M93),IF('Advanced Entry'!M$5="Exponential",EXP('Advanced Entry'!M93),'Advanced Entry'!M93)))-'Advanced Entry'!M$6)/('Advanced Entry'!M$7-'Advanced Entry'!M$6),10*((IF('Advanced Entry'!M$5="Logarithm",LN(0.001+'Advanced Entry'!M93),IF('Advanced Entry'!M$5="Exponential",EXP('Advanced Entry'!M93),'Advanced Entry'!M93)))-'Advanced Entry'!M$6)/('Advanced Entry'!M$7-'Advanced Entry'!M$6)),1))),"No data"))</f>
        <v/>
      </c>
      <c r="N93" s="17">
        <f>IF('Advanced Entry'!N93="","",IFERROR(MAX(0,MIN(10,ROUND(IF('Advanced Entry'!N$8="Decrease Risk",10-10*((IF('Advanced Entry'!N$5="Logarithm",LN(0.001+'Advanced Entry'!N93),IF('Advanced Entry'!N$5="Exponential",EXP('Advanced Entry'!N93),'Advanced Entry'!N93)))-'Advanced Entry'!N$6)/('Advanced Entry'!N$7-'Advanced Entry'!N$6),10*((IF('Advanced Entry'!N$5="Logarithm",LN(0.001+'Advanced Entry'!N93),IF('Advanced Entry'!N$5="Exponential",EXP('Advanced Entry'!N93),'Advanced Entry'!N93)))-'Advanced Entry'!N$6)/('Advanced Entry'!N$7-'Advanced Entry'!N$6)),1))),"No data"))</f>
        <v/>
      </c>
      <c r="O93" s="17">
        <f>IF('Advanced Entry'!O93="","",IFERROR(MAX(0,MIN(10,ROUND(IF('Advanced Entry'!O$8="Decrease Risk",10-10*((IF('Advanced Entry'!O$5="Logarithm",LN(0.001+'Advanced Entry'!O93),IF('Advanced Entry'!O$5="Exponential",EXP('Advanced Entry'!O93),'Advanced Entry'!O93)))-'Advanced Entry'!O$6)/('Advanced Entry'!O$7-'Advanced Entry'!O$6),10*((IF('Advanced Entry'!O$5="Logarithm",LN(0.001+'Advanced Entry'!O93),IF('Advanced Entry'!O$5="Exponential",EXP('Advanced Entry'!O93),'Advanced Entry'!O93)))-'Advanced Entry'!O$6)/('Advanced Entry'!O$7-'Advanced Entry'!O$6)),1))),"No data"))</f>
        <v/>
      </c>
      <c r="P93" s="17">
        <f>IF('Advanced Entry'!P93="","",IFERROR(MAX(0,MIN(10,ROUND(IF('Advanced Entry'!P$8="Decrease Risk",10-10*((IF('Advanced Entry'!P$5="Logarithm",LN(0.001+'Advanced Entry'!P93),IF('Advanced Entry'!P$5="Exponential",EXP('Advanced Entry'!P93),'Advanced Entry'!P93)))-'Advanced Entry'!P$6)/('Advanced Entry'!P$7-'Advanced Entry'!P$6),10*((IF('Advanced Entry'!P$5="Logarithm",LN(0.001+'Advanced Entry'!P93),IF('Advanced Entry'!P$5="Exponential",EXP('Advanced Entry'!P93),'Advanced Entry'!P93)))-'Advanced Entry'!P$6)/('Advanced Entry'!P$7-'Advanced Entry'!P$6)),1))),"No data"))</f>
        <v/>
      </c>
      <c r="Q93" s="17">
        <f>IF('Advanced Entry'!Q93="","",IFERROR(MAX(0,MIN(10,ROUND(IF('Advanced Entry'!Q$8="Decrease Risk",10-10*((IF('Advanced Entry'!Q$5="Logarithm",LN(0.001+'Advanced Entry'!Q93),IF('Advanced Entry'!Q$5="Exponential",EXP('Advanced Entry'!Q93),'Advanced Entry'!Q93)))-'Advanced Entry'!Q$6)/('Advanced Entry'!Q$7-'Advanced Entry'!Q$6),10*((IF('Advanced Entry'!Q$5="Logarithm",LN(0.001+'Advanced Entry'!Q93),IF('Advanced Entry'!Q$5="Exponential",EXP('Advanced Entry'!Q93),'Advanced Entry'!Q93)))-'Advanced Entry'!Q$6)/('Advanced Entry'!Q$7-'Advanced Entry'!Q$6)),1))),"No data"))</f>
        <v/>
      </c>
      <c r="R93" s="17">
        <f>IF('Advanced Entry'!R93="","",IFERROR(MAX(0,MIN(10,ROUND(IF('Advanced Entry'!R$8="Decrease Risk",10-10*((IF('Advanced Entry'!R$5="Logarithm",LN(0.001+'Advanced Entry'!R93),IF('Advanced Entry'!R$5="Exponential",EXP('Advanced Entry'!R93),'Advanced Entry'!R93)))-'Advanced Entry'!R$6)/('Advanced Entry'!R$7-'Advanced Entry'!R$6),10*((IF('Advanced Entry'!R$5="Logarithm",LN(0.001+'Advanced Entry'!R93),IF('Advanced Entry'!R$5="Exponential",EXP('Advanced Entry'!R93),'Advanced Entry'!R93)))-'Advanced Entry'!R$6)/('Advanced Entry'!R$7-'Advanced Entry'!R$6)),1))),"No data"))</f>
        <v/>
      </c>
      <c r="S93" s="17">
        <f>IF('Advanced Entry'!S93="","",IFERROR(MAX(0,MIN(10,ROUND(IF('Advanced Entry'!S$8="Decrease Risk",10-10*((IF('Advanced Entry'!S$5="Logarithm",LN(0.001+'Advanced Entry'!S93),IF('Advanced Entry'!S$5="Exponential",EXP('Advanced Entry'!S93),'Advanced Entry'!S93)))-'Advanced Entry'!S$6)/('Advanced Entry'!S$7-'Advanced Entry'!S$6),10*((IF('Advanced Entry'!S$5="Logarithm",LN(0.001+'Advanced Entry'!S93),IF('Advanced Entry'!S$5="Exponential",EXP('Advanced Entry'!S93),'Advanced Entry'!S93)))-'Advanced Entry'!S$6)/('Advanced Entry'!S$7-'Advanced Entry'!S$6)),1))),"No data"))</f>
        <v/>
      </c>
      <c r="T93" s="17">
        <f>IF('Advanced Entry'!T93="","",IFERROR(MAX(0,MIN(10,ROUND(IF('Advanced Entry'!T$8="Decrease Risk",10-10*((IF('Advanced Entry'!T$5="Logarithm",LN(0.001+'Advanced Entry'!T93),IF('Advanced Entry'!T$5="Exponential",EXP('Advanced Entry'!T93),'Advanced Entry'!T93)))-'Advanced Entry'!T$6)/('Advanced Entry'!T$7-'Advanced Entry'!T$6),10*((IF('Advanced Entry'!T$5="Logarithm",LN(0.001+'Advanced Entry'!T93),IF('Advanced Entry'!T$5="Exponential",EXP('Advanced Entry'!T93),'Advanced Entry'!T93)))-'Advanced Entry'!T$6)/('Advanced Entry'!T$7-'Advanced Entry'!T$6)),1))),"No data"))</f>
        <v/>
      </c>
      <c r="U93" s="17">
        <f>IF('Advanced Entry'!U93="","",IFERROR(MAX(0,MIN(10,ROUND(IF('Advanced Entry'!U$8="Decrease Risk",10-10*((IF('Advanced Entry'!U$5="Logarithm",LN(0.001+'Advanced Entry'!U93),IF('Advanced Entry'!U$5="Exponential",EXP('Advanced Entry'!U93),'Advanced Entry'!U93)))-'Advanced Entry'!U$6)/('Advanced Entry'!U$7-'Advanced Entry'!U$6),10*((IF('Advanced Entry'!U$5="Logarithm",LN(0.001+'Advanced Entry'!U93),IF('Advanced Entry'!U$5="Exponential",EXP('Advanced Entry'!U93),'Advanced Entry'!U93)))-'Advanced Entry'!U$6)/('Advanced Entry'!U$7-'Advanced Entry'!U$6)),1))),"No data"))</f>
        <v/>
      </c>
      <c r="V93" s="17">
        <f>IF('Advanced Entry'!V93="","",IFERROR(MAX(0,MIN(10,ROUND(IF('Advanced Entry'!V$8="Decrease Risk",10-10*((IF('Advanced Entry'!V$5="Logarithm",LN(0.001+'Advanced Entry'!V93),IF('Advanced Entry'!V$5="Exponential",EXP('Advanced Entry'!V93),'Advanced Entry'!V93)))-'Advanced Entry'!V$6)/('Advanced Entry'!V$7-'Advanced Entry'!V$6),10*((IF('Advanced Entry'!V$5="Logarithm",LN(0.001+'Advanced Entry'!V93),IF('Advanced Entry'!V$5="Exponential",EXP('Advanced Entry'!V93),'Advanced Entry'!V93)))-'Advanced Entry'!V$6)/('Advanced Entry'!V$7-'Advanced Entry'!V$6)),1))),"No data"))</f>
        <v/>
      </c>
      <c r="W93" s="17">
        <f>IF('Advanced Entry'!W93="","",IFERROR(MAX(0,MIN(10,ROUND(IF('Advanced Entry'!W$8="Decrease Risk",10-10*((IF('Advanced Entry'!W$5="Logarithm",LN(0.001+'Advanced Entry'!W93),IF('Advanced Entry'!W$5="Exponential",EXP('Advanced Entry'!W93),'Advanced Entry'!W93)))-'Advanced Entry'!W$6)/('Advanced Entry'!W$7-'Advanced Entry'!W$6),10*((IF('Advanced Entry'!W$5="Logarithm",LN(0.001+'Advanced Entry'!W93),IF('Advanced Entry'!W$5="Exponential",EXP('Advanced Entry'!W93),'Advanced Entry'!W93)))-'Advanced Entry'!W$6)/('Advanced Entry'!W$7-'Advanced Entry'!W$6)),1))),"No data"))</f>
        <v/>
      </c>
      <c r="X93" s="17">
        <f>IF('Advanced Entry'!X93="","",IFERROR(MAX(0,MIN(10,ROUND(IF('Advanced Entry'!X$8="Decrease Risk",10-10*((IF('Advanced Entry'!X$5="Logarithm",LN(0.001+'Advanced Entry'!X93),IF('Advanced Entry'!X$5="Exponential",EXP('Advanced Entry'!X93),'Advanced Entry'!X93)))-'Advanced Entry'!X$6)/('Advanced Entry'!X$7-'Advanced Entry'!X$6),10*((IF('Advanced Entry'!X$5="Logarithm",LN(0.001+'Advanced Entry'!X93),IF('Advanced Entry'!X$5="Exponential",EXP('Advanced Entry'!X93),'Advanced Entry'!X93)))-'Advanced Entry'!X$6)/('Advanced Entry'!X$7-'Advanced Entry'!X$6)),1))),"No data"))</f>
        <v/>
      </c>
      <c r="Y93" s="17">
        <f>IF('Advanced Entry'!Y93="","",IFERROR(MAX(0,MIN(10,ROUND(IF('Advanced Entry'!Y$8="Decrease Risk",10-10*((IF('Advanced Entry'!Y$5="Logarithm",LN(0.001+'Advanced Entry'!Y93),IF('Advanced Entry'!Y$5="Exponential",EXP('Advanced Entry'!Y93),'Advanced Entry'!Y93)))-'Advanced Entry'!Y$6)/('Advanced Entry'!Y$7-'Advanced Entry'!Y$6),10*((IF('Advanced Entry'!Y$5="Logarithm",LN(0.001+'Advanced Entry'!Y93),IF('Advanced Entry'!Y$5="Exponential",EXP('Advanced Entry'!Y93),'Advanced Entry'!Y93)))-'Advanced Entry'!Y$6)/('Advanced Entry'!Y$7-'Advanced Entry'!Y$6)),1))),"No data"))</f>
        <v/>
      </c>
      <c r="Z93" s="17">
        <f>IF('Advanced Entry'!Z93="","",IFERROR(MAX(0,MIN(10,ROUND(IF('Advanced Entry'!Z$8="Decrease Risk",10-10*((IF('Advanced Entry'!Z$5="Logarithm",LN(0.001+'Advanced Entry'!Z93),IF('Advanced Entry'!Z$5="Exponential",EXP('Advanced Entry'!Z93),'Advanced Entry'!Z93)))-'Advanced Entry'!Z$6)/('Advanced Entry'!Z$7-'Advanced Entry'!Z$6),10*((IF('Advanced Entry'!Z$5="Logarithm",LN(0.001+'Advanced Entry'!Z93),IF('Advanced Entry'!Z$5="Exponential",EXP('Advanced Entry'!Z93),'Advanced Entry'!Z93)))-'Advanced Entry'!Z$6)/('Advanced Entry'!Z$7-'Advanced Entry'!Z$6)),1))),"No data"))</f>
        <v/>
      </c>
      <c r="AA93" s="17">
        <f>IF('Advanced Entry'!AA93="","",IFERROR(MAX(0,MIN(10,ROUND(IF('Advanced Entry'!AA$8="Decrease Risk",10-10*((IF('Advanced Entry'!AA$5="Logarithm",LN(0.001+'Advanced Entry'!AA93),IF('Advanced Entry'!AA$5="Exponential",EXP('Advanced Entry'!AA93),'Advanced Entry'!AA93)))-'Advanced Entry'!AA$6)/('Advanced Entry'!AA$7-'Advanced Entry'!AA$6),10*((IF('Advanced Entry'!AA$5="Logarithm",LN(0.001+'Advanced Entry'!AA93),IF('Advanced Entry'!AA$5="Exponential",EXP('Advanced Entry'!AA93),'Advanced Entry'!AA93)))-'Advanced Entry'!AA$6)/('Advanced Entry'!AA$7-'Advanced Entry'!AA$6)),1))),"No data"))</f>
        <v/>
      </c>
      <c r="AB93" s="17">
        <f>IF('Advanced Entry'!AB93="","",IFERROR(MAX(0,MIN(10,ROUND(IF('Advanced Entry'!AB$8="Decrease Risk",10-10*((IF('Advanced Entry'!AB$5="Logarithm",LN(0.001+'Advanced Entry'!AB93),IF('Advanced Entry'!AB$5="Exponential",EXP('Advanced Entry'!AB93),'Advanced Entry'!AB93)))-'Advanced Entry'!AB$6)/('Advanced Entry'!AB$7-'Advanced Entry'!AB$6),10*((IF('Advanced Entry'!AB$5="Logarithm",LN(0.001+'Advanced Entry'!AB93),IF('Advanced Entry'!AB$5="Exponential",EXP('Advanced Entry'!AB93),'Advanced Entry'!AB93)))-'Advanced Entry'!AB$6)/('Advanced Entry'!AB$7-'Advanced Entry'!AB$6)),1))),"No data"))</f>
        <v/>
      </c>
    </row>
    <row r="94">
      <c r="A94" t="inlineStr">
        <is>
          <t>Mara</t>
        </is>
      </c>
      <c r="B94" t="inlineStr">
        <is>
          <t>Musoma District</t>
        </is>
      </c>
      <c r="C94" t="inlineStr">
        <is>
          <t>C144</t>
        </is>
      </c>
      <c r="D94" s="17">
        <f>IF('Advanced Entry'!D94="","",IFERROR(MAX(0,MIN(10,ROUND(IF('Advanced Entry'!D$8="Decrease Risk",10-10*((IF('Advanced Entry'!D$5="Logarithm",LN(0.001+'Advanced Entry'!D94),IF('Advanced Entry'!D$5="Exponential",EXP('Advanced Entry'!D94),'Advanced Entry'!D94)))-'Advanced Entry'!D$6)/('Advanced Entry'!D$7-'Advanced Entry'!D$6),10*((IF('Advanced Entry'!D$5="Logarithm",LN(0.001+'Advanced Entry'!D94),IF('Advanced Entry'!D$5="Exponential",EXP('Advanced Entry'!D94),'Advanced Entry'!D94)))-'Advanced Entry'!D$6)/('Advanced Entry'!D$7-'Advanced Entry'!D$6)),1))),"No data"))</f>
        <v/>
      </c>
      <c r="E94" s="17">
        <f>IF('Advanced Entry'!E94="","",IFERROR(MAX(0,MIN(10,ROUND(IF('Advanced Entry'!E$8="Decrease Risk",10-10*((IF('Advanced Entry'!E$5="Logarithm",LN(0.001+'Advanced Entry'!E94),IF('Advanced Entry'!E$5="Exponential",EXP('Advanced Entry'!E94),'Advanced Entry'!E94)))-'Advanced Entry'!E$6)/('Advanced Entry'!E$7-'Advanced Entry'!E$6),10*((IF('Advanced Entry'!E$5="Logarithm",LN(0.001+'Advanced Entry'!E94),IF('Advanced Entry'!E$5="Exponential",EXP('Advanced Entry'!E94),'Advanced Entry'!E94)))-'Advanced Entry'!E$6)/('Advanced Entry'!E$7-'Advanced Entry'!E$6)),1))),"No data"))</f>
        <v/>
      </c>
      <c r="F94" s="17">
        <f>IF('Advanced Entry'!F94="","",IFERROR(MAX(0,MIN(10,ROUND(IF('Advanced Entry'!F$8="Decrease Risk",10-10*((IF('Advanced Entry'!F$5="Logarithm",LN(0.001+'Advanced Entry'!F94),IF('Advanced Entry'!F$5="Exponential",EXP('Advanced Entry'!F94),'Advanced Entry'!F94)))-'Advanced Entry'!F$6)/('Advanced Entry'!F$7-'Advanced Entry'!F$6),10*((IF('Advanced Entry'!F$5="Logarithm",LN(0.001+'Advanced Entry'!F94),IF('Advanced Entry'!F$5="Exponential",EXP('Advanced Entry'!F94),'Advanced Entry'!F94)))-'Advanced Entry'!F$6)/('Advanced Entry'!F$7-'Advanced Entry'!F$6)),1))),"No data"))</f>
        <v/>
      </c>
      <c r="G94" s="17">
        <f>IF('Advanced Entry'!G94="","",IFERROR(MAX(0,MIN(10,ROUND(IF('Advanced Entry'!G$8="Decrease Risk",10-10*((IF('Advanced Entry'!G$5="Logarithm",LN(0.001+'Advanced Entry'!G94),IF('Advanced Entry'!G$5="Exponential",EXP('Advanced Entry'!G94),'Advanced Entry'!G94)))-'Advanced Entry'!G$6)/('Advanced Entry'!G$7-'Advanced Entry'!G$6),10*((IF('Advanced Entry'!G$5="Logarithm",LN(0.001+'Advanced Entry'!G94),IF('Advanced Entry'!G$5="Exponential",EXP('Advanced Entry'!G94),'Advanced Entry'!G94)))-'Advanced Entry'!G$6)/('Advanced Entry'!G$7-'Advanced Entry'!G$6)),1))),"No data"))</f>
        <v/>
      </c>
      <c r="H94" s="17">
        <f>IF('Advanced Entry'!H94="","",IFERROR(MAX(0,MIN(10,ROUND(IF('Advanced Entry'!H$8="Decrease Risk",10-10*((IF('Advanced Entry'!H$5="Logarithm",LN(0.001+'Advanced Entry'!H94),IF('Advanced Entry'!H$5="Exponential",EXP('Advanced Entry'!H94),'Advanced Entry'!H94)))-'Advanced Entry'!H$6)/('Advanced Entry'!H$7-'Advanced Entry'!H$6),10*((IF('Advanced Entry'!H$5="Logarithm",LN(0.001+'Advanced Entry'!H94),IF('Advanced Entry'!H$5="Exponential",EXP('Advanced Entry'!H94),'Advanced Entry'!H94)))-'Advanced Entry'!H$6)/('Advanced Entry'!H$7-'Advanced Entry'!H$6)),1))),"No data"))</f>
        <v/>
      </c>
      <c r="I94" s="17">
        <f>IF('Advanced Entry'!I94="","",IFERROR(MAX(0,MIN(10,ROUND(IF('Advanced Entry'!I$8="Decrease Risk",10-10*((IF('Advanced Entry'!I$5="Logarithm",LN(0.001+'Advanced Entry'!I94),IF('Advanced Entry'!I$5="Exponential",EXP('Advanced Entry'!I94),'Advanced Entry'!I94)))-'Advanced Entry'!I$6)/('Advanced Entry'!I$7-'Advanced Entry'!I$6),10*((IF('Advanced Entry'!I$5="Logarithm",LN(0.001+'Advanced Entry'!I94),IF('Advanced Entry'!I$5="Exponential",EXP('Advanced Entry'!I94),'Advanced Entry'!I94)))-'Advanced Entry'!I$6)/('Advanced Entry'!I$7-'Advanced Entry'!I$6)),1))),"No data"))</f>
        <v/>
      </c>
      <c r="J94" s="17">
        <f>IF('Advanced Entry'!J94="","",IFERROR(MAX(0,MIN(10,ROUND(IF('Advanced Entry'!J$8="Decrease Risk",10-10*((IF('Advanced Entry'!J$5="Logarithm",LN(0.001+'Advanced Entry'!J94),IF('Advanced Entry'!J$5="Exponential",EXP('Advanced Entry'!J94),'Advanced Entry'!J94)))-'Advanced Entry'!J$6)/('Advanced Entry'!J$7-'Advanced Entry'!J$6),10*((IF('Advanced Entry'!J$5="Logarithm",LN(0.001+'Advanced Entry'!J94),IF('Advanced Entry'!J$5="Exponential",EXP('Advanced Entry'!J94),'Advanced Entry'!J94)))-'Advanced Entry'!J$6)/('Advanced Entry'!J$7-'Advanced Entry'!J$6)),1))),"No data"))</f>
        <v/>
      </c>
      <c r="K94" s="17">
        <f>IF('Advanced Entry'!K94="","",IFERROR(MAX(0,MIN(10,ROUND(IF('Advanced Entry'!K$8="Decrease Risk",10-10*((IF('Advanced Entry'!K$5="Logarithm",LN(0.001+'Advanced Entry'!K94),IF('Advanced Entry'!K$5="Exponential",EXP('Advanced Entry'!K94),'Advanced Entry'!K94)))-'Advanced Entry'!K$6)/('Advanced Entry'!K$7-'Advanced Entry'!K$6),10*((IF('Advanced Entry'!K$5="Logarithm",LN(0.001+'Advanced Entry'!K94),IF('Advanced Entry'!K$5="Exponential",EXP('Advanced Entry'!K94),'Advanced Entry'!K94)))-'Advanced Entry'!K$6)/('Advanced Entry'!K$7-'Advanced Entry'!K$6)),1))),"No data"))</f>
        <v/>
      </c>
      <c r="L94" s="17">
        <f>IF('Advanced Entry'!L94="","",IFERROR(MAX(0,MIN(10,ROUND(IF('Advanced Entry'!L$8="Decrease Risk",10-10*((IF('Advanced Entry'!L$5="Logarithm",LN(0.001+'Advanced Entry'!L94),IF('Advanced Entry'!L$5="Exponential",EXP('Advanced Entry'!L94),'Advanced Entry'!L94)))-'Advanced Entry'!L$6)/('Advanced Entry'!L$7-'Advanced Entry'!L$6),10*((IF('Advanced Entry'!L$5="Logarithm",LN(0.001+'Advanced Entry'!L94),IF('Advanced Entry'!L$5="Exponential",EXP('Advanced Entry'!L94),'Advanced Entry'!L94)))-'Advanced Entry'!L$6)/('Advanced Entry'!L$7-'Advanced Entry'!L$6)),1))),"No data"))</f>
        <v/>
      </c>
      <c r="M94" s="17">
        <f>IF('Advanced Entry'!M94="","",IFERROR(MAX(0,MIN(10,ROUND(IF('Advanced Entry'!M$8="Decrease Risk",10-10*((IF('Advanced Entry'!M$5="Logarithm",LN(0.001+'Advanced Entry'!M94),IF('Advanced Entry'!M$5="Exponential",EXP('Advanced Entry'!M94),'Advanced Entry'!M94)))-'Advanced Entry'!M$6)/('Advanced Entry'!M$7-'Advanced Entry'!M$6),10*((IF('Advanced Entry'!M$5="Logarithm",LN(0.001+'Advanced Entry'!M94),IF('Advanced Entry'!M$5="Exponential",EXP('Advanced Entry'!M94),'Advanced Entry'!M94)))-'Advanced Entry'!M$6)/('Advanced Entry'!M$7-'Advanced Entry'!M$6)),1))),"No data"))</f>
        <v/>
      </c>
      <c r="N94" s="17">
        <f>IF('Advanced Entry'!N94="","",IFERROR(MAX(0,MIN(10,ROUND(IF('Advanced Entry'!N$8="Decrease Risk",10-10*((IF('Advanced Entry'!N$5="Logarithm",LN(0.001+'Advanced Entry'!N94),IF('Advanced Entry'!N$5="Exponential",EXP('Advanced Entry'!N94),'Advanced Entry'!N94)))-'Advanced Entry'!N$6)/('Advanced Entry'!N$7-'Advanced Entry'!N$6),10*((IF('Advanced Entry'!N$5="Logarithm",LN(0.001+'Advanced Entry'!N94),IF('Advanced Entry'!N$5="Exponential",EXP('Advanced Entry'!N94),'Advanced Entry'!N94)))-'Advanced Entry'!N$6)/('Advanced Entry'!N$7-'Advanced Entry'!N$6)),1))),"No data"))</f>
        <v/>
      </c>
      <c r="O94" s="17">
        <f>IF('Advanced Entry'!O94="","",IFERROR(MAX(0,MIN(10,ROUND(IF('Advanced Entry'!O$8="Decrease Risk",10-10*((IF('Advanced Entry'!O$5="Logarithm",LN(0.001+'Advanced Entry'!O94),IF('Advanced Entry'!O$5="Exponential",EXP('Advanced Entry'!O94),'Advanced Entry'!O94)))-'Advanced Entry'!O$6)/('Advanced Entry'!O$7-'Advanced Entry'!O$6),10*((IF('Advanced Entry'!O$5="Logarithm",LN(0.001+'Advanced Entry'!O94),IF('Advanced Entry'!O$5="Exponential",EXP('Advanced Entry'!O94),'Advanced Entry'!O94)))-'Advanced Entry'!O$6)/('Advanced Entry'!O$7-'Advanced Entry'!O$6)),1))),"No data"))</f>
        <v/>
      </c>
      <c r="P94" s="17">
        <f>IF('Advanced Entry'!P94="","",IFERROR(MAX(0,MIN(10,ROUND(IF('Advanced Entry'!P$8="Decrease Risk",10-10*((IF('Advanced Entry'!P$5="Logarithm",LN(0.001+'Advanced Entry'!P94),IF('Advanced Entry'!P$5="Exponential",EXP('Advanced Entry'!P94),'Advanced Entry'!P94)))-'Advanced Entry'!P$6)/('Advanced Entry'!P$7-'Advanced Entry'!P$6),10*((IF('Advanced Entry'!P$5="Logarithm",LN(0.001+'Advanced Entry'!P94),IF('Advanced Entry'!P$5="Exponential",EXP('Advanced Entry'!P94),'Advanced Entry'!P94)))-'Advanced Entry'!P$6)/('Advanced Entry'!P$7-'Advanced Entry'!P$6)),1))),"No data"))</f>
        <v/>
      </c>
      <c r="Q94" s="17">
        <f>IF('Advanced Entry'!Q94="","",IFERROR(MAX(0,MIN(10,ROUND(IF('Advanced Entry'!Q$8="Decrease Risk",10-10*((IF('Advanced Entry'!Q$5="Logarithm",LN(0.001+'Advanced Entry'!Q94),IF('Advanced Entry'!Q$5="Exponential",EXP('Advanced Entry'!Q94),'Advanced Entry'!Q94)))-'Advanced Entry'!Q$6)/('Advanced Entry'!Q$7-'Advanced Entry'!Q$6),10*((IF('Advanced Entry'!Q$5="Logarithm",LN(0.001+'Advanced Entry'!Q94),IF('Advanced Entry'!Q$5="Exponential",EXP('Advanced Entry'!Q94),'Advanced Entry'!Q94)))-'Advanced Entry'!Q$6)/('Advanced Entry'!Q$7-'Advanced Entry'!Q$6)),1))),"No data"))</f>
        <v/>
      </c>
      <c r="R94" s="17">
        <f>IF('Advanced Entry'!R94="","",IFERROR(MAX(0,MIN(10,ROUND(IF('Advanced Entry'!R$8="Decrease Risk",10-10*((IF('Advanced Entry'!R$5="Logarithm",LN(0.001+'Advanced Entry'!R94),IF('Advanced Entry'!R$5="Exponential",EXP('Advanced Entry'!R94),'Advanced Entry'!R94)))-'Advanced Entry'!R$6)/('Advanced Entry'!R$7-'Advanced Entry'!R$6),10*((IF('Advanced Entry'!R$5="Logarithm",LN(0.001+'Advanced Entry'!R94),IF('Advanced Entry'!R$5="Exponential",EXP('Advanced Entry'!R94),'Advanced Entry'!R94)))-'Advanced Entry'!R$6)/('Advanced Entry'!R$7-'Advanced Entry'!R$6)),1))),"No data"))</f>
        <v/>
      </c>
      <c r="S94" s="17">
        <f>IF('Advanced Entry'!S94="","",IFERROR(MAX(0,MIN(10,ROUND(IF('Advanced Entry'!S$8="Decrease Risk",10-10*((IF('Advanced Entry'!S$5="Logarithm",LN(0.001+'Advanced Entry'!S94),IF('Advanced Entry'!S$5="Exponential",EXP('Advanced Entry'!S94),'Advanced Entry'!S94)))-'Advanced Entry'!S$6)/('Advanced Entry'!S$7-'Advanced Entry'!S$6),10*((IF('Advanced Entry'!S$5="Logarithm",LN(0.001+'Advanced Entry'!S94),IF('Advanced Entry'!S$5="Exponential",EXP('Advanced Entry'!S94),'Advanced Entry'!S94)))-'Advanced Entry'!S$6)/('Advanced Entry'!S$7-'Advanced Entry'!S$6)),1))),"No data"))</f>
        <v/>
      </c>
      <c r="T94" s="17">
        <f>IF('Advanced Entry'!T94="","",IFERROR(MAX(0,MIN(10,ROUND(IF('Advanced Entry'!T$8="Decrease Risk",10-10*((IF('Advanced Entry'!T$5="Logarithm",LN(0.001+'Advanced Entry'!T94),IF('Advanced Entry'!T$5="Exponential",EXP('Advanced Entry'!T94),'Advanced Entry'!T94)))-'Advanced Entry'!T$6)/('Advanced Entry'!T$7-'Advanced Entry'!T$6),10*((IF('Advanced Entry'!T$5="Logarithm",LN(0.001+'Advanced Entry'!T94),IF('Advanced Entry'!T$5="Exponential",EXP('Advanced Entry'!T94),'Advanced Entry'!T94)))-'Advanced Entry'!T$6)/('Advanced Entry'!T$7-'Advanced Entry'!T$6)),1))),"No data"))</f>
        <v/>
      </c>
      <c r="U94" s="17">
        <f>IF('Advanced Entry'!U94="","",IFERROR(MAX(0,MIN(10,ROUND(IF('Advanced Entry'!U$8="Decrease Risk",10-10*((IF('Advanced Entry'!U$5="Logarithm",LN(0.001+'Advanced Entry'!U94),IF('Advanced Entry'!U$5="Exponential",EXP('Advanced Entry'!U94),'Advanced Entry'!U94)))-'Advanced Entry'!U$6)/('Advanced Entry'!U$7-'Advanced Entry'!U$6),10*((IF('Advanced Entry'!U$5="Logarithm",LN(0.001+'Advanced Entry'!U94),IF('Advanced Entry'!U$5="Exponential",EXP('Advanced Entry'!U94),'Advanced Entry'!U94)))-'Advanced Entry'!U$6)/('Advanced Entry'!U$7-'Advanced Entry'!U$6)),1))),"No data"))</f>
        <v/>
      </c>
      <c r="V94" s="17">
        <f>IF('Advanced Entry'!V94="","",IFERROR(MAX(0,MIN(10,ROUND(IF('Advanced Entry'!V$8="Decrease Risk",10-10*((IF('Advanced Entry'!V$5="Logarithm",LN(0.001+'Advanced Entry'!V94),IF('Advanced Entry'!V$5="Exponential",EXP('Advanced Entry'!V94),'Advanced Entry'!V94)))-'Advanced Entry'!V$6)/('Advanced Entry'!V$7-'Advanced Entry'!V$6),10*((IF('Advanced Entry'!V$5="Logarithm",LN(0.001+'Advanced Entry'!V94),IF('Advanced Entry'!V$5="Exponential",EXP('Advanced Entry'!V94),'Advanced Entry'!V94)))-'Advanced Entry'!V$6)/('Advanced Entry'!V$7-'Advanced Entry'!V$6)),1))),"No data"))</f>
        <v/>
      </c>
      <c r="W94" s="17">
        <f>IF('Advanced Entry'!W94="","",IFERROR(MAX(0,MIN(10,ROUND(IF('Advanced Entry'!W$8="Decrease Risk",10-10*((IF('Advanced Entry'!W$5="Logarithm",LN(0.001+'Advanced Entry'!W94),IF('Advanced Entry'!W$5="Exponential",EXP('Advanced Entry'!W94),'Advanced Entry'!W94)))-'Advanced Entry'!W$6)/('Advanced Entry'!W$7-'Advanced Entry'!W$6),10*((IF('Advanced Entry'!W$5="Logarithm",LN(0.001+'Advanced Entry'!W94),IF('Advanced Entry'!W$5="Exponential",EXP('Advanced Entry'!W94),'Advanced Entry'!W94)))-'Advanced Entry'!W$6)/('Advanced Entry'!W$7-'Advanced Entry'!W$6)),1))),"No data"))</f>
        <v/>
      </c>
      <c r="X94" s="17">
        <f>IF('Advanced Entry'!X94="","",IFERROR(MAX(0,MIN(10,ROUND(IF('Advanced Entry'!X$8="Decrease Risk",10-10*((IF('Advanced Entry'!X$5="Logarithm",LN(0.001+'Advanced Entry'!X94),IF('Advanced Entry'!X$5="Exponential",EXP('Advanced Entry'!X94),'Advanced Entry'!X94)))-'Advanced Entry'!X$6)/('Advanced Entry'!X$7-'Advanced Entry'!X$6),10*((IF('Advanced Entry'!X$5="Logarithm",LN(0.001+'Advanced Entry'!X94),IF('Advanced Entry'!X$5="Exponential",EXP('Advanced Entry'!X94),'Advanced Entry'!X94)))-'Advanced Entry'!X$6)/('Advanced Entry'!X$7-'Advanced Entry'!X$6)),1))),"No data"))</f>
        <v/>
      </c>
      <c r="Y94" s="17">
        <f>IF('Advanced Entry'!Y94="","",IFERROR(MAX(0,MIN(10,ROUND(IF('Advanced Entry'!Y$8="Decrease Risk",10-10*((IF('Advanced Entry'!Y$5="Logarithm",LN(0.001+'Advanced Entry'!Y94),IF('Advanced Entry'!Y$5="Exponential",EXP('Advanced Entry'!Y94),'Advanced Entry'!Y94)))-'Advanced Entry'!Y$6)/('Advanced Entry'!Y$7-'Advanced Entry'!Y$6),10*((IF('Advanced Entry'!Y$5="Logarithm",LN(0.001+'Advanced Entry'!Y94),IF('Advanced Entry'!Y$5="Exponential",EXP('Advanced Entry'!Y94),'Advanced Entry'!Y94)))-'Advanced Entry'!Y$6)/('Advanced Entry'!Y$7-'Advanced Entry'!Y$6)),1))),"No data"))</f>
        <v/>
      </c>
      <c r="Z94" s="17">
        <f>IF('Advanced Entry'!Z94="","",IFERROR(MAX(0,MIN(10,ROUND(IF('Advanced Entry'!Z$8="Decrease Risk",10-10*((IF('Advanced Entry'!Z$5="Logarithm",LN(0.001+'Advanced Entry'!Z94),IF('Advanced Entry'!Z$5="Exponential",EXP('Advanced Entry'!Z94),'Advanced Entry'!Z94)))-'Advanced Entry'!Z$6)/('Advanced Entry'!Z$7-'Advanced Entry'!Z$6),10*((IF('Advanced Entry'!Z$5="Logarithm",LN(0.001+'Advanced Entry'!Z94),IF('Advanced Entry'!Z$5="Exponential",EXP('Advanced Entry'!Z94),'Advanced Entry'!Z94)))-'Advanced Entry'!Z$6)/('Advanced Entry'!Z$7-'Advanced Entry'!Z$6)),1))),"No data"))</f>
        <v/>
      </c>
      <c r="AA94" s="17">
        <f>IF('Advanced Entry'!AA94="","",IFERROR(MAX(0,MIN(10,ROUND(IF('Advanced Entry'!AA$8="Decrease Risk",10-10*((IF('Advanced Entry'!AA$5="Logarithm",LN(0.001+'Advanced Entry'!AA94),IF('Advanced Entry'!AA$5="Exponential",EXP('Advanced Entry'!AA94),'Advanced Entry'!AA94)))-'Advanced Entry'!AA$6)/('Advanced Entry'!AA$7-'Advanced Entry'!AA$6),10*((IF('Advanced Entry'!AA$5="Logarithm",LN(0.001+'Advanced Entry'!AA94),IF('Advanced Entry'!AA$5="Exponential",EXP('Advanced Entry'!AA94),'Advanced Entry'!AA94)))-'Advanced Entry'!AA$6)/('Advanced Entry'!AA$7-'Advanced Entry'!AA$6)),1))),"No data"))</f>
        <v/>
      </c>
      <c r="AB94" s="17">
        <f>IF('Advanced Entry'!AB94="","",IFERROR(MAX(0,MIN(10,ROUND(IF('Advanced Entry'!AB$8="Decrease Risk",10-10*((IF('Advanced Entry'!AB$5="Logarithm",LN(0.001+'Advanced Entry'!AB94),IF('Advanced Entry'!AB$5="Exponential",EXP('Advanced Entry'!AB94),'Advanced Entry'!AB94)))-'Advanced Entry'!AB$6)/('Advanced Entry'!AB$7-'Advanced Entry'!AB$6),10*((IF('Advanced Entry'!AB$5="Logarithm",LN(0.001+'Advanced Entry'!AB94),IF('Advanced Entry'!AB$5="Exponential",EXP('Advanced Entry'!AB94),'Advanced Entry'!AB94)))-'Advanced Entry'!AB$6)/('Advanced Entry'!AB$7-'Advanced Entry'!AB$6)),1))),"No data"))</f>
        <v/>
      </c>
    </row>
    <row r="95">
      <c r="A95" t="inlineStr">
        <is>
          <t>Mara</t>
        </is>
      </c>
      <c r="B95" t="inlineStr">
        <is>
          <t>Musoma Municipal</t>
        </is>
      </c>
      <c r="C95" t="inlineStr">
        <is>
          <t>C145</t>
        </is>
      </c>
      <c r="D95" s="17">
        <f>IF('Advanced Entry'!D95="","",IFERROR(MAX(0,MIN(10,ROUND(IF('Advanced Entry'!D$8="Decrease Risk",10-10*((IF('Advanced Entry'!D$5="Logarithm",LN(0.001+'Advanced Entry'!D95),IF('Advanced Entry'!D$5="Exponential",EXP('Advanced Entry'!D95),'Advanced Entry'!D95)))-'Advanced Entry'!D$6)/('Advanced Entry'!D$7-'Advanced Entry'!D$6),10*((IF('Advanced Entry'!D$5="Logarithm",LN(0.001+'Advanced Entry'!D95),IF('Advanced Entry'!D$5="Exponential",EXP('Advanced Entry'!D95),'Advanced Entry'!D95)))-'Advanced Entry'!D$6)/('Advanced Entry'!D$7-'Advanced Entry'!D$6)),1))),"No data"))</f>
        <v/>
      </c>
      <c r="E95" s="17">
        <f>IF('Advanced Entry'!E95="","",IFERROR(MAX(0,MIN(10,ROUND(IF('Advanced Entry'!E$8="Decrease Risk",10-10*((IF('Advanced Entry'!E$5="Logarithm",LN(0.001+'Advanced Entry'!E95),IF('Advanced Entry'!E$5="Exponential",EXP('Advanced Entry'!E95),'Advanced Entry'!E95)))-'Advanced Entry'!E$6)/('Advanced Entry'!E$7-'Advanced Entry'!E$6),10*((IF('Advanced Entry'!E$5="Logarithm",LN(0.001+'Advanced Entry'!E95),IF('Advanced Entry'!E$5="Exponential",EXP('Advanced Entry'!E95),'Advanced Entry'!E95)))-'Advanced Entry'!E$6)/('Advanced Entry'!E$7-'Advanced Entry'!E$6)),1))),"No data"))</f>
        <v/>
      </c>
      <c r="F95" s="17">
        <f>IF('Advanced Entry'!F95="","",IFERROR(MAX(0,MIN(10,ROUND(IF('Advanced Entry'!F$8="Decrease Risk",10-10*((IF('Advanced Entry'!F$5="Logarithm",LN(0.001+'Advanced Entry'!F95),IF('Advanced Entry'!F$5="Exponential",EXP('Advanced Entry'!F95),'Advanced Entry'!F95)))-'Advanced Entry'!F$6)/('Advanced Entry'!F$7-'Advanced Entry'!F$6),10*((IF('Advanced Entry'!F$5="Logarithm",LN(0.001+'Advanced Entry'!F95),IF('Advanced Entry'!F$5="Exponential",EXP('Advanced Entry'!F95),'Advanced Entry'!F95)))-'Advanced Entry'!F$6)/('Advanced Entry'!F$7-'Advanced Entry'!F$6)),1))),"No data"))</f>
        <v/>
      </c>
      <c r="G95" s="17">
        <f>IF('Advanced Entry'!G95="","",IFERROR(MAX(0,MIN(10,ROUND(IF('Advanced Entry'!G$8="Decrease Risk",10-10*((IF('Advanced Entry'!G$5="Logarithm",LN(0.001+'Advanced Entry'!G95),IF('Advanced Entry'!G$5="Exponential",EXP('Advanced Entry'!G95),'Advanced Entry'!G95)))-'Advanced Entry'!G$6)/('Advanced Entry'!G$7-'Advanced Entry'!G$6),10*((IF('Advanced Entry'!G$5="Logarithm",LN(0.001+'Advanced Entry'!G95),IF('Advanced Entry'!G$5="Exponential",EXP('Advanced Entry'!G95),'Advanced Entry'!G95)))-'Advanced Entry'!G$6)/('Advanced Entry'!G$7-'Advanced Entry'!G$6)),1))),"No data"))</f>
        <v/>
      </c>
      <c r="H95" s="17">
        <f>IF('Advanced Entry'!H95="","",IFERROR(MAX(0,MIN(10,ROUND(IF('Advanced Entry'!H$8="Decrease Risk",10-10*((IF('Advanced Entry'!H$5="Logarithm",LN(0.001+'Advanced Entry'!H95),IF('Advanced Entry'!H$5="Exponential",EXP('Advanced Entry'!H95),'Advanced Entry'!H95)))-'Advanced Entry'!H$6)/('Advanced Entry'!H$7-'Advanced Entry'!H$6),10*((IF('Advanced Entry'!H$5="Logarithm",LN(0.001+'Advanced Entry'!H95),IF('Advanced Entry'!H$5="Exponential",EXP('Advanced Entry'!H95),'Advanced Entry'!H95)))-'Advanced Entry'!H$6)/('Advanced Entry'!H$7-'Advanced Entry'!H$6)),1))),"No data"))</f>
        <v/>
      </c>
      <c r="I95" s="17">
        <f>IF('Advanced Entry'!I95="","",IFERROR(MAX(0,MIN(10,ROUND(IF('Advanced Entry'!I$8="Decrease Risk",10-10*((IF('Advanced Entry'!I$5="Logarithm",LN(0.001+'Advanced Entry'!I95),IF('Advanced Entry'!I$5="Exponential",EXP('Advanced Entry'!I95),'Advanced Entry'!I95)))-'Advanced Entry'!I$6)/('Advanced Entry'!I$7-'Advanced Entry'!I$6),10*((IF('Advanced Entry'!I$5="Logarithm",LN(0.001+'Advanced Entry'!I95),IF('Advanced Entry'!I$5="Exponential",EXP('Advanced Entry'!I95),'Advanced Entry'!I95)))-'Advanced Entry'!I$6)/('Advanced Entry'!I$7-'Advanced Entry'!I$6)),1))),"No data"))</f>
        <v/>
      </c>
      <c r="J95" s="17">
        <f>IF('Advanced Entry'!J95="","",IFERROR(MAX(0,MIN(10,ROUND(IF('Advanced Entry'!J$8="Decrease Risk",10-10*((IF('Advanced Entry'!J$5="Logarithm",LN(0.001+'Advanced Entry'!J95),IF('Advanced Entry'!J$5="Exponential",EXP('Advanced Entry'!J95),'Advanced Entry'!J95)))-'Advanced Entry'!J$6)/('Advanced Entry'!J$7-'Advanced Entry'!J$6),10*((IF('Advanced Entry'!J$5="Logarithm",LN(0.001+'Advanced Entry'!J95),IF('Advanced Entry'!J$5="Exponential",EXP('Advanced Entry'!J95),'Advanced Entry'!J95)))-'Advanced Entry'!J$6)/('Advanced Entry'!J$7-'Advanced Entry'!J$6)),1))),"No data"))</f>
        <v/>
      </c>
      <c r="K95" s="17">
        <f>IF('Advanced Entry'!K95="","",IFERROR(MAX(0,MIN(10,ROUND(IF('Advanced Entry'!K$8="Decrease Risk",10-10*((IF('Advanced Entry'!K$5="Logarithm",LN(0.001+'Advanced Entry'!K95),IF('Advanced Entry'!K$5="Exponential",EXP('Advanced Entry'!K95),'Advanced Entry'!K95)))-'Advanced Entry'!K$6)/('Advanced Entry'!K$7-'Advanced Entry'!K$6),10*((IF('Advanced Entry'!K$5="Logarithm",LN(0.001+'Advanced Entry'!K95),IF('Advanced Entry'!K$5="Exponential",EXP('Advanced Entry'!K95),'Advanced Entry'!K95)))-'Advanced Entry'!K$6)/('Advanced Entry'!K$7-'Advanced Entry'!K$6)),1))),"No data"))</f>
        <v/>
      </c>
      <c r="L95" s="17">
        <f>IF('Advanced Entry'!L95="","",IFERROR(MAX(0,MIN(10,ROUND(IF('Advanced Entry'!L$8="Decrease Risk",10-10*((IF('Advanced Entry'!L$5="Logarithm",LN(0.001+'Advanced Entry'!L95),IF('Advanced Entry'!L$5="Exponential",EXP('Advanced Entry'!L95),'Advanced Entry'!L95)))-'Advanced Entry'!L$6)/('Advanced Entry'!L$7-'Advanced Entry'!L$6),10*((IF('Advanced Entry'!L$5="Logarithm",LN(0.001+'Advanced Entry'!L95),IF('Advanced Entry'!L$5="Exponential",EXP('Advanced Entry'!L95),'Advanced Entry'!L95)))-'Advanced Entry'!L$6)/('Advanced Entry'!L$7-'Advanced Entry'!L$6)),1))),"No data"))</f>
        <v/>
      </c>
      <c r="M95" s="17">
        <f>IF('Advanced Entry'!M95="","",IFERROR(MAX(0,MIN(10,ROUND(IF('Advanced Entry'!M$8="Decrease Risk",10-10*((IF('Advanced Entry'!M$5="Logarithm",LN(0.001+'Advanced Entry'!M95),IF('Advanced Entry'!M$5="Exponential",EXP('Advanced Entry'!M95),'Advanced Entry'!M95)))-'Advanced Entry'!M$6)/('Advanced Entry'!M$7-'Advanced Entry'!M$6),10*((IF('Advanced Entry'!M$5="Logarithm",LN(0.001+'Advanced Entry'!M95),IF('Advanced Entry'!M$5="Exponential",EXP('Advanced Entry'!M95),'Advanced Entry'!M95)))-'Advanced Entry'!M$6)/('Advanced Entry'!M$7-'Advanced Entry'!M$6)),1))),"No data"))</f>
        <v/>
      </c>
      <c r="N95" s="17">
        <f>IF('Advanced Entry'!N95="","",IFERROR(MAX(0,MIN(10,ROUND(IF('Advanced Entry'!N$8="Decrease Risk",10-10*((IF('Advanced Entry'!N$5="Logarithm",LN(0.001+'Advanced Entry'!N95),IF('Advanced Entry'!N$5="Exponential",EXP('Advanced Entry'!N95),'Advanced Entry'!N95)))-'Advanced Entry'!N$6)/('Advanced Entry'!N$7-'Advanced Entry'!N$6),10*((IF('Advanced Entry'!N$5="Logarithm",LN(0.001+'Advanced Entry'!N95),IF('Advanced Entry'!N$5="Exponential",EXP('Advanced Entry'!N95),'Advanced Entry'!N95)))-'Advanced Entry'!N$6)/('Advanced Entry'!N$7-'Advanced Entry'!N$6)),1))),"No data"))</f>
        <v/>
      </c>
      <c r="O95" s="17">
        <f>IF('Advanced Entry'!O95="","",IFERROR(MAX(0,MIN(10,ROUND(IF('Advanced Entry'!O$8="Decrease Risk",10-10*((IF('Advanced Entry'!O$5="Logarithm",LN(0.001+'Advanced Entry'!O95),IF('Advanced Entry'!O$5="Exponential",EXP('Advanced Entry'!O95),'Advanced Entry'!O95)))-'Advanced Entry'!O$6)/('Advanced Entry'!O$7-'Advanced Entry'!O$6),10*((IF('Advanced Entry'!O$5="Logarithm",LN(0.001+'Advanced Entry'!O95),IF('Advanced Entry'!O$5="Exponential",EXP('Advanced Entry'!O95),'Advanced Entry'!O95)))-'Advanced Entry'!O$6)/('Advanced Entry'!O$7-'Advanced Entry'!O$6)),1))),"No data"))</f>
        <v/>
      </c>
      <c r="P95" s="17">
        <f>IF('Advanced Entry'!P95="","",IFERROR(MAX(0,MIN(10,ROUND(IF('Advanced Entry'!P$8="Decrease Risk",10-10*((IF('Advanced Entry'!P$5="Logarithm",LN(0.001+'Advanced Entry'!P95),IF('Advanced Entry'!P$5="Exponential",EXP('Advanced Entry'!P95),'Advanced Entry'!P95)))-'Advanced Entry'!P$6)/('Advanced Entry'!P$7-'Advanced Entry'!P$6),10*((IF('Advanced Entry'!P$5="Logarithm",LN(0.001+'Advanced Entry'!P95),IF('Advanced Entry'!P$5="Exponential",EXP('Advanced Entry'!P95),'Advanced Entry'!P95)))-'Advanced Entry'!P$6)/('Advanced Entry'!P$7-'Advanced Entry'!P$6)),1))),"No data"))</f>
        <v/>
      </c>
      <c r="Q95" s="17">
        <f>IF('Advanced Entry'!Q95="","",IFERROR(MAX(0,MIN(10,ROUND(IF('Advanced Entry'!Q$8="Decrease Risk",10-10*((IF('Advanced Entry'!Q$5="Logarithm",LN(0.001+'Advanced Entry'!Q95),IF('Advanced Entry'!Q$5="Exponential",EXP('Advanced Entry'!Q95),'Advanced Entry'!Q95)))-'Advanced Entry'!Q$6)/('Advanced Entry'!Q$7-'Advanced Entry'!Q$6),10*((IF('Advanced Entry'!Q$5="Logarithm",LN(0.001+'Advanced Entry'!Q95),IF('Advanced Entry'!Q$5="Exponential",EXP('Advanced Entry'!Q95),'Advanced Entry'!Q95)))-'Advanced Entry'!Q$6)/('Advanced Entry'!Q$7-'Advanced Entry'!Q$6)),1))),"No data"))</f>
        <v/>
      </c>
      <c r="R95" s="17">
        <f>IF('Advanced Entry'!R95="","",IFERROR(MAX(0,MIN(10,ROUND(IF('Advanced Entry'!R$8="Decrease Risk",10-10*((IF('Advanced Entry'!R$5="Logarithm",LN(0.001+'Advanced Entry'!R95),IF('Advanced Entry'!R$5="Exponential",EXP('Advanced Entry'!R95),'Advanced Entry'!R95)))-'Advanced Entry'!R$6)/('Advanced Entry'!R$7-'Advanced Entry'!R$6),10*((IF('Advanced Entry'!R$5="Logarithm",LN(0.001+'Advanced Entry'!R95),IF('Advanced Entry'!R$5="Exponential",EXP('Advanced Entry'!R95),'Advanced Entry'!R95)))-'Advanced Entry'!R$6)/('Advanced Entry'!R$7-'Advanced Entry'!R$6)),1))),"No data"))</f>
        <v/>
      </c>
      <c r="S95" s="17">
        <f>IF('Advanced Entry'!S95="","",IFERROR(MAX(0,MIN(10,ROUND(IF('Advanced Entry'!S$8="Decrease Risk",10-10*((IF('Advanced Entry'!S$5="Logarithm",LN(0.001+'Advanced Entry'!S95),IF('Advanced Entry'!S$5="Exponential",EXP('Advanced Entry'!S95),'Advanced Entry'!S95)))-'Advanced Entry'!S$6)/('Advanced Entry'!S$7-'Advanced Entry'!S$6),10*((IF('Advanced Entry'!S$5="Logarithm",LN(0.001+'Advanced Entry'!S95),IF('Advanced Entry'!S$5="Exponential",EXP('Advanced Entry'!S95),'Advanced Entry'!S95)))-'Advanced Entry'!S$6)/('Advanced Entry'!S$7-'Advanced Entry'!S$6)),1))),"No data"))</f>
        <v/>
      </c>
      <c r="T95" s="17">
        <f>IF('Advanced Entry'!T95="","",IFERROR(MAX(0,MIN(10,ROUND(IF('Advanced Entry'!T$8="Decrease Risk",10-10*((IF('Advanced Entry'!T$5="Logarithm",LN(0.001+'Advanced Entry'!T95),IF('Advanced Entry'!T$5="Exponential",EXP('Advanced Entry'!T95),'Advanced Entry'!T95)))-'Advanced Entry'!T$6)/('Advanced Entry'!T$7-'Advanced Entry'!T$6),10*((IF('Advanced Entry'!T$5="Logarithm",LN(0.001+'Advanced Entry'!T95),IF('Advanced Entry'!T$5="Exponential",EXP('Advanced Entry'!T95),'Advanced Entry'!T95)))-'Advanced Entry'!T$6)/('Advanced Entry'!T$7-'Advanced Entry'!T$6)),1))),"No data"))</f>
        <v/>
      </c>
      <c r="U95" s="17">
        <f>IF('Advanced Entry'!U95="","",IFERROR(MAX(0,MIN(10,ROUND(IF('Advanced Entry'!U$8="Decrease Risk",10-10*((IF('Advanced Entry'!U$5="Logarithm",LN(0.001+'Advanced Entry'!U95),IF('Advanced Entry'!U$5="Exponential",EXP('Advanced Entry'!U95),'Advanced Entry'!U95)))-'Advanced Entry'!U$6)/('Advanced Entry'!U$7-'Advanced Entry'!U$6),10*((IF('Advanced Entry'!U$5="Logarithm",LN(0.001+'Advanced Entry'!U95),IF('Advanced Entry'!U$5="Exponential",EXP('Advanced Entry'!U95),'Advanced Entry'!U95)))-'Advanced Entry'!U$6)/('Advanced Entry'!U$7-'Advanced Entry'!U$6)),1))),"No data"))</f>
        <v/>
      </c>
      <c r="V95" s="17">
        <f>IF('Advanced Entry'!V95="","",IFERROR(MAX(0,MIN(10,ROUND(IF('Advanced Entry'!V$8="Decrease Risk",10-10*((IF('Advanced Entry'!V$5="Logarithm",LN(0.001+'Advanced Entry'!V95),IF('Advanced Entry'!V$5="Exponential",EXP('Advanced Entry'!V95),'Advanced Entry'!V95)))-'Advanced Entry'!V$6)/('Advanced Entry'!V$7-'Advanced Entry'!V$6),10*((IF('Advanced Entry'!V$5="Logarithm",LN(0.001+'Advanced Entry'!V95),IF('Advanced Entry'!V$5="Exponential",EXP('Advanced Entry'!V95),'Advanced Entry'!V95)))-'Advanced Entry'!V$6)/('Advanced Entry'!V$7-'Advanced Entry'!V$6)),1))),"No data"))</f>
        <v/>
      </c>
      <c r="W95" s="17">
        <f>IF('Advanced Entry'!W95="","",IFERROR(MAX(0,MIN(10,ROUND(IF('Advanced Entry'!W$8="Decrease Risk",10-10*((IF('Advanced Entry'!W$5="Logarithm",LN(0.001+'Advanced Entry'!W95),IF('Advanced Entry'!W$5="Exponential",EXP('Advanced Entry'!W95),'Advanced Entry'!W95)))-'Advanced Entry'!W$6)/('Advanced Entry'!W$7-'Advanced Entry'!W$6),10*((IF('Advanced Entry'!W$5="Logarithm",LN(0.001+'Advanced Entry'!W95),IF('Advanced Entry'!W$5="Exponential",EXP('Advanced Entry'!W95),'Advanced Entry'!W95)))-'Advanced Entry'!W$6)/('Advanced Entry'!W$7-'Advanced Entry'!W$6)),1))),"No data"))</f>
        <v/>
      </c>
      <c r="X95" s="17">
        <f>IF('Advanced Entry'!X95="","",IFERROR(MAX(0,MIN(10,ROUND(IF('Advanced Entry'!X$8="Decrease Risk",10-10*((IF('Advanced Entry'!X$5="Logarithm",LN(0.001+'Advanced Entry'!X95),IF('Advanced Entry'!X$5="Exponential",EXP('Advanced Entry'!X95),'Advanced Entry'!X95)))-'Advanced Entry'!X$6)/('Advanced Entry'!X$7-'Advanced Entry'!X$6),10*((IF('Advanced Entry'!X$5="Logarithm",LN(0.001+'Advanced Entry'!X95),IF('Advanced Entry'!X$5="Exponential",EXP('Advanced Entry'!X95),'Advanced Entry'!X95)))-'Advanced Entry'!X$6)/('Advanced Entry'!X$7-'Advanced Entry'!X$6)),1))),"No data"))</f>
        <v/>
      </c>
      <c r="Y95" s="17">
        <f>IF('Advanced Entry'!Y95="","",IFERROR(MAX(0,MIN(10,ROUND(IF('Advanced Entry'!Y$8="Decrease Risk",10-10*((IF('Advanced Entry'!Y$5="Logarithm",LN(0.001+'Advanced Entry'!Y95),IF('Advanced Entry'!Y$5="Exponential",EXP('Advanced Entry'!Y95),'Advanced Entry'!Y95)))-'Advanced Entry'!Y$6)/('Advanced Entry'!Y$7-'Advanced Entry'!Y$6),10*((IF('Advanced Entry'!Y$5="Logarithm",LN(0.001+'Advanced Entry'!Y95),IF('Advanced Entry'!Y$5="Exponential",EXP('Advanced Entry'!Y95),'Advanced Entry'!Y95)))-'Advanced Entry'!Y$6)/('Advanced Entry'!Y$7-'Advanced Entry'!Y$6)),1))),"No data"))</f>
        <v/>
      </c>
      <c r="Z95" s="17">
        <f>IF('Advanced Entry'!Z95="","",IFERROR(MAX(0,MIN(10,ROUND(IF('Advanced Entry'!Z$8="Decrease Risk",10-10*((IF('Advanced Entry'!Z$5="Logarithm",LN(0.001+'Advanced Entry'!Z95),IF('Advanced Entry'!Z$5="Exponential",EXP('Advanced Entry'!Z95),'Advanced Entry'!Z95)))-'Advanced Entry'!Z$6)/('Advanced Entry'!Z$7-'Advanced Entry'!Z$6),10*((IF('Advanced Entry'!Z$5="Logarithm",LN(0.001+'Advanced Entry'!Z95),IF('Advanced Entry'!Z$5="Exponential",EXP('Advanced Entry'!Z95),'Advanced Entry'!Z95)))-'Advanced Entry'!Z$6)/('Advanced Entry'!Z$7-'Advanced Entry'!Z$6)),1))),"No data"))</f>
        <v/>
      </c>
      <c r="AA95" s="17">
        <f>IF('Advanced Entry'!AA95="","",IFERROR(MAX(0,MIN(10,ROUND(IF('Advanced Entry'!AA$8="Decrease Risk",10-10*((IF('Advanced Entry'!AA$5="Logarithm",LN(0.001+'Advanced Entry'!AA95),IF('Advanced Entry'!AA$5="Exponential",EXP('Advanced Entry'!AA95),'Advanced Entry'!AA95)))-'Advanced Entry'!AA$6)/('Advanced Entry'!AA$7-'Advanced Entry'!AA$6),10*((IF('Advanced Entry'!AA$5="Logarithm",LN(0.001+'Advanced Entry'!AA95),IF('Advanced Entry'!AA$5="Exponential",EXP('Advanced Entry'!AA95),'Advanced Entry'!AA95)))-'Advanced Entry'!AA$6)/('Advanced Entry'!AA$7-'Advanced Entry'!AA$6)),1))),"No data"))</f>
        <v/>
      </c>
      <c r="AB95" s="17">
        <f>IF('Advanced Entry'!AB95="","",IFERROR(MAX(0,MIN(10,ROUND(IF('Advanced Entry'!AB$8="Decrease Risk",10-10*((IF('Advanced Entry'!AB$5="Logarithm",LN(0.001+'Advanced Entry'!AB95),IF('Advanced Entry'!AB$5="Exponential",EXP('Advanced Entry'!AB95),'Advanced Entry'!AB95)))-'Advanced Entry'!AB$6)/('Advanced Entry'!AB$7-'Advanced Entry'!AB$6),10*((IF('Advanced Entry'!AB$5="Logarithm",LN(0.001+'Advanced Entry'!AB95),IF('Advanced Entry'!AB$5="Exponential",EXP('Advanced Entry'!AB95),'Advanced Entry'!AB95)))-'Advanced Entry'!AB$6)/('Advanced Entry'!AB$7-'Advanced Entry'!AB$6)),1))),"No data"))</f>
        <v/>
      </c>
    </row>
    <row r="96">
      <c r="A96" t="inlineStr">
        <is>
          <t>Mara</t>
        </is>
      </c>
      <c r="B96" t="inlineStr">
        <is>
          <t>Rorya District</t>
        </is>
      </c>
      <c r="C96" t="inlineStr">
        <is>
          <t>C149</t>
        </is>
      </c>
      <c r="D96" s="17">
        <f>IF('Advanced Entry'!D96="","",IFERROR(MAX(0,MIN(10,ROUND(IF('Advanced Entry'!D$8="Decrease Risk",10-10*((IF('Advanced Entry'!D$5="Logarithm",LN(0.001+'Advanced Entry'!D96),IF('Advanced Entry'!D$5="Exponential",EXP('Advanced Entry'!D96),'Advanced Entry'!D96)))-'Advanced Entry'!D$6)/('Advanced Entry'!D$7-'Advanced Entry'!D$6),10*((IF('Advanced Entry'!D$5="Logarithm",LN(0.001+'Advanced Entry'!D96),IF('Advanced Entry'!D$5="Exponential",EXP('Advanced Entry'!D96),'Advanced Entry'!D96)))-'Advanced Entry'!D$6)/('Advanced Entry'!D$7-'Advanced Entry'!D$6)),1))),"No data"))</f>
        <v/>
      </c>
      <c r="E96" s="17">
        <f>IF('Advanced Entry'!E96="","",IFERROR(MAX(0,MIN(10,ROUND(IF('Advanced Entry'!E$8="Decrease Risk",10-10*((IF('Advanced Entry'!E$5="Logarithm",LN(0.001+'Advanced Entry'!E96),IF('Advanced Entry'!E$5="Exponential",EXP('Advanced Entry'!E96),'Advanced Entry'!E96)))-'Advanced Entry'!E$6)/('Advanced Entry'!E$7-'Advanced Entry'!E$6),10*((IF('Advanced Entry'!E$5="Logarithm",LN(0.001+'Advanced Entry'!E96),IF('Advanced Entry'!E$5="Exponential",EXP('Advanced Entry'!E96),'Advanced Entry'!E96)))-'Advanced Entry'!E$6)/('Advanced Entry'!E$7-'Advanced Entry'!E$6)),1))),"No data"))</f>
        <v/>
      </c>
      <c r="F96" s="17">
        <f>IF('Advanced Entry'!F96="","",IFERROR(MAX(0,MIN(10,ROUND(IF('Advanced Entry'!F$8="Decrease Risk",10-10*((IF('Advanced Entry'!F$5="Logarithm",LN(0.001+'Advanced Entry'!F96),IF('Advanced Entry'!F$5="Exponential",EXP('Advanced Entry'!F96),'Advanced Entry'!F96)))-'Advanced Entry'!F$6)/('Advanced Entry'!F$7-'Advanced Entry'!F$6),10*((IF('Advanced Entry'!F$5="Logarithm",LN(0.001+'Advanced Entry'!F96),IF('Advanced Entry'!F$5="Exponential",EXP('Advanced Entry'!F96),'Advanced Entry'!F96)))-'Advanced Entry'!F$6)/('Advanced Entry'!F$7-'Advanced Entry'!F$6)),1))),"No data"))</f>
        <v/>
      </c>
      <c r="G96" s="17">
        <f>IF('Advanced Entry'!G96="","",IFERROR(MAX(0,MIN(10,ROUND(IF('Advanced Entry'!G$8="Decrease Risk",10-10*((IF('Advanced Entry'!G$5="Logarithm",LN(0.001+'Advanced Entry'!G96),IF('Advanced Entry'!G$5="Exponential",EXP('Advanced Entry'!G96),'Advanced Entry'!G96)))-'Advanced Entry'!G$6)/('Advanced Entry'!G$7-'Advanced Entry'!G$6),10*((IF('Advanced Entry'!G$5="Logarithm",LN(0.001+'Advanced Entry'!G96),IF('Advanced Entry'!G$5="Exponential",EXP('Advanced Entry'!G96),'Advanced Entry'!G96)))-'Advanced Entry'!G$6)/('Advanced Entry'!G$7-'Advanced Entry'!G$6)),1))),"No data"))</f>
        <v/>
      </c>
      <c r="H96" s="17">
        <f>IF('Advanced Entry'!H96="","",IFERROR(MAX(0,MIN(10,ROUND(IF('Advanced Entry'!H$8="Decrease Risk",10-10*((IF('Advanced Entry'!H$5="Logarithm",LN(0.001+'Advanced Entry'!H96),IF('Advanced Entry'!H$5="Exponential",EXP('Advanced Entry'!H96),'Advanced Entry'!H96)))-'Advanced Entry'!H$6)/('Advanced Entry'!H$7-'Advanced Entry'!H$6),10*((IF('Advanced Entry'!H$5="Logarithm",LN(0.001+'Advanced Entry'!H96),IF('Advanced Entry'!H$5="Exponential",EXP('Advanced Entry'!H96),'Advanced Entry'!H96)))-'Advanced Entry'!H$6)/('Advanced Entry'!H$7-'Advanced Entry'!H$6)),1))),"No data"))</f>
        <v/>
      </c>
      <c r="I96" s="17">
        <f>IF('Advanced Entry'!I96="","",IFERROR(MAX(0,MIN(10,ROUND(IF('Advanced Entry'!I$8="Decrease Risk",10-10*((IF('Advanced Entry'!I$5="Logarithm",LN(0.001+'Advanced Entry'!I96),IF('Advanced Entry'!I$5="Exponential",EXP('Advanced Entry'!I96),'Advanced Entry'!I96)))-'Advanced Entry'!I$6)/('Advanced Entry'!I$7-'Advanced Entry'!I$6),10*((IF('Advanced Entry'!I$5="Logarithm",LN(0.001+'Advanced Entry'!I96),IF('Advanced Entry'!I$5="Exponential",EXP('Advanced Entry'!I96),'Advanced Entry'!I96)))-'Advanced Entry'!I$6)/('Advanced Entry'!I$7-'Advanced Entry'!I$6)),1))),"No data"))</f>
        <v/>
      </c>
      <c r="J96" s="17">
        <f>IF('Advanced Entry'!J96="","",IFERROR(MAX(0,MIN(10,ROUND(IF('Advanced Entry'!J$8="Decrease Risk",10-10*((IF('Advanced Entry'!J$5="Logarithm",LN(0.001+'Advanced Entry'!J96),IF('Advanced Entry'!J$5="Exponential",EXP('Advanced Entry'!J96),'Advanced Entry'!J96)))-'Advanced Entry'!J$6)/('Advanced Entry'!J$7-'Advanced Entry'!J$6),10*((IF('Advanced Entry'!J$5="Logarithm",LN(0.001+'Advanced Entry'!J96),IF('Advanced Entry'!J$5="Exponential",EXP('Advanced Entry'!J96),'Advanced Entry'!J96)))-'Advanced Entry'!J$6)/('Advanced Entry'!J$7-'Advanced Entry'!J$6)),1))),"No data"))</f>
        <v/>
      </c>
      <c r="K96" s="17">
        <f>IF('Advanced Entry'!K96="","",IFERROR(MAX(0,MIN(10,ROUND(IF('Advanced Entry'!K$8="Decrease Risk",10-10*((IF('Advanced Entry'!K$5="Logarithm",LN(0.001+'Advanced Entry'!K96),IF('Advanced Entry'!K$5="Exponential",EXP('Advanced Entry'!K96),'Advanced Entry'!K96)))-'Advanced Entry'!K$6)/('Advanced Entry'!K$7-'Advanced Entry'!K$6),10*((IF('Advanced Entry'!K$5="Logarithm",LN(0.001+'Advanced Entry'!K96),IF('Advanced Entry'!K$5="Exponential",EXP('Advanced Entry'!K96),'Advanced Entry'!K96)))-'Advanced Entry'!K$6)/('Advanced Entry'!K$7-'Advanced Entry'!K$6)),1))),"No data"))</f>
        <v/>
      </c>
      <c r="L96" s="17">
        <f>IF('Advanced Entry'!L96="","",IFERROR(MAX(0,MIN(10,ROUND(IF('Advanced Entry'!L$8="Decrease Risk",10-10*((IF('Advanced Entry'!L$5="Logarithm",LN(0.001+'Advanced Entry'!L96),IF('Advanced Entry'!L$5="Exponential",EXP('Advanced Entry'!L96),'Advanced Entry'!L96)))-'Advanced Entry'!L$6)/('Advanced Entry'!L$7-'Advanced Entry'!L$6),10*((IF('Advanced Entry'!L$5="Logarithm",LN(0.001+'Advanced Entry'!L96),IF('Advanced Entry'!L$5="Exponential",EXP('Advanced Entry'!L96),'Advanced Entry'!L96)))-'Advanced Entry'!L$6)/('Advanced Entry'!L$7-'Advanced Entry'!L$6)),1))),"No data"))</f>
        <v/>
      </c>
      <c r="M96" s="17">
        <f>IF('Advanced Entry'!M96="","",IFERROR(MAX(0,MIN(10,ROUND(IF('Advanced Entry'!M$8="Decrease Risk",10-10*((IF('Advanced Entry'!M$5="Logarithm",LN(0.001+'Advanced Entry'!M96),IF('Advanced Entry'!M$5="Exponential",EXP('Advanced Entry'!M96),'Advanced Entry'!M96)))-'Advanced Entry'!M$6)/('Advanced Entry'!M$7-'Advanced Entry'!M$6),10*((IF('Advanced Entry'!M$5="Logarithm",LN(0.001+'Advanced Entry'!M96),IF('Advanced Entry'!M$5="Exponential",EXP('Advanced Entry'!M96),'Advanced Entry'!M96)))-'Advanced Entry'!M$6)/('Advanced Entry'!M$7-'Advanced Entry'!M$6)),1))),"No data"))</f>
        <v/>
      </c>
      <c r="N96" s="17">
        <f>IF('Advanced Entry'!N96="","",IFERROR(MAX(0,MIN(10,ROUND(IF('Advanced Entry'!N$8="Decrease Risk",10-10*((IF('Advanced Entry'!N$5="Logarithm",LN(0.001+'Advanced Entry'!N96),IF('Advanced Entry'!N$5="Exponential",EXP('Advanced Entry'!N96),'Advanced Entry'!N96)))-'Advanced Entry'!N$6)/('Advanced Entry'!N$7-'Advanced Entry'!N$6),10*((IF('Advanced Entry'!N$5="Logarithm",LN(0.001+'Advanced Entry'!N96),IF('Advanced Entry'!N$5="Exponential",EXP('Advanced Entry'!N96),'Advanced Entry'!N96)))-'Advanced Entry'!N$6)/('Advanced Entry'!N$7-'Advanced Entry'!N$6)),1))),"No data"))</f>
        <v/>
      </c>
      <c r="O96" s="17">
        <f>IF('Advanced Entry'!O96="","",IFERROR(MAX(0,MIN(10,ROUND(IF('Advanced Entry'!O$8="Decrease Risk",10-10*((IF('Advanced Entry'!O$5="Logarithm",LN(0.001+'Advanced Entry'!O96),IF('Advanced Entry'!O$5="Exponential",EXP('Advanced Entry'!O96),'Advanced Entry'!O96)))-'Advanced Entry'!O$6)/('Advanced Entry'!O$7-'Advanced Entry'!O$6),10*((IF('Advanced Entry'!O$5="Logarithm",LN(0.001+'Advanced Entry'!O96),IF('Advanced Entry'!O$5="Exponential",EXP('Advanced Entry'!O96),'Advanced Entry'!O96)))-'Advanced Entry'!O$6)/('Advanced Entry'!O$7-'Advanced Entry'!O$6)),1))),"No data"))</f>
        <v/>
      </c>
      <c r="P96" s="17">
        <f>IF('Advanced Entry'!P96="","",IFERROR(MAX(0,MIN(10,ROUND(IF('Advanced Entry'!P$8="Decrease Risk",10-10*((IF('Advanced Entry'!P$5="Logarithm",LN(0.001+'Advanced Entry'!P96),IF('Advanced Entry'!P$5="Exponential",EXP('Advanced Entry'!P96),'Advanced Entry'!P96)))-'Advanced Entry'!P$6)/('Advanced Entry'!P$7-'Advanced Entry'!P$6),10*((IF('Advanced Entry'!P$5="Logarithm",LN(0.001+'Advanced Entry'!P96),IF('Advanced Entry'!P$5="Exponential",EXP('Advanced Entry'!P96),'Advanced Entry'!P96)))-'Advanced Entry'!P$6)/('Advanced Entry'!P$7-'Advanced Entry'!P$6)),1))),"No data"))</f>
        <v/>
      </c>
      <c r="Q96" s="17">
        <f>IF('Advanced Entry'!Q96="","",IFERROR(MAX(0,MIN(10,ROUND(IF('Advanced Entry'!Q$8="Decrease Risk",10-10*((IF('Advanced Entry'!Q$5="Logarithm",LN(0.001+'Advanced Entry'!Q96),IF('Advanced Entry'!Q$5="Exponential",EXP('Advanced Entry'!Q96),'Advanced Entry'!Q96)))-'Advanced Entry'!Q$6)/('Advanced Entry'!Q$7-'Advanced Entry'!Q$6),10*((IF('Advanced Entry'!Q$5="Logarithm",LN(0.001+'Advanced Entry'!Q96),IF('Advanced Entry'!Q$5="Exponential",EXP('Advanced Entry'!Q96),'Advanced Entry'!Q96)))-'Advanced Entry'!Q$6)/('Advanced Entry'!Q$7-'Advanced Entry'!Q$6)),1))),"No data"))</f>
        <v/>
      </c>
      <c r="R96" s="17">
        <f>IF('Advanced Entry'!R96="","",IFERROR(MAX(0,MIN(10,ROUND(IF('Advanced Entry'!R$8="Decrease Risk",10-10*((IF('Advanced Entry'!R$5="Logarithm",LN(0.001+'Advanced Entry'!R96),IF('Advanced Entry'!R$5="Exponential",EXP('Advanced Entry'!R96),'Advanced Entry'!R96)))-'Advanced Entry'!R$6)/('Advanced Entry'!R$7-'Advanced Entry'!R$6),10*((IF('Advanced Entry'!R$5="Logarithm",LN(0.001+'Advanced Entry'!R96),IF('Advanced Entry'!R$5="Exponential",EXP('Advanced Entry'!R96),'Advanced Entry'!R96)))-'Advanced Entry'!R$6)/('Advanced Entry'!R$7-'Advanced Entry'!R$6)),1))),"No data"))</f>
        <v/>
      </c>
      <c r="S96" s="17">
        <f>IF('Advanced Entry'!S96="","",IFERROR(MAX(0,MIN(10,ROUND(IF('Advanced Entry'!S$8="Decrease Risk",10-10*((IF('Advanced Entry'!S$5="Logarithm",LN(0.001+'Advanced Entry'!S96),IF('Advanced Entry'!S$5="Exponential",EXP('Advanced Entry'!S96),'Advanced Entry'!S96)))-'Advanced Entry'!S$6)/('Advanced Entry'!S$7-'Advanced Entry'!S$6),10*((IF('Advanced Entry'!S$5="Logarithm",LN(0.001+'Advanced Entry'!S96),IF('Advanced Entry'!S$5="Exponential",EXP('Advanced Entry'!S96),'Advanced Entry'!S96)))-'Advanced Entry'!S$6)/('Advanced Entry'!S$7-'Advanced Entry'!S$6)),1))),"No data"))</f>
        <v/>
      </c>
      <c r="T96" s="17">
        <f>IF('Advanced Entry'!T96="","",IFERROR(MAX(0,MIN(10,ROUND(IF('Advanced Entry'!T$8="Decrease Risk",10-10*((IF('Advanced Entry'!T$5="Logarithm",LN(0.001+'Advanced Entry'!T96),IF('Advanced Entry'!T$5="Exponential",EXP('Advanced Entry'!T96),'Advanced Entry'!T96)))-'Advanced Entry'!T$6)/('Advanced Entry'!T$7-'Advanced Entry'!T$6),10*((IF('Advanced Entry'!T$5="Logarithm",LN(0.001+'Advanced Entry'!T96),IF('Advanced Entry'!T$5="Exponential",EXP('Advanced Entry'!T96),'Advanced Entry'!T96)))-'Advanced Entry'!T$6)/('Advanced Entry'!T$7-'Advanced Entry'!T$6)),1))),"No data"))</f>
        <v/>
      </c>
      <c r="U96" s="17">
        <f>IF('Advanced Entry'!U96="","",IFERROR(MAX(0,MIN(10,ROUND(IF('Advanced Entry'!U$8="Decrease Risk",10-10*((IF('Advanced Entry'!U$5="Logarithm",LN(0.001+'Advanced Entry'!U96),IF('Advanced Entry'!U$5="Exponential",EXP('Advanced Entry'!U96),'Advanced Entry'!U96)))-'Advanced Entry'!U$6)/('Advanced Entry'!U$7-'Advanced Entry'!U$6),10*((IF('Advanced Entry'!U$5="Logarithm",LN(0.001+'Advanced Entry'!U96),IF('Advanced Entry'!U$5="Exponential",EXP('Advanced Entry'!U96),'Advanced Entry'!U96)))-'Advanced Entry'!U$6)/('Advanced Entry'!U$7-'Advanced Entry'!U$6)),1))),"No data"))</f>
        <v/>
      </c>
      <c r="V96" s="17">
        <f>IF('Advanced Entry'!V96="","",IFERROR(MAX(0,MIN(10,ROUND(IF('Advanced Entry'!V$8="Decrease Risk",10-10*((IF('Advanced Entry'!V$5="Logarithm",LN(0.001+'Advanced Entry'!V96),IF('Advanced Entry'!V$5="Exponential",EXP('Advanced Entry'!V96),'Advanced Entry'!V96)))-'Advanced Entry'!V$6)/('Advanced Entry'!V$7-'Advanced Entry'!V$6),10*((IF('Advanced Entry'!V$5="Logarithm",LN(0.001+'Advanced Entry'!V96),IF('Advanced Entry'!V$5="Exponential",EXP('Advanced Entry'!V96),'Advanced Entry'!V96)))-'Advanced Entry'!V$6)/('Advanced Entry'!V$7-'Advanced Entry'!V$6)),1))),"No data"))</f>
        <v/>
      </c>
      <c r="W96" s="17">
        <f>IF('Advanced Entry'!W96="","",IFERROR(MAX(0,MIN(10,ROUND(IF('Advanced Entry'!W$8="Decrease Risk",10-10*((IF('Advanced Entry'!W$5="Logarithm",LN(0.001+'Advanced Entry'!W96),IF('Advanced Entry'!W$5="Exponential",EXP('Advanced Entry'!W96),'Advanced Entry'!W96)))-'Advanced Entry'!W$6)/('Advanced Entry'!W$7-'Advanced Entry'!W$6),10*((IF('Advanced Entry'!W$5="Logarithm",LN(0.001+'Advanced Entry'!W96),IF('Advanced Entry'!W$5="Exponential",EXP('Advanced Entry'!W96),'Advanced Entry'!W96)))-'Advanced Entry'!W$6)/('Advanced Entry'!W$7-'Advanced Entry'!W$6)),1))),"No data"))</f>
        <v/>
      </c>
      <c r="X96" s="17">
        <f>IF('Advanced Entry'!X96="","",IFERROR(MAX(0,MIN(10,ROUND(IF('Advanced Entry'!X$8="Decrease Risk",10-10*((IF('Advanced Entry'!X$5="Logarithm",LN(0.001+'Advanced Entry'!X96),IF('Advanced Entry'!X$5="Exponential",EXP('Advanced Entry'!X96),'Advanced Entry'!X96)))-'Advanced Entry'!X$6)/('Advanced Entry'!X$7-'Advanced Entry'!X$6),10*((IF('Advanced Entry'!X$5="Logarithm",LN(0.001+'Advanced Entry'!X96),IF('Advanced Entry'!X$5="Exponential",EXP('Advanced Entry'!X96),'Advanced Entry'!X96)))-'Advanced Entry'!X$6)/('Advanced Entry'!X$7-'Advanced Entry'!X$6)),1))),"No data"))</f>
        <v/>
      </c>
      <c r="Y96" s="17">
        <f>IF('Advanced Entry'!Y96="","",IFERROR(MAX(0,MIN(10,ROUND(IF('Advanced Entry'!Y$8="Decrease Risk",10-10*((IF('Advanced Entry'!Y$5="Logarithm",LN(0.001+'Advanced Entry'!Y96),IF('Advanced Entry'!Y$5="Exponential",EXP('Advanced Entry'!Y96),'Advanced Entry'!Y96)))-'Advanced Entry'!Y$6)/('Advanced Entry'!Y$7-'Advanced Entry'!Y$6),10*((IF('Advanced Entry'!Y$5="Logarithm",LN(0.001+'Advanced Entry'!Y96),IF('Advanced Entry'!Y$5="Exponential",EXP('Advanced Entry'!Y96),'Advanced Entry'!Y96)))-'Advanced Entry'!Y$6)/('Advanced Entry'!Y$7-'Advanced Entry'!Y$6)),1))),"No data"))</f>
        <v/>
      </c>
      <c r="Z96" s="17">
        <f>IF('Advanced Entry'!Z96="","",IFERROR(MAX(0,MIN(10,ROUND(IF('Advanced Entry'!Z$8="Decrease Risk",10-10*((IF('Advanced Entry'!Z$5="Logarithm",LN(0.001+'Advanced Entry'!Z96),IF('Advanced Entry'!Z$5="Exponential",EXP('Advanced Entry'!Z96),'Advanced Entry'!Z96)))-'Advanced Entry'!Z$6)/('Advanced Entry'!Z$7-'Advanced Entry'!Z$6),10*((IF('Advanced Entry'!Z$5="Logarithm",LN(0.001+'Advanced Entry'!Z96),IF('Advanced Entry'!Z$5="Exponential",EXP('Advanced Entry'!Z96),'Advanced Entry'!Z96)))-'Advanced Entry'!Z$6)/('Advanced Entry'!Z$7-'Advanced Entry'!Z$6)),1))),"No data"))</f>
        <v/>
      </c>
      <c r="AA96" s="17">
        <f>IF('Advanced Entry'!AA96="","",IFERROR(MAX(0,MIN(10,ROUND(IF('Advanced Entry'!AA$8="Decrease Risk",10-10*((IF('Advanced Entry'!AA$5="Logarithm",LN(0.001+'Advanced Entry'!AA96),IF('Advanced Entry'!AA$5="Exponential",EXP('Advanced Entry'!AA96),'Advanced Entry'!AA96)))-'Advanced Entry'!AA$6)/('Advanced Entry'!AA$7-'Advanced Entry'!AA$6),10*((IF('Advanced Entry'!AA$5="Logarithm",LN(0.001+'Advanced Entry'!AA96),IF('Advanced Entry'!AA$5="Exponential",EXP('Advanced Entry'!AA96),'Advanced Entry'!AA96)))-'Advanced Entry'!AA$6)/('Advanced Entry'!AA$7-'Advanced Entry'!AA$6)),1))),"No data"))</f>
        <v/>
      </c>
      <c r="AB96" s="17">
        <f>IF('Advanced Entry'!AB96="","",IFERROR(MAX(0,MIN(10,ROUND(IF('Advanced Entry'!AB$8="Decrease Risk",10-10*((IF('Advanced Entry'!AB$5="Logarithm",LN(0.001+'Advanced Entry'!AB96),IF('Advanced Entry'!AB$5="Exponential",EXP('Advanced Entry'!AB96),'Advanced Entry'!AB96)))-'Advanced Entry'!AB$6)/('Advanced Entry'!AB$7-'Advanced Entry'!AB$6),10*((IF('Advanced Entry'!AB$5="Logarithm",LN(0.001+'Advanced Entry'!AB96),IF('Advanced Entry'!AB$5="Exponential",EXP('Advanced Entry'!AB96),'Advanced Entry'!AB96)))-'Advanced Entry'!AB$6)/('Advanced Entry'!AB$7-'Advanced Entry'!AB$6)),1))),"No data"))</f>
        <v/>
      </c>
    </row>
    <row r="97">
      <c r="A97" t="inlineStr">
        <is>
          <t>Mara</t>
        </is>
      </c>
      <c r="B97" t="inlineStr">
        <is>
          <t>Serengeti District</t>
        </is>
      </c>
      <c r="C97" t="inlineStr">
        <is>
          <t>C143</t>
        </is>
      </c>
      <c r="D97" s="17">
        <f>IF('Advanced Entry'!D97="","",IFERROR(MAX(0,MIN(10,ROUND(IF('Advanced Entry'!D$8="Decrease Risk",10-10*((IF('Advanced Entry'!D$5="Logarithm",LN(0.001+'Advanced Entry'!D97),IF('Advanced Entry'!D$5="Exponential",EXP('Advanced Entry'!D97),'Advanced Entry'!D97)))-'Advanced Entry'!D$6)/('Advanced Entry'!D$7-'Advanced Entry'!D$6),10*((IF('Advanced Entry'!D$5="Logarithm",LN(0.001+'Advanced Entry'!D97),IF('Advanced Entry'!D$5="Exponential",EXP('Advanced Entry'!D97),'Advanced Entry'!D97)))-'Advanced Entry'!D$6)/('Advanced Entry'!D$7-'Advanced Entry'!D$6)),1))),"No data"))</f>
        <v/>
      </c>
      <c r="E97" s="17">
        <f>IF('Advanced Entry'!E97="","",IFERROR(MAX(0,MIN(10,ROUND(IF('Advanced Entry'!E$8="Decrease Risk",10-10*((IF('Advanced Entry'!E$5="Logarithm",LN(0.001+'Advanced Entry'!E97),IF('Advanced Entry'!E$5="Exponential",EXP('Advanced Entry'!E97),'Advanced Entry'!E97)))-'Advanced Entry'!E$6)/('Advanced Entry'!E$7-'Advanced Entry'!E$6),10*((IF('Advanced Entry'!E$5="Logarithm",LN(0.001+'Advanced Entry'!E97),IF('Advanced Entry'!E$5="Exponential",EXP('Advanced Entry'!E97),'Advanced Entry'!E97)))-'Advanced Entry'!E$6)/('Advanced Entry'!E$7-'Advanced Entry'!E$6)),1))),"No data"))</f>
        <v/>
      </c>
      <c r="F97" s="17">
        <f>IF('Advanced Entry'!F97="","",IFERROR(MAX(0,MIN(10,ROUND(IF('Advanced Entry'!F$8="Decrease Risk",10-10*((IF('Advanced Entry'!F$5="Logarithm",LN(0.001+'Advanced Entry'!F97),IF('Advanced Entry'!F$5="Exponential",EXP('Advanced Entry'!F97),'Advanced Entry'!F97)))-'Advanced Entry'!F$6)/('Advanced Entry'!F$7-'Advanced Entry'!F$6),10*((IF('Advanced Entry'!F$5="Logarithm",LN(0.001+'Advanced Entry'!F97),IF('Advanced Entry'!F$5="Exponential",EXP('Advanced Entry'!F97),'Advanced Entry'!F97)))-'Advanced Entry'!F$6)/('Advanced Entry'!F$7-'Advanced Entry'!F$6)),1))),"No data"))</f>
        <v/>
      </c>
      <c r="G97" s="17">
        <f>IF('Advanced Entry'!G97="","",IFERROR(MAX(0,MIN(10,ROUND(IF('Advanced Entry'!G$8="Decrease Risk",10-10*((IF('Advanced Entry'!G$5="Logarithm",LN(0.001+'Advanced Entry'!G97),IF('Advanced Entry'!G$5="Exponential",EXP('Advanced Entry'!G97),'Advanced Entry'!G97)))-'Advanced Entry'!G$6)/('Advanced Entry'!G$7-'Advanced Entry'!G$6),10*((IF('Advanced Entry'!G$5="Logarithm",LN(0.001+'Advanced Entry'!G97),IF('Advanced Entry'!G$5="Exponential",EXP('Advanced Entry'!G97),'Advanced Entry'!G97)))-'Advanced Entry'!G$6)/('Advanced Entry'!G$7-'Advanced Entry'!G$6)),1))),"No data"))</f>
        <v/>
      </c>
      <c r="H97" s="17">
        <f>IF('Advanced Entry'!H97="","",IFERROR(MAX(0,MIN(10,ROUND(IF('Advanced Entry'!H$8="Decrease Risk",10-10*((IF('Advanced Entry'!H$5="Logarithm",LN(0.001+'Advanced Entry'!H97),IF('Advanced Entry'!H$5="Exponential",EXP('Advanced Entry'!H97),'Advanced Entry'!H97)))-'Advanced Entry'!H$6)/('Advanced Entry'!H$7-'Advanced Entry'!H$6),10*((IF('Advanced Entry'!H$5="Logarithm",LN(0.001+'Advanced Entry'!H97),IF('Advanced Entry'!H$5="Exponential",EXP('Advanced Entry'!H97),'Advanced Entry'!H97)))-'Advanced Entry'!H$6)/('Advanced Entry'!H$7-'Advanced Entry'!H$6)),1))),"No data"))</f>
        <v/>
      </c>
      <c r="I97" s="17">
        <f>IF('Advanced Entry'!I97="","",IFERROR(MAX(0,MIN(10,ROUND(IF('Advanced Entry'!I$8="Decrease Risk",10-10*((IF('Advanced Entry'!I$5="Logarithm",LN(0.001+'Advanced Entry'!I97),IF('Advanced Entry'!I$5="Exponential",EXP('Advanced Entry'!I97),'Advanced Entry'!I97)))-'Advanced Entry'!I$6)/('Advanced Entry'!I$7-'Advanced Entry'!I$6),10*((IF('Advanced Entry'!I$5="Logarithm",LN(0.001+'Advanced Entry'!I97),IF('Advanced Entry'!I$5="Exponential",EXP('Advanced Entry'!I97),'Advanced Entry'!I97)))-'Advanced Entry'!I$6)/('Advanced Entry'!I$7-'Advanced Entry'!I$6)),1))),"No data"))</f>
        <v/>
      </c>
      <c r="J97" s="17">
        <f>IF('Advanced Entry'!J97="","",IFERROR(MAX(0,MIN(10,ROUND(IF('Advanced Entry'!J$8="Decrease Risk",10-10*((IF('Advanced Entry'!J$5="Logarithm",LN(0.001+'Advanced Entry'!J97),IF('Advanced Entry'!J$5="Exponential",EXP('Advanced Entry'!J97),'Advanced Entry'!J97)))-'Advanced Entry'!J$6)/('Advanced Entry'!J$7-'Advanced Entry'!J$6),10*((IF('Advanced Entry'!J$5="Logarithm",LN(0.001+'Advanced Entry'!J97),IF('Advanced Entry'!J$5="Exponential",EXP('Advanced Entry'!J97),'Advanced Entry'!J97)))-'Advanced Entry'!J$6)/('Advanced Entry'!J$7-'Advanced Entry'!J$6)),1))),"No data"))</f>
        <v/>
      </c>
      <c r="K97" s="17">
        <f>IF('Advanced Entry'!K97="","",IFERROR(MAX(0,MIN(10,ROUND(IF('Advanced Entry'!K$8="Decrease Risk",10-10*((IF('Advanced Entry'!K$5="Logarithm",LN(0.001+'Advanced Entry'!K97),IF('Advanced Entry'!K$5="Exponential",EXP('Advanced Entry'!K97),'Advanced Entry'!K97)))-'Advanced Entry'!K$6)/('Advanced Entry'!K$7-'Advanced Entry'!K$6),10*((IF('Advanced Entry'!K$5="Logarithm",LN(0.001+'Advanced Entry'!K97),IF('Advanced Entry'!K$5="Exponential",EXP('Advanced Entry'!K97),'Advanced Entry'!K97)))-'Advanced Entry'!K$6)/('Advanced Entry'!K$7-'Advanced Entry'!K$6)),1))),"No data"))</f>
        <v/>
      </c>
      <c r="L97" s="17">
        <f>IF('Advanced Entry'!L97="","",IFERROR(MAX(0,MIN(10,ROUND(IF('Advanced Entry'!L$8="Decrease Risk",10-10*((IF('Advanced Entry'!L$5="Logarithm",LN(0.001+'Advanced Entry'!L97),IF('Advanced Entry'!L$5="Exponential",EXP('Advanced Entry'!L97),'Advanced Entry'!L97)))-'Advanced Entry'!L$6)/('Advanced Entry'!L$7-'Advanced Entry'!L$6),10*((IF('Advanced Entry'!L$5="Logarithm",LN(0.001+'Advanced Entry'!L97),IF('Advanced Entry'!L$5="Exponential",EXP('Advanced Entry'!L97),'Advanced Entry'!L97)))-'Advanced Entry'!L$6)/('Advanced Entry'!L$7-'Advanced Entry'!L$6)),1))),"No data"))</f>
        <v/>
      </c>
      <c r="M97" s="17">
        <f>IF('Advanced Entry'!M97="","",IFERROR(MAX(0,MIN(10,ROUND(IF('Advanced Entry'!M$8="Decrease Risk",10-10*((IF('Advanced Entry'!M$5="Logarithm",LN(0.001+'Advanced Entry'!M97),IF('Advanced Entry'!M$5="Exponential",EXP('Advanced Entry'!M97),'Advanced Entry'!M97)))-'Advanced Entry'!M$6)/('Advanced Entry'!M$7-'Advanced Entry'!M$6),10*((IF('Advanced Entry'!M$5="Logarithm",LN(0.001+'Advanced Entry'!M97),IF('Advanced Entry'!M$5="Exponential",EXP('Advanced Entry'!M97),'Advanced Entry'!M97)))-'Advanced Entry'!M$6)/('Advanced Entry'!M$7-'Advanced Entry'!M$6)),1))),"No data"))</f>
        <v/>
      </c>
      <c r="N97" s="17">
        <f>IF('Advanced Entry'!N97="","",IFERROR(MAX(0,MIN(10,ROUND(IF('Advanced Entry'!N$8="Decrease Risk",10-10*((IF('Advanced Entry'!N$5="Logarithm",LN(0.001+'Advanced Entry'!N97),IF('Advanced Entry'!N$5="Exponential",EXP('Advanced Entry'!N97),'Advanced Entry'!N97)))-'Advanced Entry'!N$6)/('Advanced Entry'!N$7-'Advanced Entry'!N$6),10*((IF('Advanced Entry'!N$5="Logarithm",LN(0.001+'Advanced Entry'!N97),IF('Advanced Entry'!N$5="Exponential",EXP('Advanced Entry'!N97),'Advanced Entry'!N97)))-'Advanced Entry'!N$6)/('Advanced Entry'!N$7-'Advanced Entry'!N$6)),1))),"No data"))</f>
        <v/>
      </c>
      <c r="O97" s="17">
        <f>IF('Advanced Entry'!O97="","",IFERROR(MAX(0,MIN(10,ROUND(IF('Advanced Entry'!O$8="Decrease Risk",10-10*((IF('Advanced Entry'!O$5="Logarithm",LN(0.001+'Advanced Entry'!O97),IF('Advanced Entry'!O$5="Exponential",EXP('Advanced Entry'!O97),'Advanced Entry'!O97)))-'Advanced Entry'!O$6)/('Advanced Entry'!O$7-'Advanced Entry'!O$6),10*((IF('Advanced Entry'!O$5="Logarithm",LN(0.001+'Advanced Entry'!O97),IF('Advanced Entry'!O$5="Exponential",EXP('Advanced Entry'!O97),'Advanced Entry'!O97)))-'Advanced Entry'!O$6)/('Advanced Entry'!O$7-'Advanced Entry'!O$6)),1))),"No data"))</f>
        <v/>
      </c>
      <c r="P97" s="17">
        <f>IF('Advanced Entry'!P97="","",IFERROR(MAX(0,MIN(10,ROUND(IF('Advanced Entry'!P$8="Decrease Risk",10-10*((IF('Advanced Entry'!P$5="Logarithm",LN(0.001+'Advanced Entry'!P97),IF('Advanced Entry'!P$5="Exponential",EXP('Advanced Entry'!P97),'Advanced Entry'!P97)))-'Advanced Entry'!P$6)/('Advanced Entry'!P$7-'Advanced Entry'!P$6),10*((IF('Advanced Entry'!P$5="Logarithm",LN(0.001+'Advanced Entry'!P97),IF('Advanced Entry'!P$5="Exponential",EXP('Advanced Entry'!P97),'Advanced Entry'!P97)))-'Advanced Entry'!P$6)/('Advanced Entry'!P$7-'Advanced Entry'!P$6)),1))),"No data"))</f>
        <v/>
      </c>
      <c r="Q97" s="17">
        <f>IF('Advanced Entry'!Q97="","",IFERROR(MAX(0,MIN(10,ROUND(IF('Advanced Entry'!Q$8="Decrease Risk",10-10*((IF('Advanced Entry'!Q$5="Logarithm",LN(0.001+'Advanced Entry'!Q97),IF('Advanced Entry'!Q$5="Exponential",EXP('Advanced Entry'!Q97),'Advanced Entry'!Q97)))-'Advanced Entry'!Q$6)/('Advanced Entry'!Q$7-'Advanced Entry'!Q$6),10*((IF('Advanced Entry'!Q$5="Logarithm",LN(0.001+'Advanced Entry'!Q97),IF('Advanced Entry'!Q$5="Exponential",EXP('Advanced Entry'!Q97),'Advanced Entry'!Q97)))-'Advanced Entry'!Q$6)/('Advanced Entry'!Q$7-'Advanced Entry'!Q$6)),1))),"No data"))</f>
        <v/>
      </c>
      <c r="R97" s="17">
        <f>IF('Advanced Entry'!R97="","",IFERROR(MAX(0,MIN(10,ROUND(IF('Advanced Entry'!R$8="Decrease Risk",10-10*((IF('Advanced Entry'!R$5="Logarithm",LN(0.001+'Advanced Entry'!R97),IF('Advanced Entry'!R$5="Exponential",EXP('Advanced Entry'!R97),'Advanced Entry'!R97)))-'Advanced Entry'!R$6)/('Advanced Entry'!R$7-'Advanced Entry'!R$6),10*((IF('Advanced Entry'!R$5="Logarithm",LN(0.001+'Advanced Entry'!R97),IF('Advanced Entry'!R$5="Exponential",EXP('Advanced Entry'!R97),'Advanced Entry'!R97)))-'Advanced Entry'!R$6)/('Advanced Entry'!R$7-'Advanced Entry'!R$6)),1))),"No data"))</f>
        <v/>
      </c>
      <c r="S97" s="17">
        <f>IF('Advanced Entry'!S97="","",IFERROR(MAX(0,MIN(10,ROUND(IF('Advanced Entry'!S$8="Decrease Risk",10-10*((IF('Advanced Entry'!S$5="Logarithm",LN(0.001+'Advanced Entry'!S97),IF('Advanced Entry'!S$5="Exponential",EXP('Advanced Entry'!S97),'Advanced Entry'!S97)))-'Advanced Entry'!S$6)/('Advanced Entry'!S$7-'Advanced Entry'!S$6),10*((IF('Advanced Entry'!S$5="Logarithm",LN(0.001+'Advanced Entry'!S97),IF('Advanced Entry'!S$5="Exponential",EXP('Advanced Entry'!S97),'Advanced Entry'!S97)))-'Advanced Entry'!S$6)/('Advanced Entry'!S$7-'Advanced Entry'!S$6)),1))),"No data"))</f>
        <v/>
      </c>
      <c r="T97" s="17">
        <f>IF('Advanced Entry'!T97="","",IFERROR(MAX(0,MIN(10,ROUND(IF('Advanced Entry'!T$8="Decrease Risk",10-10*((IF('Advanced Entry'!T$5="Logarithm",LN(0.001+'Advanced Entry'!T97),IF('Advanced Entry'!T$5="Exponential",EXP('Advanced Entry'!T97),'Advanced Entry'!T97)))-'Advanced Entry'!T$6)/('Advanced Entry'!T$7-'Advanced Entry'!T$6),10*((IF('Advanced Entry'!T$5="Logarithm",LN(0.001+'Advanced Entry'!T97),IF('Advanced Entry'!T$5="Exponential",EXP('Advanced Entry'!T97),'Advanced Entry'!T97)))-'Advanced Entry'!T$6)/('Advanced Entry'!T$7-'Advanced Entry'!T$6)),1))),"No data"))</f>
        <v/>
      </c>
      <c r="U97" s="17">
        <f>IF('Advanced Entry'!U97="","",IFERROR(MAX(0,MIN(10,ROUND(IF('Advanced Entry'!U$8="Decrease Risk",10-10*((IF('Advanced Entry'!U$5="Logarithm",LN(0.001+'Advanced Entry'!U97),IF('Advanced Entry'!U$5="Exponential",EXP('Advanced Entry'!U97),'Advanced Entry'!U97)))-'Advanced Entry'!U$6)/('Advanced Entry'!U$7-'Advanced Entry'!U$6),10*((IF('Advanced Entry'!U$5="Logarithm",LN(0.001+'Advanced Entry'!U97),IF('Advanced Entry'!U$5="Exponential",EXP('Advanced Entry'!U97),'Advanced Entry'!U97)))-'Advanced Entry'!U$6)/('Advanced Entry'!U$7-'Advanced Entry'!U$6)),1))),"No data"))</f>
        <v/>
      </c>
      <c r="V97" s="17">
        <f>IF('Advanced Entry'!V97="","",IFERROR(MAX(0,MIN(10,ROUND(IF('Advanced Entry'!V$8="Decrease Risk",10-10*((IF('Advanced Entry'!V$5="Logarithm",LN(0.001+'Advanced Entry'!V97),IF('Advanced Entry'!V$5="Exponential",EXP('Advanced Entry'!V97),'Advanced Entry'!V97)))-'Advanced Entry'!V$6)/('Advanced Entry'!V$7-'Advanced Entry'!V$6),10*((IF('Advanced Entry'!V$5="Logarithm",LN(0.001+'Advanced Entry'!V97),IF('Advanced Entry'!V$5="Exponential",EXP('Advanced Entry'!V97),'Advanced Entry'!V97)))-'Advanced Entry'!V$6)/('Advanced Entry'!V$7-'Advanced Entry'!V$6)),1))),"No data"))</f>
        <v/>
      </c>
      <c r="W97" s="17">
        <f>IF('Advanced Entry'!W97="","",IFERROR(MAX(0,MIN(10,ROUND(IF('Advanced Entry'!W$8="Decrease Risk",10-10*((IF('Advanced Entry'!W$5="Logarithm",LN(0.001+'Advanced Entry'!W97),IF('Advanced Entry'!W$5="Exponential",EXP('Advanced Entry'!W97),'Advanced Entry'!W97)))-'Advanced Entry'!W$6)/('Advanced Entry'!W$7-'Advanced Entry'!W$6),10*((IF('Advanced Entry'!W$5="Logarithm",LN(0.001+'Advanced Entry'!W97),IF('Advanced Entry'!W$5="Exponential",EXP('Advanced Entry'!W97),'Advanced Entry'!W97)))-'Advanced Entry'!W$6)/('Advanced Entry'!W$7-'Advanced Entry'!W$6)),1))),"No data"))</f>
        <v/>
      </c>
      <c r="X97" s="17">
        <f>IF('Advanced Entry'!X97="","",IFERROR(MAX(0,MIN(10,ROUND(IF('Advanced Entry'!X$8="Decrease Risk",10-10*((IF('Advanced Entry'!X$5="Logarithm",LN(0.001+'Advanced Entry'!X97),IF('Advanced Entry'!X$5="Exponential",EXP('Advanced Entry'!X97),'Advanced Entry'!X97)))-'Advanced Entry'!X$6)/('Advanced Entry'!X$7-'Advanced Entry'!X$6),10*((IF('Advanced Entry'!X$5="Logarithm",LN(0.001+'Advanced Entry'!X97),IF('Advanced Entry'!X$5="Exponential",EXP('Advanced Entry'!X97),'Advanced Entry'!X97)))-'Advanced Entry'!X$6)/('Advanced Entry'!X$7-'Advanced Entry'!X$6)),1))),"No data"))</f>
        <v/>
      </c>
      <c r="Y97" s="17">
        <f>IF('Advanced Entry'!Y97="","",IFERROR(MAX(0,MIN(10,ROUND(IF('Advanced Entry'!Y$8="Decrease Risk",10-10*((IF('Advanced Entry'!Y$5="Logarithm",LN(0.001+'Advanced Entry'!Y97),IF('Advanced Entry'!Y$5="Exponential",EXP('Advanced Entry'!Y97),'Advanced Entry'!Y97)))-'Advanced Entry'!Y$6)/('Advanced Entry'!Y$7-'Advanced Entry'!Y$6),10*((IF('Advanced Entry'!Y$5="Logarithm",LN(0.001+'Advanced Entry'!Y97),IF('Advanced Entry'!Y$5="Exponential",EXP('Advanced Entry'!Y97),'Advanced Entry'!Y97)))-'Advanced Entry'!Y$6)/('Advanced Entry'!Y$7-'Advanced Entry'!Y$6)),1))),"No data"))</f>
        <v/>
      </c>
      <c r="Z97" s="17">
        <f>IF('Advanced Entry'!Z97="","",IFERROR(MAX(0,MIN(10,ROUND(IF('Advanced Entry'!Z$8="Decrease Risk",10-10*((IF('Advanced Entry'!Z$5="Logarithm",LN(0.001+'Advanced Entry'!Z97),IF('Advanced Entry'!Z$5="Exponential",EXP('Advanced Entry'!Z97),'Advanced Entry'!Z97)))-'Advanced Entry'!Z$6)/('Advanced Entry'!Z$7-'Advanced Entry'!Z$6),10*((IF('Advanced Entry'!Z$5="Logarithm",LN(0.001+'Advanced Entry'!Z97),IF('Advanced Entry'!Z$5="Exponential",EXP('Advanced Entry'!Z97),'Advanced Entry'!Z97)))-'Advanced Entry'!Z$6)/('Advanced Entry'!Z$7-'Advanced Entry'!Z$6)),1))),"No data"))</f>
        <v/>
      </c>
      <c r="AA97" s="17">
        <f>IF('Advanced Entry'!AA97="","",IFERROR(MAX(0,MIN(10,ROUND(IF('Advanced Entry'!AA$8="Decrease Risk",10-10*((IF('Advanced Entry'!AA$5="Logarithm",LN(0.001+'Advanced Entry'!AA97),IF('Advanced Entry'!AA$5="Exponential",EXP('Advanced Entry'!AA97),'Advanced Entry'!AA97)))-'Advanced Entry'!AA$6)/('Advanced Entry'!AA$7-'Advanced Entry'!AA$6),10*((IF('Advanced Entry'!AA$5="Logarithm",LN(0.001+'Advanced Entry'!AA97),IF('Advanced Entry'!AA$5="Exponential",EXP('Advanced Entry'!AA97),'Advanced Entry'!AA97)))-'Advanced Entry'!AA$6)/('Advanced Entry'!AA$7-'Advanced Entry'!AA$6)),1))),"No data"))</f>
        <v/>
      </c>
      <c r="AB97" s="17">
        <f>IF('Advanced Entry'!AB97="","",IFERROR(MAX(0,MIN(10,ROUND(IF('Advanced Entry'!AB$8="Decrease Risk",10-10*((IF('Advanced Entry'!AB$5="Logarithm",LN(0.001+'Advanced Entry'!AB97),IF('Advanced Entry'!AB$5="Exponential",EXP('Advanced Entry'!AB97),'Advanced Entry'!AB97)))-'Advanced Entry'!AB$6)/('Advanced Entry'!AB$7-'Advanced Entry'!AB$6),10*((IF('Advanced Entry'!AB$5="Logarithm",LN(0.001+'Advanced Entry'!AB97),IF('Advanced Entry'!AB$5="Exponential",EXP('Advanced Entry'!AB97),'Advanced Entry'!AB97)))-'Advanced Entry'!AB$6)/('Advanced Entry'!AB$7-'Advanced Entry'!AB$6)),1))),"No data"))</f>
        <v/>
      </c>
    </row>
    <row r="98">
      <c r="A98" t="inlineStr">
        <is>
          <t>Mara</t>
        </is>
      </c>
      <c r="B98" t="inlineStr">
        <is>
          <t>Tarime District</t>
        </is>
      </c>
      <c r="C98" t="inlineStr">
        <is>
          <t>C141</t>
        </is>
      </c>
      <c r="D98" s="17">
        <f>IF('Advanced Entry'!D98="","",IFERROR(MAX(0,MIN(10,ROUND(IF('Advanced Entry'!D$8="Decrease Risk",10-10*((IF('Advanced Entry'!D$5="Logarithm",LN(0.001+'Advanced Entry'!D98),IF('Advanced Entry'!D$5="Exponential",EXP('Advanced Entry'!D98),'Advanced Entry'!D98)))-'Advanced Entry'!D$6)/('Advanced Entry'!D$7-'Advanced Entry'!D$6),10*((IF('Advanced Entry'!D$5="Logarithm",LN(0.001+'Advanced Entry'!D98),IF('Advanced Entry'!D$5="Exponential",EXP('Advanced Entry'!D98),'Advanced Entry'!D98)))-'Advanced Entry'!D$6)/('Advanced Entry'!D$7-'Advanced Entry'!D$6)),1))),"No data"))</f>
        <v/>
      </c>
      <c r="E98" s="17">
        <f>IF('Advanced Entry'!E98="","",IFERROR(MAX(0,MIN(10,ROUND(IF('Advanced Entry'!E$8="Decrease Risk",10-10*((IF('Advanced Entry'!E$5="Logarithm",LN(0.001+'Advanced Entry'!E98),IF('Advanced Entry'!E$5="Exponential",EXP('Advanced Entry'!E98),'Advanced Entry'!E98)))-'Advanced Entry'!E$6)/('Advanced Entry'!E$7-'Advanced Entry'!E$6),10*((IF('Advanced Entry'!E$5="Logarithm",LN(0.001+'Advanced Entry'!E98),IF('Advanced Entry'!E$5="Exponential",EXP('Advanced Entry'!E98),'Advanced Entry'!E98)))-'Advanced Entry'!E$6)/('Advanced Entry'!E$7-'Advanced Entry'!E$6)),1))),"No data"))</f>
        <v/>
      </c>
      <c r="F98" s="17">
        <f>IF('Advanced Entry'!F98="","",IFERROR(MAX(0,MIN(10,ROUND(IF('Advanced Entry'!F$8="Decrease Risk",10-10*((IF('Advanced Entry'!F$5="Logarithm",LN(0.001+'Advanced Entry'!F98),IF('Advanced Entry'!F$5="Exponential",EXP('Advanced Entry'!F98),'Advanced Entry'!F98)))-'Advanced Entry'!F$6)/('Advanced Entry'!F$7-'Advanced Entry'!F$6),10*((IF('Advanced Entry'!F$5="Logarithm",LN(0.001+'Advanced Entry'!F98),IF('Advanced Entry'!F$5="Exponential",EXP('Advanced Entry'!F98),'Advanced Entry'!F98)))-'Advanced Entry'!F$6)/('Advanced Entry'!F$7-'Advanced Entry'!F$6)),1))),"No data"))</f>
        <v/>
      </c>
      <c r="G98" s="17">
        <f>IF('Advanced Entry'!G98="","",IFERROR(MAX(0,MIN(10,ROUND(IF('Advanced Entry'!G$8="Decrease Risk",10-10*((IF('Advanced Entry'!G$5="Logarithm",LN(0.001+'Advanced Entry'!G98),IF('Advanced Entry'!G$5="Exponential",EXP('Advanced Entry'!G98),'Advanced Entry'!G98)))-'Advanced Entry'!G$6)/('Advanced Entry'!G$7-'Advanced Entry'!G$6),10*((IF('Advanced Entry'!G$5="Logarithm",LN(0.001+'Advanced Entry'!G98),IF('Advanced Entry'!G$5="Exponential",EXP('Advanced Entry'!G98),'Advanced Entry'!G98)))-'Advanced Entry'!G$6)/('Advanced Entry'!G$7-'Advanced Entry'!G$6)),1))),"No data"))</f>
        <v/>
      </c>
      <c r="H98" s="17">
        <f>IF('Advanced Entry'!H98="","",IFERROR(MAX(0,MIN(10,ROUND(IF('Advanced Entry'!H$8="Decrease Risk",10-10*((IF('Advanced Entry'!H$5="Logarithm",LN(0.001+'Advanced Entry'!H98),IF('Advanced Entry'!H$5="Exponential",EXP('Advanced Entry'!H98),'Advanced Entry'!H98)))-'Advanced Entry'!H$6)/('Advanced Entry'!H$7-'Advanced Entry'!H$6),10*((IF('Advanced Entry'!H$5="Logarithm",LN(0.001+'Advanced Entry'!H98),IF('Advanced Entry'!H$5="Exponential",EXP('Advanced Entry'!H98),'Advanced Entry'!H98)))-'Advanced Entry'!H$6)/('Advanced Entry'!H$7-'Advanced Entry'!H$6)),1))),"No data"))</f>
        <v/>
      </c>
      <c r="I98" s="17">
        <f>IF('Advanced Entry'!I98="","",IFERROR(MAX(0,MIN(10,ROUND(IF('Advanced Entry'!I$8="Decrease Risk",10-10*((IF('Advanced Entry'!I$5="Logarithm",LN(0.001+'Advanced Entry'!I98),IF('Advanced Entry'!I$5="Exponential",EXP('Advanced Entry'!I98),'Advanced Entry'!I98)))-'Advanced Entry'!I$6)/('Advanced Entry'!I$7-'Advanced Entry'!I$6),10*((IF('Advanced Entry'!I$5="Logarithm",LN(0.001+'Advanced Entry'!I98),IF('Advanced Entry'!I$5="Exponential",EXP('Advanced Entry'!I98),'Advanced Entry'!I98)))-'Advanced Entry'!I$6)/('Advanced Entry'!I$7-'Advanced Entry'!I$6)),1))),"No data"))</f>
        <v/>
      </c>
      <c r="J98" s="17">
        <f>IF('Advanced Entry'!J98="","",IFERROR(MAX(0,MIN(10,ROUND(IF('Advanced Entry'!J$8="Decrease Risk",10-10*((IF('Advanced Entry'!J$5="Logarithm",LN(0.001+'Advanced Entry'!J98),IF('Advanced Entry'!J$5="Exponential",EXP('Advanced Entry'!J98),'Advanced Entry'!J98)))-'Advanced Entry'!J$6)/('Advanced Entry'!J$7-'Advanced Entry'!J$6),10*((IF('Advanced Entry'!J$5="Logarithm",LN(0.001+'Advanced Entry'!J98),IF('Advanced Entry'!J$5="Exponential",EXP('Advanced Entry'!J98),'Advanced Entry'!J98)))-'Advanced Entry'!J$6)/('Advanced Entry'!J$7-'Advanced Entry'!J$6)),1))),"No data"))</f>
        <v/>
      </c>
      <c r="K98" s="17">
        <f>IF('Advanced Entry'!K98="","",IFERROR(MAX(0,MIN(10,ROUND(IF('Advanced Entry'!K$8="Decrease Risk",10-10*((IF('Advanced Entry'!K$5="Logarithm",LN(0.001+'Advanced Entry'!K98),IF('Advanced Entry'!K$5="Exponential",EXP('Advanced Entry'!K98),'Advanced Entry'!K98)))-'Advanced Entry'!K$6)/('Advanced Entry'!K$7-'Advanced Entry'!K$6),10*((IF('Advanced Entry'!K$5="Logarithm",LN(0.001+'Advanced Entry'!K98),IF('Advanced Entry'!K$5="Exponential",EXP('Advanced Entry'!K98),'Advanced Entry'!K98)))-'Advanced Entry'!K$6)/('Advanced Entry'!K$7-'Advanced Entry'!K$6)),1))),"No data"))</f>
        <v/>
      </c>
      <c r="L98" s="17">
        <f>IF('Advanced Entry'!L98="","",IFERROR(MAX(0,MIN(10,ROUND(IF('Advanced Entry'!L$8="Decrease Risk",10-10*((IF('Advanced Entry'!L$5="Logarithm",LN(0.001+'Advanced Entry'!L98),IF('Advanced Entry'!L$5="Exponential",EXP('Advanced Entry'!L98),'Advanced Entry'!L98)))-'Advanced Entry'!L$6)/('Advanced Entry'!L$7-'Advanced Entry'!L$6),10*((IF('Advanced Entry'!L$5="Logarithm",LN(0.001+'Advanced Entry'!L98),IF('Advanced Entry'!L$5="Exponential",EXP('Advanced Entry'!L98),'Advanced Entry'!L98)))-'Advanced Entry'!L$6)/('Advanced Entry'!L$7-'Advanced Entry'!L$6)),1))),"No data"))</f>
        <v/>
      </c>
      <c r="M98" s="17">
        <f>IF('Advanced Entry'!M98="","",IFERROR(MAX(0,MIN(10,ROUND(IF('Advanced Entry'!M$8="Decrease Risk",10-10*((IF('Advanced Entry'!M$5="Logarithm",LN(0.001+'Advanced Entry'!M98),IF('Advanced Entry'!M$5="Exponential",EXP('Advanced Entry'!M98),'Advanced Entry'!M98)))-'Advanced Entry'!M$6)/('Advanced Entry'!M$7-'Advanced Entry'!M$6),10*((IF('Advanced Entry'!M$5="Logarithm",LN(0.001+'Advanced Entry'!M98),IF('Advanced Entry'!M$5="Exponential",EXP('Advanced Entry'!M98),'Advanced Entry'!M98)))-'Advanced Entry'!M$6)/('Advanced Entry'!M$7-'Advanced Entry'!M$6)),1))),"No data"))</f>
        <v/>
      </c>
      <c r="N98" s="17">
        <f>IF('Advanced Entry'!N98="","",IFERROR(MAX(0,MIN(10,ROUND(IF('Advanced Entry'!N$8="Decrease Risk",10-10*((IF('Advanced Entry'!N$5="Logarithm",LN(0.001+'Advanced Entry'!N98),IF('Advanced Entry'!N$5="Exponential",EXP('Advanced Entry'!N98),'Advanced Entry'!N98)))-'Advanced Entry'!N$6)/('Advanced Entry'!N$7-'Advanced Entry'!N$6),10*((IF('Advanced Entry'!N$5="Logarithm",LN(0.001+'Advanced Entry'!N98),IF('Advanced Entry'!N$5="Exponential",EXP('Advanced Entry'!N98),'Advanced Entry'!N98)))-'Advanced Entry'!N$6)/('Advanced Entry'!N$7-'Advanced Entry'!N$6)),1))),"No data"))</f>
        <v/>
      </c>
      <c r="O98" s="17">
        <f>IF('Advanced Entry'!O98="","",IFERROR(MAX(0,MIN(10,ROUND(IF('Advanced Entry'!O$8="Decrease Risk",10-10*((IF('Advanced Entry'!O$5="Logarithm",LN(0.001+'Advanced Entry'!O98),IF('Advanced Entry'!O$5="Exponential",EXP('Advanced Entry'!O98),'Advanced Entry'!O98)))-'Advanced Entry'!O$6)/('Advanced Entry'!O$7-'Advanced Entry'!O$6),10*((IF('Advanced Entry'!O$5="Logarithm",LN(0.001+'Advanced Entry'!O98),IF('Advanced Entry'!O$5="Exponential",EXP('Advanced Entry'!O98),'Advanced Entry'!O98)))-'Advanced Entry'!O$6)/('Advanced Entry'!O$7-'Advanced Entry'!O$6)),1))),"No data"))</f>
        <v/>
      </c>
      <c r="P98" s="17">
        <f>IF('Advanced Entry'!P98="","",IFERROR(MAX(0,MIN(10,ROUND(IF('Advanced Entry'!P$8="Decrease Risk",10-10*((IF('Advanced Entry'!P$5="Logarithm",LN(0.001+'Advanced Entry'!P98),IF('Advanced Entry'!P$5="Exponential",EXP('Advanced Entry'!P98),'Advanced Entry'!P98)))-'Advanced Entry'!P$6)/('Advanced Entry'!P$7-'Advanced Entry'!P$6),10*((IF('Advanced Entry'!P$5="Logarithm",LN(0.001+'Advanced Entry'!P98),IF('Advanced Entry'!P$5="Exponential",EXP('Advanced Entry'!P98),'Advanced Entry'!P98)))-'Advanced Entry'!P$6)/('Advanced Entry'!P$7-'Advanced Entry'!P$6)),1))),"No data"))</f>
        <v/>
      </c>
      <c r="Q98" s="17">
        <f>IF('Advanced Entry'!Q98="","",IFERROR(MAX(0,MIN(10,ROUND(IF('Advanced Entry'!Q$8="Decrease Risk",10-10*((IF('Advanced Entry'!Q$5="Logarithm",LN(0.001+'Advanced Entry'!Q98),IF('Advanced Entry'!Q$5="Exponential",EXP('Advanced Entry'!Q98),'Advanced Entry'!Q98)))-'Advanced Entry'!Q$6)/('Advanced Entry'!Q$7-'Advanced Entry'!Q$6),10*((IF('Advanced Entry'!Q$5="Logarithm",LN(0.001+'Advanced Entry'!Q98),IF('Advanced Entry'!Q$5="Exponential",EXP('Advanced Entry'!Q98),'Advanced Entry'!Q98)))-'Advanced Entry'!Q$6)/('Advanced Entry'!Q$7-'Advanced Entry'!Q$6)),1))),"No data"))</f>
        <v/>
      </c>
      <c r="R98" s="17">
        <f>IF('Advanced Entry'!R98="","",IFERROR(MAX(0,MIN(10,ROUND(IF('Advanced Entry'!R$8="Decrease Risk",10-10*((IF('Advanced Entry'!R$5="Logarithm",LN(0.001+'Advanced Entry'!R98),IF('Advanced Entry'!R$5="Exponential",EXP('Advanced Entry'!R98),'Advanced Entry'!R98)))-'Advanced Entry'!R$6)/('Advanced Entry'!R$7-'Advanced Entry'!R$6),10*((IF('Advanced Entry'!R$5="Logarithm",LN(0.001+'Advanced Entry'!R98),IF('Advanced Entry'!R$5="Exponential",EXP('Advanced Entry'!R98),'Advanced Entry'!R98)))-'Advanced Entry'!R$6)/('Advanced Entry'!R$7-'Advanced Entry'!R$6)),1))),"No data"))</f>
        <v/>
      </c>
      <c r="S98" s="17">
        <f>IF('Advanced Entry'!S98="","",IFERROR(MAX(0,MIN(10,ROUND(IF('Advanced Entry'!S$8="Decrease Risk",10-10*((IF('Advanced Entry'!S$5="Logarithm",LN(0.001+'Advanced Entry'!S98),IF('Advanced Entry'!S$5="Exponential",EXP('Advanced Entry'!S98),'Advanced Entry'!S98)))-'Advanced Entry'!S$6)/('Advanced Entry'!S$7-'Advanced Entry'!S$6),10*((IF('Advanced Entry'!S$5="Logarithm",LN(0.001+'Advanced Entry'!S98),IF('Advanced Entry'!S$5="Exponential",EXP('Advanced Entry'!S98),'Advanced Entry'!S98)))-'Advanced Entry'!S$6)/('Advanced Entry'!S$7-'Advanced Entry'!S$6)),1))),"No data"))</f>
        <v/>
      </c>
      <c r="T98" s="17">
        <f>IF('Advanced Entry'!T98="","",IFERROR(MAX(0,MIN(10,ROUND(IF('Advanced Entry'!T$8="Decrease Risk",10-10*((IF('Advanced Entry'!T$5="Logarithm",LN(0.001+'Advanced Entry'!T98),IF('Advanced Entry'!T$5="Exponential",EXP('Advanced Entry'!T98),'Advanced Entry'!T98)))-'Advanced Entry'!T$6)/('Advanced Entry'!T$7-'Advanced Entry'!T$6),10*((IF('Advanced Entry'!T$5="Logarithm",LN(0.001+'Advanced Entry'!T98),IF('Advanced Entry'!T$5="Exponential",EXP('Advanced Entry'!T98),'Advanced Entry'!T98)))-'Advanced Entry'!T$6)/('Advanced Entry'!T$7-'Advanced Entry'!T$6)),1))),"No data"))</f>
        <v/>
      </c>
      <c r="U98" s="17">
        <f>IF('Advanced Entry'!U98="","",IFERROR(MAX(0,MIN(10,ROUND(IF('Advanced Entry'!U$8="Decrease Risk",10-10*((IF('Advanced Entry'!U$5="Logarithm",LN(0.001+'Advanced Entry'!U98),IF('Advanced Entry'!U$5="Exponential",EXP('Advanced Entry'!U98),'Advanced Entry'!U98)))-'Advanced Entry'!U$6)/('Advanced Entry'!U$7-'Advanced Entry'!U$6),10*((IF('Advanced Entry'!U$5="Logarithm",LN(0.001+'Advanced Entry'!U98),IF('Advanced Entry'!U$5="Exponential",EXP('Advanced Entry'!U98),'Advanced Entry'!U98)))-'Advanced Entry'!U$6)/('Advanced Entry'!U$7-'Advanced Entry'!U$6)),1))),"No data"))</f>
        <v/>
      </c>
      <c r="V98" s="17">
        <f>IF('Advanced Entry'!V98="","",IFERROR(MAX(0,MIN(10,ROUND(IF('Advanced Entry'!V$8="Decrease Risk",10-10*((IF('Advanced Entry'!V$5="Logarithm",LN(0.001+'Advanced Entry'!V98),IF('Advanced Entry'!V$5="Exponential",EXP('Advanced Entry'!V98),'Advanced Entry'!V98)))-'Advanced Entry'!V$6)/('Advanced Entry'!V$7-'Advanced Entry'!V$6),10*((IF('Advanced Entry'!V$5="Logarithm",LN(0.001+'Advanced Entry'!V98),IF('Advanced Entry'!V$5="Exponential",EXP('Advanced Entry'!V98),'Advanced Entry'!V98)))-'Advanced Entry'!V$6)/('Advanced Entry'!V$7-'Advanced Entry'!V$6)),1))),"No data"))</f>
        <v/>
      </c>
      <c r="W98" s="17">
        <f>IF('Advanced Entry'!W98="","",IFERROR(MAX(0,MIN(10,ROUND(IF('Advanced Entry'!W$8="Decrease Risk",10-10*((IF('Advanced Entry'!W$5="Logarithm",LN(0.001+'Advanced Entry'!W98),IF('Advanced Entry'!W$5="Exponential",EXP('Advanced Entry'!W98),'Advanced Entry'!W98)))-'Advanced Entry'!W$6)/('Advanced Entry'!W$7-'Advanced Entry'!W$6),10*((IF('Advanced Entry'!W$5="Logarithm",LN(0.001+'Advanced Entry'!W98),IF('Advanced Entry'!W$5="Exponential",EXP('Advanced Entry'!W98),'Advanced Entry'!W98)))-'Advanced Entry'!W$6)/('Advanced Entry'!W$7-'Advanced Entry'!W$6)),1))),"No data"))</f>
        <v/>
      </c>
      <c r="X98" s="17">
        <f>IF('Advanced Entry'!X98="","",IFERROR(MAX(0,MIN(10,ROUND(IF('Advanced Entry'!X$8="Decrease Risk",10-10*((IF('Advanced Entry'!X$5="Logarithm",LN(0.001+'Advanced Entry'!X98),IF('Advanced Entry'!X$5="Exponential",EXP('Advanced Entry'!X98),'Advanced Entry'!X98)))-'Advanced Entry'!X$6)/('Advanced Entry'!X$7-'Advanced Entry'!X$6),10*((IF('Advanced Entry'!X$5="Logarithm",LN(0.001+'Advanced Entry'!X98),IF('Advanced Entry'!X$5="Exponential",EXP('Advanced Entry'!X98),'Advanced Entry'!X98)))-'Advanced Entry'!X$6)/('Advanced Entry'!X$7-'Advanced Entry'!X$6)),1))),"No data"))</f>
        <v/>
      </c>
      <c r="Y98" s="17">
        <f>IF('Advanced Entry'!Y98="","",IFERROR(MAX(0,MIN(10,ROUND(IF('Advanced Entry'!Y$8="Decrease Risk",10-10*((IF('Advanced Entry'!Y$5="Logarithm",LN(0.001+'Advanced Entry'!Y98),IF('Advanced Entry'!Y$5="Exponential",EXP('Advanced Entry'!Y98),'Advanced Entry'!Y98)))-'Advanced Entry'!Y$6)/('Advanced Entry'!Y$7-'Advanced Entry'!Y$6),10*((IF('Advanced Entry'!Y$5="Logarithm",LN(0.001+'Advanced Entry'!Y98),IF('Advanced Entry'!Y$5="Exponential",EXP('Advanced Entry'!Y98),'Advanced Entry'!Y98)))-'Advanced Entry'!Y$6)/('Advanced Entry'!Y$7-'Advanced Entry'!Y$6)),1))),"No data"))</f>
        <v/>
      </c>
      <c r="Z98" s="17">
        <f>IF('Advanced Entry'!Z98="","",IFERROR(MAX(0,MIN(10,ROUND(IF('Advanced Entry'!Z$8="Decrease Risk",10-10*((IF('Advanced Entry'!Z$5="Logarithm",LN(0.001+'Advanced Entry'!Z98),IF('Advanced Entry'!Z$5="Exponential",EXP('Advanced Entry'!Z98),'Advanced Entry'!Z98)))-'Advanced Entry'!Z$6)/('Advanced Entry'!Z$7-'Advanced Entry'!Z$6),10*((IF('Advanced Entry'!Z$5="Logarithm",LN(0.001+'Advanced Entry'!Z98),IF('Advanced Entry'!Z$5="Exponential",EXP('Advanced Entry'!Z98),'Advanced Entry'!Z98)))-'Advanced Entry'!Z$6)/('Advanced Entry'!Z$7-'Advanced Entry'!Z$6)),1))),"No data"))</f>
        <v/>
      </c>
      <c r="AA98" s="17">
        <f>IF('Advanced Entry'!AA98="","",IFERROR(MAX(0,MIN(10,ROUND(IF('Advanced Entry'!AA$8="Decrease Risk",10-10*((IF('Advanced Entry'!AA$5="Logarithm",LN(0.001+'Advanced Entry'!AA98),IF('Advanced Entry'!AA$5="Exponential",EXP('Advanced Entry'!AA98),'Advanced Entry'!AA98)))-'Advanced Entry'!AA$6)/('Advanced Entry'!AA$7-'Advanced Entry'!AA$6),10*((IF('Advanced Entry'!AA$5="Logarithm",LN(0.001+'Advanced Entry'!AA98),IF('Advanced Entry'!AA$5="Exponential",EXP('Advanced Entry'!AA98),'Advanced Entry'!AA98)))-'Advanced Entry'!AA$6)/('Advanced Entry'!AA$7-'Advanced Entry'!AA$6)),1))),"No data"))</f>
        <v/>
      </c>
      <c r="AB98" s="17">
        <f>IF('Advanced Entry'!AB98="","",IFERROR(MAX(0,MIN(10,ROUND(IF('Advanced Entry'!AB$8="Decrease Risk",10-10*((IF('Advanced Entry'!AB$5="Logarithm",LN(0.001+'Advanced Entry'!AB98),IF('Advanced Entry'!AB$5="Exponential",EXP('Advanced Entry'!AB98),'Advanced Entry'!AB98)))-'Advanced Entry'!AB$6)/('Advanced Entry'!AB$7-'Advanced Entry'!AB$6),10*((IF('Advanced Entry'!AB$5="Logarithm",LN(0.001+'Advanced Entry'!AB98),IF('Advanced Entry'!AB$5="Exponential",EXP('Advanced Entry'!AB98),'Advanced Entry'!AB98)))-'Advanced Entry'!AB$6)/('Advanced Entry'!AB$7-'Advanced Entry'!AB$6)),1))),"No data"))</f>
        <v/>
      </c>
    </row>
    <row r="99">
      <c r="A99" t="inlineStr">
        <is>
          <t>Mara</t>
        </is>
      </c>
      <c r="B99" t="inlineStr">
        <is>
          <t>Tarime Town</t>
        </is>
      </c>
      <c r="C99" t="inlineStr">
        <is>
          <t>C142</t>
        </is>
      </c>
      <c r="D99" s="17">
        <f>IF('Advanced Entry'!D99="","",IFERROR(MAX(0,MIN(10,ROUND(IF('Advanced Entry'!D$8="Decrease Risk",10-10*((IF('Advanced Entry'!D$5="Logarithm",LN(0.001+'Advanced Entry'!D99),IF('Advanced Entry'!D$5="Exponential",EXP('Advanced Entry'!D99),'Advanced Entry'!D99)))-'Advanced Entry'!D$6)/('Advanced Entry'!D$7-'Advanced Entry'!D$6),10*((IF('Advanced Entry'!D$5="Logarithm",LN(0.001+'Advanced Entry'!D99),IF('Advanced Entry'!D$5="Exponential",EXP('Advanced Entry'!D99),'Advanced Entry'!D99)))-'Advanced Entry'!D$6)/('Advanced Entry'!D$7-'Advanced Entry'!D$6)),1))),"No data"))</f>
        <v/>
      </c>
      <c r="E99" s="17">
        <f>IF('Advanced Entry'!E99="","",IFERROR(MAX(0,MIN(10,ROUND(IF('Advanced Entry'!E$8="Decrease Risk",10-10*((IF('Advanced Entry'!E$5="Logarithm",LN(0.001+'Advanced Entry'!E99),IF('Advanced Entry'!E$5="Exponential",EXP('Advanced Entry'!E99),'Advanced Entry'!E99)))-'Advanced Entry'!E$6)/('Advanced Entry'!E$7-'Advanced Entry'!E$6),10*((IF('Advanced Entry'!E$5="Logarithm",LN(0.001+'Advanced Entry'!E99),IF('Advanced Entry'!E$5="Exponential",EXP('Advanced Entry'!E99),'Advanced Entry'!E99)))-'Advanced Entry'!E$6)/('Advanced Entry'!E$7-'Advanced Entry'!E$6)),1))),"No data"))</f>
        <v/>
      </c>
      <c r="F99" s="17">
        <f>IF('Advanced Entry'!F99="","",IFERROR(MAX(0,MIN(10,ROUND(IF('Advanced Entry'!F$8="Decrease Risk",10-10*((IF('Advanced Entry'!F$5="Logarithm",LN(0.001+'Advanced Entry'!F99),IF('Advanced Entry'!F$5="Exponential",EXP('Advanced Entry'!F99),'Advanced Entry'!F99)))-'Advanced Entry'!F$6)/('Advanced Entry'!F$7-'Advanced Entry'!F$6),10*((IF('Advanced Entry'!F$5="Logarithm",LN(0.001+'Advanced Entry'!F99),IF('Advanced Entry'!F$5="Exponential",EXP('Advanced Entry'!F99),'Advanced Entry'!F99)))-'Advanced Entry'!F$6)/('Advanced Entry'!F$7-'Advanced Entry'!F$6)),1))),"No data"))</f>
        <v/>
      </c>
      <c r="G99" s="17">
        <f>IF('Advanced Entry'!G99="","",IFERROR(MAX(0,MIN(10,ROUND(IF('Advanced Entry'!G$8="Decrease Risk",10-10*((IF('Advanced Entry'!G$5="Logarithm",LN(0.001+'Advanced Entry'!G99),IF('Advanced Entry'!G$5="Exponential",EXP('Advanced Entry'!G99),'Advanced Entry'!G99)))-'Advanced Entry'!G$6)/('Advanced Entry'!G$7-'Advanced Entry'!G$6),10*((IF('Advanced Entry'!G$5="Logarithm",LN(0.001+'Advanced Entry'!G99),IF('Advanced Entry'!G$5="Exponential",EXP('Advanced Entry'!G99),'Advanced Entry'!G99)))-'Advanced Entry'!G$6)/('Advanced Entry'!G$7-'Advanced Entry'!G$6)),1))),"No data"))</f>
        <v/>
      </c>
      <c r="H99" s="17">
        <f>IF('Advanced Entry'!H99="","",IFERROR(MAX(0,MIN(10,ROUND(IF('Advanced Entry'!H$8="Decrease Risk",10-10*((IF('Advanced Entry'!H$5="Logarithm",LN(0.001+'Advanced Entry'!H99),IF('Advanced Entry'!H$5="Exponential",EXP('Advanced Entry'!H99),'Advanced Entry'!H99)))-'Advanced Entry'!H$6)/('Advanced Entry'!H$7-'Advanced Entry'!H$6),10*((IF('Advanced Entry'!H$5="Logarithm",LN(0.001+'Advanced Entry'!H99),IF('Advanced Entry'!H$5="Exponential",EXP('Advanced Entry'!H99),'Advanced Entry'!H99)))-'Advanced Entry'!H$6)/('Advanced Entry'!H$7-'Advanced Entry'!H$6)),1))),"No data"))</f>
        <v/>
      </c>
      <c r="I99" s="17">
        <f>IF('Advanced Entry'!I99="","",IFERROR(MAX(0,MIN(10,ROUND(IF('Advanced Entry'!I$8="Decrease Risk",10-10*((IF('Advanced Entry'!I$5="Logarithm",LN(0.001+'Advanced Entry'!I99),IF('Advanced Entry'!I$5="Exponential",EXP('Advanced Entry'!I99),'Advanced Entry'!I99)))-'Advanced Entry'!I$6)/('Advanced Entry'!I$7-'Advanced Entry'!I$6),10*((IF('Advanced Entry'!I$5="Logarithm",LN(0.001+'Advanced Entry'!I99),IF('Advanced Entry'!I$5="Exponential",EXP('Advanced Entry'!I99),'Advanced Entry'!I99)))-'Advanced Entry'!I$6)/('Advanced Entry'!I$7-'Advanced Entry'!I$6)),1))),"No data"))</f>
        <v/>
      </c>
      <c r="J99" s="17">
        <f>IF('Advanced Entry'!J99="","",IFERROR(MAX(0,MIN(10,ROUND(IF('Advanced Entry'!J$8="Decrease Risk",10-10*((IF('Advanced Entry'!J$5="Logarithm",LN(0.001+'Advanced Entry'!J99),IF('Advanced Entry'!J$5="Exponential",EXP('Advanced Entry'!J99),'Advanced Entry'!J99)))-'Advanced Entry'!J$6)/('Advanced Entry'!J$7-'Advanced Entry'!J$6),10*((IF('Advanced Entry'!J$5="Logarithm",LN(0.001+'Advanced Entry'!J99),IF('Advanced Entry'!J$5="Exponential",EXP('Advanced Entry'!J99),'Advanced Entry'!J99)))-'Advanced Entry'!J$6)/('Advanced Entry'!J$7-'Advanced Entry'!J$6)),1))),"No data"))</f>
        <v/>
      </c>
      <c r="K99" s="17">
        <f>IF('Advanced Entry'!K99="","",IFERROR(MAX(0,MIN(10,ROUND(IF('Advanced Entry'!K$8="Decrease Risk",10-10*((IF('Advanced Entry'!K$5="Logarithm",LN(0.001+'Advanced Entry'!K99),IF('Advanced Entry'!K$5="Exponential",EXP('Advanced Entry'!K99),'Advanced Entry'!K99)))-'Advanced Entry'!K$6)/('Advanced Entry'!K$7-'Advanced Entry'!K$6),10*((IF('Advanced Entry'!K$5="Logarithm",LN(0.001+'Advanced Entry'!K99),IF('Advanced Entry'!K$5="Exponential",EXP('Advanced Entry'!K99),'Advanced Entry'!K99)))-'Advanced Entry'!K$6)/('Advanced Entry'!K$7-'Advanced Entry'!K$6)),1))),"No data"))</f>
        <v/>
      </c>
      <c r="L99" s="17">
        <f>IF('Advanced Entry'!L99="","",IFERROR(MAX(0,MIN(10,ROUND(IF('Advanced Entry'!L$8="Decrease Risk",10-10*((IF('Advanced Entry'!L$5="Logarithm",LN(0.001+'Advanced Entry'!L99),IF('Advanced Entry'!L$5="Exponential",EXP('Advanced Entry'!L99),'Advanced Entry'!L99)))-'Advanced Entry'!L$6)/('Advanced Entry'!L$7-'Advanced Entry'!L$6),10*((IF('Advanced Entry'!L$5="Logarithm",LN(0.001+'Advanced Entry'!L99),IF('Advanced Entry'!L$5="Exponential",EXP('Advanced Entry'!L99),'Advanced Entry'!L99)))-'Advanced Entry'!L$6)/('Advanced Entry'!L$7-'Advanced Entry'!L$6)),1))),"No data"))</f>
        <v/>
      </c>
      <c r="M99" s="17">
        <f>IF('Advanced Entry'!M99="","",IFERROR(MAX(0,MIN(10,ROUND(IF('Advanced Entry'!M$8="Decrease Risk",10-10*((IF('Advanced Entry'!M$5="Logarithm",LN(0.001+'Advanced Entry'!M99),IF('Advanced Entry'!M$5="Exponential",EXP('Advanced Entry'!M99),'Advanced Entry'!M99)))-'Advanced Entry'!M$6)/('Advanced Entry'!M$7-'Advanced Entry'!M$6),10*((IF('Advanced Entry'!M$5="Logarithm",LN(0.001+'Advanced Entry'!M99),IF('Advanced Entry'!M$5="Exponential",EXP('Advanced Entry'!M99),'Advanced Entry'!M99)))-'Advanced Entry'!M$6)/('Advanced Entry'!M$7-'Advanced Entry'!M$6)),1))),"No data"))</f>
        <v/>
      </c>
      <c r="N99" s="17">
        <f>IF('Advanced Entry'!N99="","",IFERROR(MAX(0,MIN(10,ROUND(IF('Advanced Entry'!N$8="Decrease Risk",10-10*((IF('Advanced Entry'!N$5="Logarithm",LN(0.001+'Advanced Entry'!N99),IF('Advanced Entry'!N$5="Exponential",EXP('Advanced Entry'!N99),'Advanced Entry'!N99)))-'Advanced Entry'!N$6)/('Advanced Entry'!N$7-'Advanced Entry'!N$6),10*((IF('Advanced Entry'!N$5="Logarithm",LN(0.001+'Advanced Entry'!N99),IF('Advanced Entry'!N$5="Exponential",EXP('Advanced Entry'!N99),'Advanced Entry'!N99)))-'Advanced Entry'!N$6)/('Advanced Entry'!N$7-'Advanced Entry'!N$6)),1))),"No data"))</f>
        <v/>
      </c>
      <c r="O99" s="17">
        <f>IF('Advanced Entry'!O99="","",IFERROR(MAX(0,MIN(10,ROUND(IF('Advanced Entry'!O$8="Decrease Risk",10-10*((IF('Advanced Entry'!O$5="Logarithm",LN(0.001+'Advanced Entry'!O99),IF('Advanced Entry'!O$5="Exponential",EXP('Advanced Entry'!O99),'Advanced Entry'!O99)))-'Advanced Entry'!O$6)/('Advanced Entry'!O$7-'Advanced Entry'!O$6),10*((IF('Advanced Entry'!O$5="Logarithm",LN(0.001+'Advanced Entry'!O99),IF('Advanced Entry'!O$5="Exponential",EXP('Advanced Entry'!O99),'Advanced Entry'!O99)))-'Advanced Entry'!O$6)/('Advanced Entry'!O$7-'Advanced Entry'!O$6)),1))),"No data"))</f>
        <v/>
      </c>
      <c r="P99" s="17">
        <f>IF('Advanced Entry'!P99="","",IFERROR(MAX(0,MIN(10,ROUND(IF('Advanced Entry'!P$8="Decrease Risk",10-10*((IF('Advanced Entry'!P$5="Logarithm",LN(0.001+'Advanced Entry'!P99),IF('Advanced Entry'!P$5="Exponential",EXP('Advanced Entry'!P99),'Advanced Entry'!P99)))-'Advanced Entry'!P$6)/('Advanced Entry'!P$7-'Advanced Entry'!P$6),10*((IF('Advanced Entry'!P$5="Logarithm",LN(0.001+'Advanced Entry'!P99),IF('Advanced Entry'!P$5="Exponential",EXP('Advanced Entry'!P99),'Advanced Entry'!P99)))-'Advanced Entry'!P$6)/('Advanced Entry'!P$7-'Advanced Entry'!P$6)),1))),"No data"))</f>
        <v/>
      </c>
      <c r="Q99" s="17">
        <f>IF('Advanced Entry'!Q99="","",IFERROR(MAX(0,MIN(10,ROUND(IF('Advanced Entry'!Q$8="Decrease Risk",10-10*((IF('Advanced Entry'!Q$5="Logarithm",LN(0.001+'Advanced Entry'!Q99),IF('Advanced Entry'!Q$5="Exponential",EXP('Advanced Entry'!Q99),'Advanced Entry'!Q99)))-'Advanced Entry'!Q$6)/('Advanced Entry'!Q$7-'Advanced Entry'!Q$6),10*((IF('Advanced Entry'!Q$5="Logarithm",LN(0.001+'Advanced Entry'!Q99),IF('Advanced Entry'!Q$5="Exponential",EXP('Advanced Entry'!Q99),'Advanced Entry'!Q99)))-'Advanced Entry'!Q$6)/('Advanced Entry'!Q$7-'Advanced Entry'!Q$6)),1))),"No data"))</f>
        <v/>
      </c>
      <c r="R99" s="17">
        <f>IF('Advanced Entry'!R99="","",IFERROR(MAX(0,MIN(10,ROUND(IF('Advanced Entry'!R$8="Decrease Risk",10-10*((IF('Advanced Entry'!R$5="Logarithm",LN(0.001+'Advanced Entry'!R99),IF('Advanced Entry'!R$5="Exponential",EXP('Advanced Entry'!R99),'Advanced Entry'!R99)))-'Advanced Entry'!R$6)/('Advanced Entry'!R$7-'Advanced Entry'!R$6),10*((IF('Advanced Entry'!R$5="Logarithm",LN(0.001+'Advanced Entry'!R99),IF('Advanced Entry'!R$5="Exponential",EXP('Advanced Entry'!R99),'Advanced Entry'!R99)))-'Advanced Entry'!R$6)/('Advanced Entry'!R$7-'Advanced Entry'!R$6)),1))),"No data"))</f>
        <v/>
      </c>
      <c r="S99" s="17">
        <f>IF('Advanced Entry'!S99="","",IFERROR(MAX(0,MIN(10,ROUND(IF('Advanced Entry'!S$8="Decrease Risk",10-10*((IF('Advanced Entry'!S$5="Logarithm",LN(0.001+'Advanced Entry'!S99),IF('Advanced Entry'!S$5="Exponential",EXP('Advanced Entry'!S99),'Advanced Entry'!S99)))-'Advanced Entry'!S$6)/('Advanced Entry'!S$7-'Advanced Entry'!S$6),10*((IF('Advanced Entry'!S$5="Logarithm",LN(0.001+'Advanced Entry'!S99),IF('Advanced Entry'!S$5="Exponential",EXP('Advanced Entry'!S99),'Advanced Entry'!S99)))-'Advanced Entry'!S$6)/('Advanced Entry'!S$7-'Advanced Entry'!S$6)),1))),"No data"))</f>
        <v/>
      </c>
      <c r="T99" s="17">
        <f>IF('Advanced Entry'!T99="","",IFERROR(MAX(0,MIN(10,ROUND(IF('Advanced Entry'!T$8="Decrease Risk",10-10*((IF('Advanced Entry'!T$5="Logarithm",LN(0.001+'Advanced Entry'!T99),IF('Advanced Entry'!T$5="Exponential",EXP('Advanced Entry'!T99),'Advanced Entry'!T99)))-'Advanced Entry'!T$6)/('Advanced Entry'!T$7-'Advanced Entry'!T$6),10*((IF('Advanced Entry'!T$5="Logarithm",LN(0.001+'Advanced Entry'!T99),IF('Advanced Entry'!T$5="Exponential",EXP('Advanced Entry'!T99),'Advanced Entry'!T99)))-'Advanced Entry'!T$6)/('Advanced Entry'!T$7-'Advanced Entry'!T$6)),1))),"No data"))</f>
        <v/>
      </c>
      <c r="U99" s="17">
        <f>IF('Advanced Entry'!U99="","",IFERROR(MAX(0,MIN(10,ROUND(IF('Advanced Entry'!U$8="Decrease Risk",10-10*((IF('Advanced Entry'!U$5="Logarithm",LN(0.001+'Advanced Entry'!U99),IF('Advanced Entry'!U$5="Exponential",EXP('Advanced Entry'!U99),'Advanced Entry'!U99)))-'Advanced Entry'!U$6)/('Advanced Entry'!U$7-'Advanced Entry'!U$6),10*((IF('Advanced Entry'!U$5="Logarithm",LN(0.001+'Advanced Entry'!U99),IF('Advanced Entry'!U$5="Exponential",EXP('Advanced Entry'!U99),'Advanced Entry'!U99)))-'Advanced Entry'!U$6)/('Advanced Entry'!U$7-'Advanced Entry'!U$6)),1))),"No data"))</f>
        <v/>
      </c>
      <c r="V99" s="17">
        <f>IF('Advanced Entry'!V99="","",IFERROR(MAX(0,MIN(10,ROUND(IF('Advanced Entry'!V$8="Decrease Risk",10-10*((IF('Advanced Entry'!V$5="Logarithm",LN(0.001+'Advanced Entry'!V99),IF('Advanced Entry'!V$5="Exponential",EXP('Advanced Entry'!V99),'Advanced Entry'!V99)))-'Advanced Entry'!V$6)/('Advanced Entry'!V$7-'Advanced Entry'!V$6),10*((IF('Advanced Entry'!V$5="Logarithm",LN(0.001+'Advanced Entry'!V99),IF('Advanced Entry'!V$5="Exponential",EXP('Advanced Entry'!V99),'Advanced Entry'!V99)))-'Advanced Entry'!V$6)/('Advanced Entry'!V$7-'Advanced Entry'!V$6)),1))),"No data"))</f>
        <v/>
      </c>
      <c r="W99" s="17">
        <f>IF('Advanced Entry'!W99="","",IFERROR(MAX(0,MIN(10,ROUND(IF('Advanced Entry'!W$8="Decrease Risk",10-10*((IF('Advanced Entry'!W$5="Logarithm",LN(0.001+'Advanced Entry'!W99),IF('Advanced Entry'!W$5="Exponential",EXP('Advanced Entry'!W99),'Advanced Entry'!W99)))-'Advanced Entry'!W$6)/('Advanced Entry'!W$7-'Advanced Entry'!W$6),10*((IF('Advanced Entry'!W$5="Logarithm",LN(0.001+'Advanced Entry'!W99),IF('Advanced Entry'!W$5="Exponential",EXP('Advanced Entry'!W99),'Advanced Entry'!W99)))-'Advanced Entry'!W$6)/('Advanced Entry'!W$7-'Advanced Entry'!W$6)),1))),"No data"))</f>
        <v/>
      </c>
      <c r="X99" s="17">
        <f>IF('Advanced Entry'!X99="","",IFERROR(MAX(0,MIN(10,ROUND(IF('Advanced Entry'!X$8="Decrease Risk",10-10*((IF('Advanced Entry'!X$5="Logarithm",LN(0.001+'Advanced Entry'!X99),IF('Advanced Entry'!X$5="Exponential",EXP('Advanced Entry'!X99),'Advanced Entry'!X99)))-'Advanced Entry'!X$6)/('Advanced Entry'!X$7-'Advanced Entry'!X$6),10*((IF('Advanced Entry'!X$5="Logarithm",LN(0.001+'Advanced Entry'!X99),IF('Advanced Entry'!X$5="Exponential",EXP('Advanced Entry'!X99),'Advanced Entry'!X99)))-'Advanced Entry'!X$6)/('Advanced Entry'!X$7-'Advanced Entry'!X$6)),1))),"No data"))</f>
        <v/>
      </c>
      <c r="Y99" s="17">
        <f>IF('Advanced Entry'!Y99="","",IFERROR(MAX(0,MIN(10,ROUND(IF('Advanced Entry'!Y$8="Decrease Risk",10-10*((IF('Advanced Entry'!Y$5="Logarithm",LN(0.001+'Advanced Entry'!Y99),IF('Advanced Entry'!Y$5="Exponential",EXP('Advanced Entry'!Y99),'Advanced Entry'!Y99)))-'Advanced Entry'!Y$6)/('Advanced Entry'!Y$7-'Advanced Entry'!Y$6),10*((IF('Advanced Entry'!Y$5="Logarithm",LN(0.001+'Advanced Entry'!Y99),IF('Advanced Entry'!Y$5="Exponential",EXP('Advanced Entry'!Y99),'Advanced Entry'!Y99)))-'Advanced Entry'!Y$6)/('Advanced Entry'!Y$7-'Advanced Entry'!Y$6)),1))),"No data"))</f>
        <v/>
      </c>
      <c r="Z99" s="17">
        <f>IF('Advanced Entry'!Z99="","",IFERROR(MAX(0,MIN(10,ROUND(IF('Advanced Entry'!Z$8="Decrease Risk",10-10*((IF('Advanced Entry'!Z$5="Logarithm",LN(0.001+'Advanced Entry'!Z99),IF('Advanced Entry'!Z$5="Exponential",EXP('Advanced Entry'!Z99),'Advanced Entry'!Z99)))-'Advanced Entry'!Z$6)/('Advanced Entry'!Z$7-'Advanced Entry'!Z$6),10*((IF('Advanced Entry'!Z$5="Logarithm",LN(0.001+'Advanced Entry'!Z99),IF('Advanced Entry'!Z$5="Exponential",EXP('Advanced Entry'!Z99),'Advanced Entry'!Z99)))-'Advanced Entry'!Z$6)/('Advanced Entry'!Z$7-'Advanced Entry'!Z$6)),1))),"No data"))</f>
        <v/>
      </c>
      <c r="AA99" s="17">
        <f>IF('Advanced Entry'!AA99="","",IFERROR(MAX(0,MIN(10,ROUND(IF('Advanced Entry'!AA$8="Decrease Risk",10-10*((IF('Advanced Entry'!AA$5="Logarithm",LN(0.001+'Advanced Entry'!AA99),IF('Advanced Entry'!AA$5="Exponential",EXP('Advanced Entry'!AA99),'Advanced Entry'!AA99)))-'Advanced Entry'!AA$6)/('Advanced Entry'!AA$7-'Advanced Entry'!AA$6),10*((IF('Advanced Entry'!AA$5="Logarithm",LN(0.001+'Advanced Entry'!AA99),IF('Advanced Entry'!AA$5="Exponential",EXP('Advanced Entry'!AA99),'Advanced Entry'!AA99)))-'Advanced Entry'!AA$6)/('Advanced Entry'!AA$7-'Advanced Entry'!AA$6)),1))),"No data"))</f>
        <v/>
      </c>
      <c r="AB99" s="17">
        <f>IF('Advanced Entry'!AB99="","",IFERROR(MAX(0,MIN(10,ROUND(IF('Advanced Entry'!AB$8="Decrease Risk",10-10*((IF('Advanced Entry'!AB$5="Logarithm",LN(0.001+'Advanced Entry'!AB99),IF('Advanced Entry'!AB$5="Exponential",EXP('Advanced Entry'!AB99),'Advanced Entry'!AB99)))-'Advanced Entry'!AB$6)/('Advanced Entry'!AB$7-'Advanced Entry'!AB$6),10*((IF('Advanced Entry'!AB$5="Logarithm",LN(0.001+'Advanced Entry'!AB99),IF('Advanced Entry'!AB$5="Exponential",EXP('Advanced Entry'!AB99),'Advanced Entry'!AB99)))-'Advanced Entry'!AB$6)/('Advanced Entry'!AB$7-'Advanced Entry'!AB$6)),1))),"No data"))</f>
        <v/>
      </c>
    </row>
    <row r="100">
      <c r="A100" t="inlineStr">
        <is>
          <t>Mbeya</t>
        </is>
      </c>
      <c r="B100" t="inlineStr">
        <is>
          <t>Busokelo District</t>
        </is>
      </c>
      <c r="C100" t="inlineStr">
        <is>
          <t>C090</t>
        </is>
      </c>
      <c r="D100" s="17">
        <f>IF('Advanced Entry'!D100="","",IFERROR(MAX(0,MIN(10,ROUND(IF('Advanced Entry'!D$8="Decrease Risk",10-10*((IF('Advanced Entry'!D$5="Logarithm",LN(0.001+'Advanced Entry'!D100),IF('Advanced Entry'!D$5="Exponential",EXP('Advanced Entry'!D100),'Advanced Entry'!D100)))-'Advanced Entry'!D$6)/('Advanced Entry'!D$7-'Advanced Entry'!D$6),10*((IF('Advanced Entry'!D$5="Logarithm",LN(0.001+'Advanced Entry'!D100),IF('Advanced Entry'!D$5="Exponential",EXP('Advanced Entry'!D100),'Advanced Entry'!D100)))-'Advanced Entry'!D$6)/('Advanced Entry'!D$7-'Advanced Entry'!D$6)),1))),"No data"))</f>
        <v/>
      </c>
      <c r="E100" s="17">
        <f>IF('Advanced Entry'!E100="","",IFERROR(MAX(0,MIN(10,ROUND(IF('Advanced Entry'!E$8="Decrease Risk",10-10*((IF('Advanced Entry'!E$5="Logarithm",LN(0.001+'Advanced Entry'!E100),IF('Advanced Entry'!E$5="Exponential",EXP('Advanced Entry'!E100),'Advanced Entry'!E100)))-'Advanced Entry'!E$6)/('Advanced Entry'!E$7-'Advanced Entry'!E$6),10*((IF('Advanced Entry'!E$5="Logarithm",LN(0.001+'Advanced Entry'!E100),IF('Advanced Entry'!E$5="Exponential",EXP('Advanced Entry'!E100),'Advanced Entry'!E100)))-'Advanced Entry'!E$6)/('Advanced Entry'!E$7-'Advanced Entry'!E$6)),1))),"No data"))</f>
        <v/>
      </c>
      <c r="F100" s="17">
        <f>IF('Advanced Entry'!F100="","",IFERROR(MAX(0,MIN(10,ROUND(IF('Advanced Entry'!F$8="Decrease Risk",10-10*((IF('Advanced Entry'!F$5="Logarithm",LN(0.001+'Advanced Entry'!F100),IF('Advanced Entry'!F$5="Exponential",EXP('Advanced Entry'!F100),'Advanced Entry'!F100)))-'Advanced Entry'!F$6)/('Advanced Entry'!F$7-'Advanced Entry'!F$6),10*((IF('Advanced Entry'!F$5="Logarithm",LN(0.001+'Advanced Entry'!F100),IF('Advanced Entry'!F$5="Exponential",EXP('Advanced Entry'!F100),'Advanced Entry'!F100)))-'Advanced Entry'!F$6)/('Advanced Entry'!F$7-'Advanced Entry'!F$6)),1))),"No data"))</f>
        <v/>
      </c>
      <c r="G100" s="17">
        <f>IF('Advanced Entry'!G100="","",IFERROR(MAX(0,MIN(10,ROUND(IF('Advanced Entry'!G$8="Decrease Risk",10-10*((IF('Advanced Entry'!G$5="Logarithm",LN(0.001+'Advanced Entry'!G100),IF('Advanced Entry'!G$5="Exponential",EXP('Advanced Entry'!G100),'Advanced Entry'!G100)))-'Advanced Entry'!G$6)/('Advanced Entry'!G$7-'Advanced Entry'!G$6),10*((IF('Advanced Entry'!G$5="Logarithm",LN(0.001+'Advanced Entry'!G100),IF('Advanced Entry'!G$5="Exponential",EXP('Advanced Entry'!G100),'Advanced Entry'!G100)))-'Advanced Entry'!G$6)/('Advanced Entry'!G$7-'Advanced Entry'!G$6)),1))),"No data"))</f>
        <v/>
      </c>
      <c r="H100" s="17">
        <f>IF('Advanced Entry'!H100="","",IFERROR(MAX(0,MIN(10,ROUND(IF('Advanced Entry'!H$8="Decrease Risk",10-10*((IF('Advanced Entry'!H$5="Logarithm",LN(0.001+'Advanced Entry'!H100),IF('Advanced Entry'!H$5="Exponential",EXP('Advanced Entry'!H100),'Advanced Entry'!H100)))-'Advanced Entry'!H$6)/('Advanced Entry'!H$7-'Advanced Entry'!H$6),10*((IF('Advanced Entry'!H$5="Logarithm",LN(0.001+'Advanced Entry'!H100),IF('Advanced Entry'!H$5="Exponential",EXP('Advanced Entry'!H100),'Advanced Entry'!H100)))-'Advanced Entry'!H$6)/('Advanced Entry'!H$7-'Advanced Entry'!H$6)),1))),"No data"))</f>
        <v/>
      </c>
      <c r="I100" s="17">
        <f>IF('Advanced Entry'!I100="","",IFERROR(MAX(0,MIN(10,ROUND(IF('Advanced Entry'!I$8="Decrease Risk",10-10*((IF('Advanced Entry'!I$5="Logarithm",LN(0.001+'Advanced Entry'!I100),IF('Advanced Entry'!I$5="Exponential",EXP('Advanced Entry'!I100),'Advanced Entry'!I100)))-'Advanced Entry'!I$6)/('Advanced Entry'!I$7-'Advanced Entry'!I$6),10*((IF('Advanced Entry'!I$5="Logarithm",LN(0.001+'Advanced Entry'!I100),IF('Advanced Entry'!I$5="Exponential",EXP('Advanced Entry'!I100),'Advanced Entry'!I100)))-'Advanced Entry'!I$6)/('Advanced Entry'!I$7-'Advanced Entry'!I$6)),1))),"No data"))</f>
        <v/>
      </c>
      <c r="J100" s="17">
        <f>IF('Advanced Entry'!J100="","",IFERROR(MAX(0,MIN(10,ROUND(IF('Advanced Entry'!J$8="Decrease Risk",10-10*((IF('Advanced Entry'!J$5="Logarithm",LN(0.001+'Advanced Entry'!J100),IF('Advanced Entry'!J$5="Exponential",EXP('Advanced Entry'!J100),'Advanced Entry'!J100)))-'Advanced Entry'!J$6)/('Advanced Entry'!J$7-'Advanced Entry'!J$6),10*((IF('Advanced Entry'!J$5="Logarithm",LN(0.001+'Advanced Entry'!J100),IF('Advanced Entry'!J$5="Exponential",EXP('Advanced Entry'!J100),'Advanced Entry'!J100)))-'Advanced Entry'!J$6)/('Advanced Entry'!J$7-'Advanced Entry'!J$6)),1))),"No data"))</f>
        <v/>
      </c>
      <c r="K100" s="17">
        <f>IF('Advanced Entry'!K100="","",IFERROR(MAX(0,MIN(10,ROUND(IF('Advanced Entry'!K$8="Decrease Risk",10-10*((IF('Advanced Entry'!K$5="Logarithm",LN(0.001+'Advanced Entry'!K100),IF('Advanced Entry'!K$5="Exponential",EXP('Advanced Entry'!K100),'Advanced Entry'!K100)))-'Advanced Entry'!K$6)/('Advanced Entry'!K$7-'Advanced Entry'!K$6),10*((IF('Advanced Entry'!K$5="Logarithm",LN(0.001+'Advanced Entry'!K100),IF('Advanced Entry'!K$5="Exponential",EXP('Advanced Entry'!K100),'Advanced Entry'!K100)))-'Advanced Entry'!K$6)/('Advanced Entry'!K$7-'Advanced Entry'!K$6)),1))),"No data"))</f>
        <v/>
      </c>
      <c r="L100" s="17">
        <f>IF('Advanced Entry'!L100="","",IFERROR(MAX(0,MIN(10,ROUND(IF('Advanced Entry'!L$8="Decrease Risk",10-10*((IF('Advanced Entry'!L$5="Logarithm",LN(0.001+'Advanced Entry'!L100),IF('Advanced Entry'!L$5="Exponential",EXP('Advanced Entry'!L100),'Advanced Entry'!L100)))-'Advanced Entry'!L$6)/('Advanced Entry'!L$7-'Advanced Entry'!L$6),10*((IF('Advanced Entry'!L$5="Logarithm",LN(0.001+'Advanced Entry'!L100),IF('Advanced Entry'!L$5="Exponential",EXP('Advanced Entry'!L100),'Advanced Entry'!L100)))-'Advanced Entry'!L$6)/('Advanced Entry'!L$7-'Advanced Entry'!L$6)),1))),"No data"))</f>
        <v/>
      </c>
      <c r="M100" s="17">
        <f>IF('Advanced Entry'!M100="","",IFERROR(MAX(0,MIN(10,ROUND(IF('Advanced Entry'!M$8="Decrease Risk",10-10*((IF('Advanced Entry'!M$5="Logarithm",LN(0.001+'Advanced Entry'!M100),IF('Advanced Entry'!M$5="Exponential",EXP('Advanced Entry'!M100),'Advanced Entry'!M100)))-'Advanced Entry'!M$6)/('Advanced Entry'!M$7-'Advanced Entry'!M$6),10*((IF('Advanced Entry'!M$5="Logarithm",LN(0.001+'Advanced Entry'!M100),IF('Advanced Entry'!M$5="Exponential",EXP('Advanced Entry'!M100),'Advanced Entry'!M100)))-'Advanced Entry'!M$6)/('Advanced Entry'!M$7-'Advanced Entry'!M$6)),1))),"No data"))</f>
        <v/>
      </c>
      <c r="N100" s="17">
        <f>IF('Advanced Entry'!N100="","",IFERROR(MAX(0,MIN(10,ROUND(IF('Advanced Entry'!N$8="Decrease Risk",10-10*((IF('Advanced Entry'!N$5="Logarithm",LN(0.001+'Advanced Entry'!N100),IF('Advanced Entry'!N$5="Exponential",EXP('Advanced Entry'!N100),'Advanced Entry'!N100)))-'Advanced Entry'!N$6)/('Advanced Entry'!N$7-'Advanced Entry'!N$6),10*((IF('Advanced Entry'!N$5="Logarithm",LN(0.001+'Advanced Entry'!N100),IF('Advanced Entry'!N$5="Exponential",EXP('Advanced Entry'!N100),'Advanced Entry'!N100)))-'Advanced Entry'!N$6)/('Advanced Entry'!N$7-'Advanced Entry'!N$6)),1))),"No data"))</f>
        <v/>
      </c>
      <c r="O100" s="17">
        <f>IF('Advanced Entry'!O100="","",IFERROR(MAX(0,MIN(10,ROUND(IF('Advanced Entry'!O$8="Decrease Risk",10-10*((IF('Advanced Entry'!O$5="Logarithm",LN(0.001+'Advanced Entry'!O100),IF('Advanced Entry'!O$5="Exponential",EXP('Advanced Entry'!O100),'Advanced Entry'!O100)))-'Advanced Entry'!O$6)/('Advanced Entry'!O$7-'Advanced Entry'!O$6),10*((IF('Advanced Entry'!O$5="Logarithm",LN(0.001+'Advanced Entry'!O100),IF('Advanced Entry'!O$5="Exponential",EXP('Advanced Entry'!O100),'Advanced Entry'!O100)))-'Advanced Entry'!O$6)/('Advanced Entry'!O$7-'Advanced Entry'!O$6)),1))),"No data"))</f>
        <v/>
      </c>
      <c r="P100" s="17">
        <f>IF('Advanced Entry'!P100="","",IFERROR(MAX(0,MIN(10,ROUND(IF('Advanced Entry'!P$8="Decrease Risk",10-10*((IF('Advanced Entry'!P$5="Logarithm",LN(0.001+'Advanced Entry'!P100),IF('Advanced Entry'!P$5="Exponential",EXP('Advanced Entry'!P100),'Advanced Entry'!P100)))-'Advanced Entry'!P$6)/('Advanced Entry'!P$7-'Advanced Entry'!P$6),10*((IF('Advanced Entry'!P$5="Logarithm",LN(0.001+'Advanced Entry'!P100),IF('Advanced Entry'!P$5="Exponential",EXP('Advanced Entry'!P100),'Advanced Entry'!P100)))-'Advanced Entry'!P$6)/('Advanced Entry'!P$7-'Advanced Entry'!P$6)),1))),"No data"))</f>
        <v/>
      </c>
      <c r="Q100" s="17">
        <f>IF('Advanced Entry'!Q100="","",IFERROR(MAX(0,MIN(10,ROUND(IF('Advanced Entry'!Q$8="Decrease Risk",10-10*((IF('Advanced Entry'!Q$5="Logarithm",LN(0.001+'Advanced Entry'!Q100),IF('Advanced Entry'!Q$5="Exponential",EXP('Advanced Entry'!Q100),'Advanced Entry'!Q100)))-'Advanced Entry'!Q$6)/('Advanced Entry'!Q$7-'Advanced Entry'!Q$6),10*((IF('Advanced Entry'!Q$5="Logarithm",LN(0.001+'Advanced Entry'!Q100),IF('Advanced Entry'!Q$5="Exponential",EXP('Advanced Entry'!Q100),'Advanced Entry'!Q100)))-'Advanced Entry'!Q$6)/('Advanced Entry'!Q$7-'Advanced Entry'!Q$6)),1))),"No data"))</f>
        <v/>
      </c>
      <c r="R100" s="17">
        <f>IF('Advanced Entry'!R100="","",IFERROR(MAX(0,MIN(10,ROUND(IF('Advanced Entry'!R$8="Decrease Risk",10-10*((IF('Advanced Entry'!R$5="Logarithm",LN(0.001+'Advanced Entry'!R100),IF('Advanced Entry'!R$5="Exponential",EXP('Advanced Entry'!R100),'Advanced Entry'!R100)))-'Advanced Entry'!R$6)/('Advanced Entry'!R$7-'Advanced Entry'!R$6),10*((IF('Advanced Entry'!R$5="Logarithm",LN(0.001+'Advanced Entry'!R100),IF('Advanced Entry'!R$5="Exponential",EXP('Advanced Entry'!R100),'Advanced Entry'!R100)))-'Advanced Entry'!R$6)/('Advanced Entry'!R$7-'Advanced Entry'!R$6)),1))),"No data"))</f>
        <v/>
      </c>
      <c r="S100" s="17">
        <f>IF('Advanced Entry'!S100="","",IFERROR(MAX(0,MIN(10,ROUND(IF('Advanced Entry'!S$8="Decrease Risk",10-10*((IF('Advanced Entry'!S$5="Logarithm",LN(0.001+'Advanced Entry'!S100),IF('Advanced Entry'!S$5="Exponential",EXP('Advanced Entry'!S100),'Advanced Entry'!S100)))-'Advanced Entry'!S$6)/('Advanced Entry'!S$7-'Advanced Entry'!S$6),10*((IF('Advanced Entry'!S$5="Logarithm",LN(0.001+'Advanced Entry'!S100),IF('Advanced Entry'!S$5="Exponential",EXP('Advanced Entry'!S100),'Advanced Entry'!S100)))-'Advanced Entry'!S$6)/('Advanced Entry'!S$7-'Advanced Entry'!S$6)),1))),"No data"))</f>
        <v/>
      </c>
      <c r="T100" s="17">
        <f>IF('Advanced Entry'!T100="","",IFERROR(MAX(0,MIN(10,ROUND(IF('Advanced Entry'!T$8="Decrease Risk",10-10*((IF('Advanced Entry'!T$5="Logarithm",LN(0.001+'Advanced Entry'!T100),IF('Advanced Entry'!T$5="Exponential",EXP('Advanced Entry'!T100),'Advanced Entry'!T100)))-'Advanced Entry'!T$6)/('Advanced Entry'!T$7-'Advanced Entry'!T$6),10*((IF('Advanced Entry'!T$5="Logarithm",LN(0.001+'Advanced Entry'!T100),IF('Advanced Entry'!T$5="Exponential",EXP('Advanced Entry'!T100),'Advanced Entry'!T100)))-'Advanced Entry'!T$6)/('Advanced Entry'!T$7-'Advanced Entry'!T$6)),1))),"No data"))</f>
        <v/>
      </c>
      <c r="U100" s="17">
        <f>IF('Advanced Entry'!U100="","",IFERROR(MAX(0,MIN(10,ROUND(IF('Advanced Entry'!U$8="Decrease Risk",10-10*((IF('Advanced Entry'!U$5="Logarithm",LN(0.001+'Advanced Entry'!U100),IF('Advanced Entry'!U$5="Exponential",EXP('Advanced Entry'!U100),'Advanced Entry'!U100)))-'Advanced Entry'!U$6)/('Advanced Entry'!U$7-'Advanced Entry'!U$6),10*((IF('Advanced Entry'!U$5="Logarithm",LN(0.001+'Advanced Entry'!U100),IF('Advanced Entry'!U$5="Exponential",EXP('Advanced Entry'!U100),'Advanced Entry'!U100)))-'Advanced Entry'!U$6)/('Advanced Entry'!U$7-'Advanced Entry'!U$6)),1))),"No data"))</f>
        <v/>
      </c>
      <c r="V100" s="17">
        <f>IF('Advanced Entry'!V100="","",IFERROR(MAX(0,MIN(10,ROUND(IF('Advanced Entry'!V$8="Decrease Risk",10-10*((IF('Advanced Entry'!V$5="Logarithm",LN(0.001+'Advanced Entry'!V100),IF('Advanced Entry'!V$5="Exponential",EXP('Advanced Entry'!V100),'Advanced Entry'!V100)))-'Advanced Entry'!V$6)/('Advanced Entry'!V$7-'Advanced Entry'!V$6),10*((IF('Advanced Entry'!V$5="Logarithm",LN(0.001+'Advanced Entry'!V100),IF('Advanced Entry'!V$5="Exponential",EXP('Advanced Entry'!V100),'Advanced Entry'!V100)))-'Advanced Entry'!V$6)/('Advanced Entry'!V$7-'Advanced Entry'!V$6)),1))),"No data"))</f>
        <v/>
      </c>
      <c r="W100" s="17">
        <f>IF('Advanced Entry'!W100="","",IFERROR(MAX(0,MIN(10,ROUND(IF('Advanced Entry'!W$8="Decrease Risk",10-10*((IF('Advanced Entry'!W$5="Logarithm",LN(0.001+'Advanced Entry'!W100),IF('Advanced Entry'!W$5="Exponential",EXP('Advanced Entry'!W100),'Advanced Entry'!W100)))-'Advanced Entry'!W$6)/('Advanced Entry'!W$7-'Advanced Entry'!W$6),10*((IF('Advanced Entry'!W$5="Logarithm",LN(0.001+'Advanced Entry'!W100),IF('Advanced Entry'!W$5="Exponential",EXP('Advanced Entry'!W100),'Advanced Entry'!W100)))-'Advanced Entry'!W$6)/('Advanced Entry'!W$7-'Advanced Entry'!W$6)),1))),"No data"))</f>
        <v/>
      </c>
      <c r="X100" s="17">
        <f>IF('Advanced Entry'!X100="","",IFERROR(MAX(0,MIN(10,ROUND(IF('Advanced Entry'!X$8="Decrease Risk",10-10*((IF('Advanced Entry'!X$5="Logarithm",LN(0.001+'Advanced Entry'!X100),IF('Advanced Entry'!X$5="Exponential",EXP('Advanced Entry'!X100),'Advanced Entry'!X100)))-'Advanced Entry'!X$6)/('Advanced Entry'!X$7-'Advanced Entry'!X$6),10*((IF('Advanced Entry'!X$5="Logarithm",LN(0.001+'Advanced Entry'!X100),IF('Advanced Entry'!X$5="Exponential",EXP('Advanced Entry'!X100),'Advanced Entry'!X100)))-'Advanced Entry'!X$6)/('Advanced Entry'!X$7-'Advanced Entry'!X$6)),1))),"No data"))</f>
        <v/>
      </c>
      <c r="Y100" s="17">
        <f>IF('Advanced Entry'!Y100="","",IFERROR(MAX(0,MIN(10,ROUND(IF('Advanced Entry'!Y$8="Decrease Risk",10-10*((IF('Advanced Entry'!Y$5="Logarithm",LN(0.001+'Advanced Entry'!Y100),IF('Advanced Entry'!Y$5="Exponential",EXP('Advanced Entry'!Y100),'Advanced Entry'!Y100)))-'Advanced Entry'!Y$6)/('Advanced Entry'!Y$7-'Advanced Entry'!Y$6),10*((IF('Advanced Entry'!Y$5="Logarithm",LN(0.001+'Advanced Entry'!Y100),IF('Advanced Entry'!Y$5="Exponential",EXP('Advanced Entry'!Y100),'Advanced Entry'!Y100)))-'Advanced Entry'!Y$6)/('Advanced Entry'!Y$7-'Advanced Entry'!Y$6)),1))),"No data"))</f>
        <v/>
      </c>
      <c r="Z100" s="17">
        <f>IF('Advanced Entry'!Z100="","",IFERROR(MAX(0,MIN(10,ROUND(IF('Advanced Entry'!Z$8="Decrease Risk",10-10*((IF('Advanced Entry'!Z$5="Logarithm",LN(0.001+'Advanced Entry'!Z100),IF('Advanced Entry'!Z$5="Exponential",EXP('Advanced Entry'!Z100),'Advanced Entry'!Z100)))-'Advanced Entry'!Z$6)/('Advanced Entry'!Z$7-'Advanced Entry'!Z$6),10*((IF('Advanced Entry'!Z$5="Logarithm",LN(0.001+'Advanced Entry'!Z100),IF('Advanced Entry'!Z$5="Exponential",EXP('Advanced Entry'!Z100),'Advanced Entry'!Z100)))-'Advanced Entry'!Z$6)/('Advanced Entry'!Z$7-'Advanced Entry'!Z$6)),1))),"No data"))</f>
        <v/>
      </c>
      <c r="AA100" s="17">
        <f>IF('Advanced Entry'!AA100="","",IFERROR(MAX(0,MIN(10,ROUND(IF('Advanced Entry'!AA$8="Decrease Risk",10-10*((IF('Advanced Entry'!AA$5="Logarithm",LN(0.001+'Advanced Entry'!AA100),IF('Advanced Entry'!AA$5="Exponential",EXP('Advanced Entry'!AA100),'Advanced Entry'!AA100)))-'Advanced Entry'!AA$6)/('Advanced Entry'!AA$7-'Advanced Entry'!AA$6),10*((IF('Advanced Entry'!AA$5="Logarithm",LN(0.001+'Advanced Entry'!AA100),IF('Advanced Entry'!AA$5="Exponential",EXP('Advanced Entry'!AA100),'Advanced Entry'!AA100)))-'Advanced Entry'!AA$6)/('Advanced Entry'!AA$7-'Advanced Entry'!AA$6)),1))),"No data"))</f>
        <v/>
      </c>
      <c r="AB100" s="17">
        <f>IF('Advanced Entry'!AB100="","",IFERROR(MAX(0,MIN(10,ROUND(IF('Advanced Entry'!AB$8="Decrease Risk",10-10*((IF('Advanced Entry'!AB$5="Logarithm",LN(0.001+'Advanced Entry'!AB100),IF('Advanced Entry'!AB$5="Exponential",EXP('Advanced Entry'!AB100),'Advanced Entry'!AB100)))-'Advanced Entry'!AB$6)/('Advanced Entry'!AB$7-'Advanced Entry'!AB$6),10*((IF('Advanced Entry'!AB$5="Logarithm",LN(0.001+'Advanced Entry'!AB100),IF('Advanced Entry'!AB$5="Exponential",EXP('Advanced Entry'!AB100),'Advanced Entry'!AB100)))-'Advanced Entry'!AB$6)/('Advanced Entry'!AB$7-'Advanced Entry'!AB$6)),1))),"No data"))</f>
        <v/>
      </c>
    </row>
    <row r="101">
      <c r="A101" t="inlineStr">
        <is>
          <t>Mbeya</t>
        </is>
      </c>
      <c r="B101" t="inlineStr">
        <is>
          <t>Chunya District</t>
        </is>
      </c>
      <c r="C101" t="inlineStr">
        <is>
          <t>C085</t>
        </is>
      </c>
      <c r="D101" s="17">
        <f>IF('Advanced Entry'!D101="","",IFERROR(MAX(0,MIN(10,ROUND(IF('Advanced Entry'!D$8="Decrease Risk",10-10*((IF('Advanced Entry'!D$5="Logarithm",LN(0.001+'Advanced Entry'!D101),IF('Advanced Entry'!D$5="Exponential",EXP('Advanced Entry'!D101),'Advanced Entry'!D101)))-'Advanced Entry'!D$6)/('Advanced Entry'!D$7-'Advanced Entry'!D$6),10*((IF('Advanced Entry'!D$5="Logarithm",LN(0.001+'Advanced Entry'!D101),IF('Advanced Entry'!D$5="Exponential",EXP('Advanced Entry'!D101),'Advanced Entry'!D101)))-'Advanced Entry'!D$6)/('Advanced Entry'!D$7-'Advanced Entry'!D$6)),1))),"No data"))</f>
        <v/>
      </c>
      <c r="E101" s="17">
        <f>IF('Advanced Entry'!E101="","",IFERROR(MAX(0,MIN(10,ROUND(IF('Advanced Entry'!E$8="Decrease Risk",10-10*((IF('Advanced Entry'!E$5="Logarithm",LN(0.001+'Advanced Entry'!E101),IF('Advanced Entry'!E$5="Exponential",EXP('Advanced Entry'!E101),'Advanced Entry'!E101)))-'Advanced Entry'!E$6)/('Advanced Entry'!E$7-'Advanced Entry'!E$6),10*((IF('Advanced Entry'!E$5="Logarithm",LN(0.001+'Advanced Entry'!E101),IF('Advanced Entry'!E$5="Exponential",EXP('Advanced Entry'!E101),'Advanced Entry'!E101)))-'Advanced Entry'!E$6)/('Advanced Entry'!E$7-'Advanced Entry'!E$6)),1))),"No data"))</f>
        <v/>
      </c>
      <c r="F101" s="17">
        <f>IF('Advanced Entry'!F101="","",IFERROR(MAX(0,MIN(10,ROUND(IF('Advanced Entry'!F$8="Decrease Risk",10-10*((IF('Advanced Entry'!F$5="Logarithm",LN(0.001+'Advanced Entry'!F101),IF('Advanced Entry'!F$5="Exponential",EXP('Advanced Entry'!F101),'Advanced Entry'!F101)))-'Advanced Entry'!F$6)/('Advanced Entry'!F$7-'Advanced Entry'!F$6),10*((IF('Advanced Entry'!F$5="Logarithm",LN(0.001+'Advanced Entry'!F101),IF('Advanced Entry'!F$5="Exponential",EXP('Advanced Entry'!F101),'Advanced Entry'!F101)))-'Advanced Entry'!F$6)/('Advanced Entry'!F$7-'Advanced Entry'!F$6)),1))),"No data"))</f>
        <v/>
      </c>
      <c r="G101" s="17">
        <f>IF('Advanced Entry'!G101="","",IFERROR(MAX(0,MIN(10,ROUND(IF('Advanced Entry'!G$8="Decrease Risk",10-10*((IF('Advanced Entry'!G$5="Logarithm",LN(0.001+'Advanced Entry'!G101),IF('Advanced Entry'!G$5="Exponential",EXP('Advanced Entry'!G101),'Advanced Entry'!G101)))-'Advanced Entry'!G$6)/('Advanced Entry'!G$7-'Advanced Entry'!G$6),10*((IF('Advanced Entry'!G$5="Logarithm",LN(0.001+'Advanced Entry'!G101),IF('Advanced Entry'!G$5="Exponential",EXP('Advanced Entry'!G101),'Advanced Entry'!G101)))-'Advanced Entry'!G$6)/('Advanced Entry'!G$7-'Advanced Entry'!G$6)),1))),"No data"))</f>
        <v/>
      </c>
      <c r="H101" s="17">
        <f>IF('Advanced Entry'!H101="","",IFERROR(MAX(0,MIN(10,ROUND(IF('Advanced Entry'!H$8="Decrease Risk",10-10*((IF('Advanced Entry'!H$5="Logarithm",LN(0.001+'Advanced Entry'!H101),IF('Advanced Entry'!H$5="Exponential",EXP('Advanced Entry'!H101),'Advanced Entry'!H101)))-'Advanced Entry'!H$6)/('Advanced Entry'!H$7-'Advanced Entry'!H$6),10*((IF('Advanced Entry'!H$5="Logarithm",LN(0.001+'Advanced Entry'!H101),IF('Advanced Entry'!H$5="Exponential",EXP('Advanced Entry'!H101),'Advanced Entry'!H101)))-'Advanced Entry'!H$6)/('Advanced Entry'!H$7-'Advanced Entry'!H$6)),1))),"No data"))</f>
        <v/>
      </c>
      <c r="I101" s="17">
        <f>IF('Advanced Entry'!I101="","",IFERROR(MAX(0,MIN(10,ROUND(IF('Advanced Entry'!I$8="Decrease Risk",10-10*((IF('Advanced Entry'!I$5="Logarithm",LN(0.001+'Advanced Entry'!I101),IF('Advanced Entry'!I$5="Exponential",EXP('Advanced Entry'!I101),'Advanced Entry'!I101)))-'Advanced Entry'!I$6)/('Advanced Entry'!I$7-'Advanced Entry'!I$6),10*((IF('Advanced Entry'!I$5="Logarithm",LN(0.001+'Advanced Entry'!I101),IF('Advanced Entry'!I$5="Exponential",EXP('Advanced Entry'!I101),'Advanced Entry'!I101)))-'Advanced Entry'!I$6)/('Advanced Entry'!I$7-'Advanced Entry'!I$6)),1))),"No data"))</f>
        <v/>
      </c>
      <c r="J101" s="17">
        <f>IF('Advanced Entry'!J101="","",IFERROR(MAX(0,MIN(10,ROUND(IF('Advanced Entry'!J$8="Decrease Risk",10-10*((IF('Advanced Entry'!J$5="Logarithm",LN(0.001+'Advanced Entry'!J101),IF('Advanced Entry'!J$5="Exponential",EXP('Advanced Entry'!J101),'Advanced Entry'!J101)))-'Advanced Entry'!J$6)/('Advanced Entry'!J$7-'Advanced Entry'!J$6),10*((IF('Advanced Entry'!J$5="Logarithm",LN(0.001+'Advanced Entry'!J101),IF('Advanced Entry'!J$5="Exponential",EXP('Advanced Entry'!J101),'Advanced Entry'!J101)))-'Advanced Entry'!J$6)/('Advanced Entry'!J$7-'Advanced Entry'!J$6)),1))),"No data"))</f>
        <v/>
      </c>
      <c r="K101" s="17">
        <f>IF('Advanced Entry'!K101="","",IFERROR(MAX(0,MIN(10,ROUND(IF('Advanced Entry'!K$8="Decrease Risk",10-10*((IF('Advanced Entry'!K$5="Logarithm",LN(0.001+'Advanced Entry'!K101),IF('Advanced Entry'!K$5="Exponential",EXP('Advanced Entry'!K101),'Advanced Entry'!K101)))-'Advanced Entry'!K$6)/('Advanced Entry'!K$7-'Advanced Entry'!K$6),10*((IF('Advanced Entry'!K$5="Logarithm",LN(0.001+'Advanced Entry'!K101),IF('Advanced Entry'!K$5="Exponential",EXP('Advanced Entry'!K101),'Advanced Entry'!K101)))-'Advanced Entry'!K$6)/('Advanced Entry'!K$7-'Advanced Entry'!K$6)),1))),"No data"))</f>
        <v/>
      </c>
      <c r="L101" s="17">
        <f>IF('Advanced Entry'!L101="","",IFERROR(MAX(0,MIN(10,ROUND(IF('Advanced Entry'!L$8="Decrease Risk",10-10*((IF('Advanced Entry'!L$5="Logarithm",LN(0.001+'Advanced Entry'!L101),IF('Advanced Entry'!L$5="Exponential",EXP('Advanced Entry'!L101),'Advanced Entry'!L101)))-'Advanced Entry'!L$6)/('Advanced Entry'!L$7-'Advanced Entry'!L$6),10*((IF('Advanced Entry'!L$5="Logarithm",LN(0.001+'Advanced Entry'!L101),IF('Advanced Entry'!L$5="Exponential",EXP('Advanced Entry'!L101),'Advanced Entry'!L101)))-'Advanced Entry'!L$6)/('Advanced Entry'!L$7-'Advanced Entry'!L$6)),1))),"No data"))</f>
        <v/>
      </c>
      <c r="M101" s="17">
        <f>IF('Advanced Entry'!M101="","",IFERROR(MAX(0,MIN(10,ROUND(IF('Advanced Entry'!M$8="Decrease Risk",10-10*((IF('Advanced Entry'!M$5="Logarithm",LN(0.001+'Advanced Entry'!M101),IF('Advanced Entry'!M$5="Exponential",EXP('Advanced Entry'!M101),'Advanced Entry'!M101)))-'Advanced Entry'!M$6)/('Advanced Entry'!M$7-'Advanced Entry'!M$6),10*((IF('Advanced Entry'!M$5="Logarithm",LN(0.001+'Advanced Entry'!M101),IF('Advanced Entry'!M$5="Exponential",EXP('Advanced Entry'!M101),'Advanced Entry'!M101)))-'Advanced Entry'!M$6)/('Advanced Entry'!M$7-'Advanced Entry'!M$6)),1))),"No data"))</f>
        <v/>
      </c>
      <c r="N101" s="17">
        <f>IF('Advanced Entry'!N101="","",IFERROR(MAX(0,MIN(10,ROUND(IF('Advanced Entry'!N$8="Decrease Risk",10-10*((IF('Advanced Entry'!N$5="Logarithm",LN(0.001+'Advanced Entry'!N101),IF('Advanced Entry'!N$5="Exponential",EXP('Advanced Entry'!N101),'Advanced Entry'!N101)))-'Advanced Entry'!N$6)/('Advanced Entry'!N$7-'Advanced Entry'!N$6),10*((IF('Advanced Entry'!N$5="Logarithm",LN(0.001+'Advanced Entry'!N101),IF('Advanced Entry'!N$5="Exponential",EXP('Advanced Entry'!N101),'Advanced Entry'!N101)))-'Advanced Entry'!N$6)/('Advanced Entry'!N$7-'Advanced Entry'!N$6)),1))),"No data"))</f>
        <v/>
      </c>
      <c r="O101" s="17">
        <f>IF('Advanced Entry'!O101="","",IFERROR(MAX(0,MIN(10,ROUND(IF('Advanced Entry'!O$8="Decrease Risk",10-10*((IF('Advanced Entry'!O$5="Logarithm",LN(0.001+'Advanced Entry'!O101),IF('Advanced Entry'!O$5="Exponential",EXP('Advanced Entry'!O101),'Advanced Entry'!O101)))-'Advanced Entry'!O$6)/('Advanced Entry'!O$7-'Advanced Entry'!O$6),10*((IF('Advanced Entry'!O$5="Logarithm",LN(0.001+'Advanced Entry'!O101),IF('Advanced Entry'!O$5="Exponential",EXP('Advanced Entry'!O101),'Advanced Entry'!O101)))-'Advanced Entry'!O$6)/('Advanced Entry'!O$7-'Advanced Entry'!O$6)),1))),"No data"))</f>
        <v/>
      </c>
      <c r="P101" s="17">
        <f>IF('Advanced Entry'!P101="","",IFERROR(MAX(0,MIN(10,ROUND(IF('Advanced Entry'!P$8="Decrease Risk",10-10*((IF('Advanced Entry'!P$5="Logarithm",LN(0.001+'Advanced Entry'!P101),IF('Advanced Entry'!P$5="Exponential",EXP('Advanced Entry'!P101),'Advanced Entry'!P101)))-'Advanced Entry'!P$6)/('Advanced Entry'!P$7-'Advanced Entry'!P$6),10*((IF('Advanced Entry'!P$5="Logarithm",LN(0.001+'Advanced Entry'!P101),IF('Advanced Entry'!P$5="Exponential",EXP('Advanced Entry'!P101),'Advanced Entry'!P101)))-'Advanced Entry'!P$6)/('Advanced Entry'!P$7-'Advanced Entry'!P$6)),1))),"No data"))</f>
        <v/>
      </c>
      <c r="Q101" s="17">
        <f>IF('Advanced Entry'!Q101="","",IFERROR(MAX(0,MIN(10,ROUND(IF('Advanced Entry'!Q$8="Decrease Risk",10-10*((IF('Advanced Entry'!Q$5="Logarithm",LN(0.001+'Advanced Entry'!Q101),IF('Advanced Entry'!Q$5="Exponential",EXP('Advanced Entry'!Q101),'Advanced Entry'!Q101)))-'Advanced Entry'!Q$6)/('Advanced Entry'!Q$7-'Advanced Entry'!Q$6),10*((IF('Advanced Entry'!Q$5="Logarithm",LN(0.001+'Advanced Entry'!Q101),IF('Advanced Entry'!Q$5="Exponential",EXP('Advanced Entry'!Q101),'Advanced Entry'!Q101)))-'Advanced Entry'!Q$6)/('Advanced Entry'!Q$7-'Advanced Entry'!Q$6)),1))),"No data"))</f>
        <v/>
      </c>
      <c r="R101" s="17">
        <f>IF('Advanced Entry'!R101="","",IFERROR(MAX(0,MIN(10,ROUND(IF('Advanced Entry'!R$8="Decrease Risk",10-10*((IF('Advanced Entry'!R$5="Logarithm",LN(0.001+'Advanced Entry'!R101),IF('Advanced Entry'!R$5="Exponential",EXP('Advanced Entry'!R101),'Advanced Entry'!R101)))-'Advanced Entry'!R$6)/('Advanced Entry'!R$7-'Advanced Entry'!R$6),10*((IF('Advanced Entry'!R$5="Logarithm",LN(0.001+'Advanced Entry'!R101),IF('Advanced Entry'!R$5="Exponential",EXP('Advanced Entry'!R101),'Advanced Entry'!R101)))-'Advanced Entry'!R$6)/('Advanced Entry'!R$7-'Advanced Entry'!R$6)),1))),"No data"))</f>
        <v/>
      </c>
      <c r="S101" s="17">
        <f>IF('Advanced Entry'!S101="","",IFERROR(MAX(0,MIN(10,ROUND(IF('Advanced Entry'!S$8="Decrease Risk",10-10*((IF('Advanced Entry'!S$5="Logarithm",LN(0.001+'Advanced Entry'!S101),IF('Advanced Entry'!S$5="Exponential",EXP('Advanced Entry'!S101),'Advanced Entry'!S101)))-'Advanced Entry'!S$6)/('Advanced Entry'!S$7-'Advanced Entry'!S$6),10*((IF('Advanced Entry'!S$5="Logarithm",LN(0.001+'Advanced Entry'!S101),IF('Advanced Entry'!S$5="Exponential",EXP('Advanced Entry'!S101),'Advanced Entry'!S101)))-'Advanced Entry'!S$6)/('Advanced Entry'!S$7-'Advanced Entry'!S$6)),1))),"No data"))</f>
        <v/>
      </c>
      <c r="T101" s="17">
        <f>IF('Advanced Entry'!T101="","",IFERROR(MAX(0,MIN(10,ROUND(IF('Advanced Entry'!T$8="Decrease Risk",10-10*((IF('Advanced Entry'!T$5="Logarithm",LN(0.001+'Advanced Entry'!T101),IF('Advanced Entry'!T$5="Exponential",EXP('Advanced Entry'!T101),'Advanced Entry'!T101)))-'Advanced Entry'!T$6)/('Advanced Entry'!T$7-'Advanced Entry'!T$6),10*((IF('Advanced Entry'!T$5="Logarithm",LN(0.001+'Advanced Entry'!T101),IF('Advanced Entry'!T$5="Exponential",EXP('Advanced Entry'!T101),'Advanced Entry'!T101)))-'Advanced Entry'!T$6)/('Advanced Entry'!T$7-'Advanced Entry'!T$6)),1))),"No data"))</f>
        <v/>
      </c>
      <c r="U101" s="17">
        <f>IF('Advanced Entry'!U101="","",IFERROR(MAX(0,MIN(10,ROUND(IF('Advanced Entry'!U$8="Decrease Risk",10-10*((IF('Advanced Entry'!U$5="Logarithm",LN(0.001+'Advanced Entry'!U101),IF('Advanced Entry'!U$5="Exponential",EXP('Advanced Entry'!U101),'Advanced Entry'!U101)))-'Advanced Entry'!U$6)/('Advanced Entry'!U$7-'Advanced Entry'!U$6),10*((IF('Advanced Entry'!U$5="Logarithm",LN(0.001+'Advanced Entry'!U101),IF('Advanced Entry'!U$5="Exponential",EXP('Advanced Entry'!U101),'Advanced Entry'!U101)))-'Advanced Entry'!U$6)/('Advanced Entry'!U$7-'Advanced Entry'!U$6)),1))),"No data"))</f>
        <v/>
      </c>
      <c r="V101" s="17">
        <f>IF('Advanced Entry'!V101="","",IFERROR(MAX(0,MIN(10,ROUND(IF('Advanced Entry'!V$8="Decrease Risk",10-10*((IF('Advanced Entry'!V$5="Logarithm",LN(0.001+'Advanced Entry'!V101),IF('Advanced Entry'!V$5="Exponential",EXP('Advanced Entry'!V101),'Advanced Entry'!V101)))-'Advanced Entry'!V$6)/('Advanced Entry'!V$7-'Advanced Entry'!V$6),10*((IF('Advanced Entry'!V$5="Logarithm",LN(0.001+'Advanced Entry'!V101),IF('Advanced Entry'!V$5="Exponential",EXP('Advanced Entry'!V101),'Advanced Entry'!V101)))-'Advanced Entry'!V$6)/('Advanced Entry'!V$7-'Advanced Entry'!V$6)),1))),"No data"))</f>
        <v/>
      </c>
      <c r="W101" s="17">
        <f>IF('Advanced Entry'!W101="","",IFERROR(MAX(0,MIN(10,ROUND(IF('Advanced Entry'!W$8="Decrease Risk",10-10*((IF('Advanced Entry'!W$5="Logarithm",LN(0.001+'Advanced Entry'!W101),IF('Advanced Entry'!W$5="Exponential",EXP('Advanced Entry'!W101),'Advanced Entry'!W101)))-'Advanced Entry'!W$6)/('Advanced Entry'!W$7-'Advanced Entry'!W$6),10*((IF('Advanced Entry'!W$5="Logarithm",LN(0.001+'Advanced Entry'!W101),IF('Advanced Entry'!W$5="Exponential",EXP('Advanced Entry'!W101),'Advanced Entry'!W101)))-'Advanced Entry'!W$6)/('Advanced Entry'!W$7-'Advanced Entry'!W$6)),1))),"No data"))</f>
        <v/>
      </c>
      <c r="X101" s="17">
        <f>IF('Advanced Entry'!X101="","",IFERROR(MAX(0,MIN(10,ROUND(IF('Advanced Entry'!X$8="Decrease Risk",10-10*((IF('Advanced Entry'!X$5="Logarithm",LN(0.001+'Advanced Entry'!X101),IF('Advanced Entry'!X$5="Exponential",EXP('Advanced Entry'!X101),'Advanced Entry'!X101)))-'Advanced Entry'!X$6)/('Advanced Entry'!X$7-'Advanced Entry'!X$6),10*((IF('Advanced Entry'!X$5="Logarithm",LN(0.001+'Advanced Entry'!X101),IF('Advanced Entry'!X$5="Exponential",EXP('Advanced Entry'!X101),'Advanced Entry'!X101)))-'Advanced Entry'!X$6)/('Advanced Entry'!X$7-'Advanced Entry'!X$6)),1))),"No data"))</f>
        <v/>
      </c>
      <c r="Y101" s="17">
        <f>IF('Advanced Entry'!Y101="","",IFERROR(MAX(0,MIN(10,ROUND(IF('Advanced Entry'!Y$8="Decrease Risk",10-10*((IF('Advanced Entry'!Y$5="Logarithm",LN(0.001+'Advanced Entry'!Y101),IF('Advanced Entry'!Y$5="Exponential",EXP('Advanced Entry'!Y101),'Advanced Entry'!Y101)))-'Advanced Entry'!Y$6)/('Advanced Entry'!Y$7-'Advanced Entry'!Y$6),10*((IF('Advanced Entry'!Y$5="Logarithm",LN(0.001+'Advanced Entry'!Y101),IF('Advanced Entry'!Y$5="Exponential",EXP('Advanced Entry'!Y101),'Advanced Entry'!Y101)))-'Advanced Entry'!Y$6)/('Advanced Entry'!Y$7-'Advanced Entry'!Y$6)),1))),"No data"))</f>
        <v/>
      </c>
      <c r="Z101" s="17">
        <f>IF('Advanced Entry'!Z101="","",IFERROR(MAX(0,MIN(10,ROUND(IF('Advanced Entry'!Z$8="Decrease Risk",10-10*((IF('Advanced Entry'!Z$5="Logarithm",LN(0.001+'Advanced Entry'!Z101),IF('Advanced Entry'!Z$5="Exponential",EXP('Advanced Entry'!Z101),'Advanced Entry'!Z101)))-'Advanced Entry'!Z$6)/('Advanced Entry'!Z$7-'Advanced Entry'!Z$6),10*((IF('Advanced Entry'!Z$5="Logarithm",LN(0.001+'Advanced Entry'!Z101),IF('Advanced Entry'!Z$5="Exponential",EXP('Advanced Entry'!Z101),'Advanced Entry'!Z101)))-'Advanced Entry'!Z$6)/('Advanced Entry'!Z$7-'Advanced Entry'!Z$6)),1))),"No data"))</f>
        <v/>
      </c>
      <c r="AA101" s="17">
        <f>IF('Advanced Entry'!AA101="","",IFERROR(MAX(0,MIN(10,ROUND(IF('Advanced Entry'!AA$8="Decrease Risk",10-10*((IF('Advanced Entry'!AA$5="Logarithm",LN(0.001+'Advanced Entry'!AA101),IF('Advanced Entry'!AA$5="Exponential",EXP('Advanced Entry'!AA101),'Advanced Entry'!AA101)))-'Advanced Entry'!AA$6)/('Advanced Entry'!AA$7-'Advanced Entry'!AA$6),10*((IF('Advanced Entry'!AA$5="Logarithm",LN(0.001+'Advanced Entry'!AA101),IF('Advanced Entry'!AA$5="Exponential",EXP('Advanced Entry'!AA101),'Advanced Entry'!AA101)))-'Advanced Entry'!AA$6)/('Advanced Entry'!AA$7-'Advanced Entry'!AA$6)),1))),"No data"))</f>
        <v/>
      </c>
      <c r="AB101" s="17">
        <f>IF('Advanced Entry'!AB101="","",IFERROR(MAX(0,MIN(10,ROUND(IF('Advanced Entry'!AB$8="Decrease Risk",10-10*((IF('Advanced Entry'!AB$5="Logarithm",LN(0.001+'Advanced Entry'!AB101),IF('Advanced Entry'!AB$5="Exponential",EXP('Advanced Entry'!AB101),'Advanced Entry'!AB101)))-'Advanced Entry'!AB$6)/('Advanced Entry'!AB$7-'Advanced Entry'!AB$6),10*((IF('Advanced Entry'!AB$5="Logarithm",LN(0.001+'Advanced Entry'!AB101),IF('Advanced Entry'!AB$5="Exponential",EXP('Advanced Entry'!AB101),'Advanced Entry'!AB101)))-'Advanced Entry'!AB$6)/('Advanced Entry'!AB$7-'Advanced Entry'!AB$6)),1))),"No data"))</f>
        <v/>
      </c>
    </row>
    <row r="102">
      <c r="A102" t="inlineStr">
        <is>
          <t>Mbeya</t>
        </is>
      </c>
      <c r="B102" t="inlineStr">
        <is>
          <t>Kyela District</t>
        </is>
      </c>
      <c r="C102" t="inlineStr">
        <is>
          <t>C088</t>
        </is>
      </c>
      <c r="D102" s="17">
        <f>IF('Advanced Entry'!D102="","",IFERROR(MAX(0,MIN(10,ROUND(IF('Advanced Entry'!D$8="Decrease Risk",10-10*((IF('Advanced Entry'!D$5="Logarithm",LN(0.001+'Advanced Entry'!D102),IF('Advanced Entry'!D$5="Exponential",EXP('Advanced Entry'!D102),'Advanced Entry'!D102)))-'Advanced Entry'!D$6)/('Advanced Entry'!D$7-'Advanced Entry'!D$6),10*((IF('Advanced Entry'!D$5="Logarithm",LN(0.001+'Advanced Entry'!D102),IF('Advanced Entry'!D$5="Exponential",EXP('Advanced Entry'!D102),'Advanced Entry'!D102)))-'Advanced Entry'!D$6)/('Advanced Entry'!D$7-'Advanced Entry'!D$6)),1))),"No data"))</f>
        <v/>
      </c>
      <c r="E102" s="17">
        <f>IF('Advanced Entry'!E102="","",IFERROR(MAX(0,MIN(10,ROUND(IF('Advanced Entry'!E$8="Decrease Risk",10-10*((IF('Advanced Entry'!E$5="Logarithm",LN(0.001+'Advanced Entry'!E102),IF('Advanced Entry'!E$5="Exponential",EXP('Advanced Entry'!E102),'Advanced Entry'!E102)))-'Advanced Entry'!E$6)/('Advanced Entry'!E$7-'Advanced Entry'!E$6),10*((IF('Advanced Entry'!E$5="Logarithm",LN(0.001+'Advanced Entry'!E102),IF('Advanced Entry'!E$5="Exponential",EXP('Advanced Entry'!E102),'Advanced Entry'!E102)))-'Advanced Entry'!E$6)/('Advanced Entry'!E$7-'Advanced Entry'!E$6)),1))),"No data"))</f>
        <v/>
      </c>
      <c r="F102" s="17">
        <f>IF('Advanced Entry'!F102="","",IFERROR(MAX(0,MIN(10,ROUND(IF('Advanced Entry'!F$8="Decrease Risk",10-10*((IF('Advanced Entry'!F$5="Logarithm",LN(0.001+'Advanced Entry'!F102),IF('Advanced Entry'!F$5="Exponential",EXP('Advanced Entry'!F102),'Advanced Entry'!F102)))-'Advanced Entry'!F$6)/('Advanced Entry'!F$7-'Advanced Entry'!F$6),10*((IF('Advanced Entry'!F$5="Logarithm",LN(0.001+'Advanced Entry'!F102),IF('Advanced Entry'!F$5="Exponential",EXP('Advanced Entry'!F102),'Advanced Entry'!F102)))-'Advanced Entry'!F$6)/('Advanced Entry'!F$7-'Advanced Entry'!F$6)),1))),"No data"))</f>
        <v/>
      </c>
      <c r="G102" s="17">
        <f>IF('Advanced Entry'!G102="","",IFERROR(MAX(0,MIN(10,ROUND(IF('Advanced Entry'!G$8="Decrease Risk",10-10*((IF('Advanced Entry'!G$5="Logarithm",LN(0.001+'Advanced Entry'!G102),IF('Advanced Entry'!G$5="Exponential",EXP('Advanced Entry'!G102),'Advanced Entry'!G102)))-'Advanced Entry'!G$6)/('Advanced Entry'!G$7-'Advanced Entry'!G$6),10*((IF('Advanced Entry'!G$5="Logarithm",LN(0.001+'Advanced Entry'!G102),IF('Advanced Entry'!G$5="Exponential",EXP('Advanced Entry'!G102),'Advanced Entry'!G102)))-'Advanced Entry'!G$6)/('Advanced Entry'!G$7-'Advanced Entry'!G$6)),1))),"No data"))</f>
        <v/>
      </c>
      <c r="H102" s="17">
        <f>IF('Advanced Entry'!H102="","",IFERROR(MAX(0,MIN(10,ROUND(IF('Advanced Entry'!H$8="Decrease Risk",10-10*((IF('Advanced Entry'!H$5="Logarithm",LN(0.001+'Advanced Entry'!H102),IF('Advanced Entry'!H$5="Exponential",EXP('Advanced Entry'!H102),'Advanced Entry'!H102)))-'Advanced Entry'!H$6)/('Advanced Entry'!H$7-'Advanced Entry'!H$6),10*((IF('Advanced Entry'!H$5="Logarithm",LN(0.001+'Advanced Entry'!H102),IF('Advanced Entry'!H$5="Exponential",EXP('Advanced Entry'!H102),'Advanced Entry'!H102)))-'Advanced Entry'!H$6)/('Advanced Entry'!H$7-'Advanced Entry'!H$6)),1))),"No data"))</f>
        <v/>
      </c>
      <c r="I102" s="17">
        <f>IF('Advanced Entry'!I102="","",IFERROR(MAX(0,MIN(10,ROUND(IF('Advanced Entry'!I$8="Decrease Risk",10-10*((IF('Advanced Entry'!I$5="Logarithm",LN(0.001+'Advanced Entry'!I102),IF('Advanced Entry'!I$5="Exponential",EXP('Advanced Entry'!I102),'Advanced Entry'!I102)))-'Advanced Entry'!I$6)/('Advanced Entry'!I$7-'Advanced Entry'!I$6),10*((IF('Advanced Entry'!I$5="Logarithm",LN(0.001+'Advanced Entry'!I102),IF('Advanced Entry'!I$5="Exponential",EXP('Advanced Entry'!I102),'Advanced Entry'!I102)))-'Advanced Entry'!I$6)/('Advanced Entry'!I$7-'Advanced Entry'!I$6)),1))),"No data"))</f>
        <v/>
      </c>
      <c r="J102" s="17">
        <f>IF('Advanced Entry'!J102="","",IFERROR(MAX(0,MIN(10,ROUND(IF('Advanced Entry'!J$8="Decrease Risk",10-10*((IF('Advanced Entry'!J$5="Logarithm",LN(0.001+'Advanced Entry'!J102),IF('Advanced Entry'!J$5="Exponential",EXP('Advanced Entry'!J102),'Advanced Entry'!J102)))-'Advanced Entry'!J$6)/('Advanced Entry'!J$7-'Advanced Entry'!J$6),10*((IF('Advanced Entry'!J$5="Logarithm",LN(0.001+'Advanced Entry'!J102),IF('Advanced Entry'!J$5="Exponential",EXP('Advanced Entry'!J102),'Advanced Entry'!J102)))-'Advanced Entry'!J$6)/('Advanced Entry'!J$7-'Advanced Entry'!J$6)),1))),"No data"))</f>
        <v/>
      </c>
      <c r="K102" s="17">
        <f>IF('Advanced Entry'!K102="","",IFERROR(MAX(0,MIN(10,ROUND(IF('Advanced Entry'!K$8="Decrease Risk",10-10*((IF('Advanced Entry'!K$5="Logarithm",LN(0.001+'Advanced Entry'!K102),IF('Advanced Entry'!K$5="Exponential",EXP('Advanced Entry'!K102),'Advanced Entry'!K102)))-'Advanced Entry'!K$6)/('Advanced Entry'!K$7-'Advanced Entry'!K$6),10*((IF('Advanced Entry'!K$5="Logarithm",LN(0.001+'Advanced Entry'!K102),IF('Advanced Entry'!K$5="Exponential",EXP('Advanced Entry'!K102),'Advanced Entry'!K102)))-'Advanced Entry'!K$6)/('Advanced Entry'!K$7-'Advanced Entry'!K$6)),1))),"No data"))</f>
        <v/>
      </c>
      <c r="L102" s="17">
        <f>IF('Advanced Entry'!L102="","",IFERROR(MAX(0,MIN(10,ROUND(IF('Advanced Entry'!L$8="Decrease Risk",10-10*((IF('Advanced Entry'!L$5="Logarithm",LN(0.001+'Advanced Entry'!L102),IF('Advanced Entry'!L$5="Exponential",EXP('Advanced Entry'!L102),'Advanced Entry'!L102)))-'Advanced Entry'!L$6)/('Advanced Entry'!L$7-'Advanced Entry'!L$6),10*((IF('Advanced Entry'!L$5="Logarithm",LN(0.001+'Advanced Entry'!L102),IF('Advanced Entry'!L$5="Exponential",EXP('Advanced Entry'!L102),'Advanced Entry'!L102)))-'Advanced Entry'!L$6)/('Advanced Entry'!L$7-'Advanced Entry'!L$6)),1))),"No data"))</f>
        <v/>
      </c>
      <c r="M102" s="17">
        <f>IF('Advanced Entry'!M102="","",IFERROR(MAX(0,MIN(10,ROUND(IF('Advanced Entry'!M$8="Decrease Risk",10-10*((IF('Advanced Entry'!M$5="Logarithm",LN(0.001+'Advanced Entry'!M102),IF('Advanced Entry'!M$5="Exponential",EXP('Advanced Entry'!M102),'Advanced Entry'!M102)))-'Advanced Entry'!M$6)/('Advanced Entry'!M$7-'Advanced Entry'!M$6),10*((IF('Advanced Entry'!M$5="Logarithm",LN(0.001+'Advanced Entry'!M102),IF('Advanced Entry'!M$5="Exponential",EXP('Advanced Entry'!M102),'Advanced Entry'!M102)))-'Advanced Entry'!M$6)/('Advanced Entry'!M$7-'Advanced Entry'!M$6)),1))),"No data"))</f>
        <v/>
      </c>
      <c r="N102" s="17">
        <f>IF('Advanced Entry'!N102="","",IFERROR(MAX(0,MIN(10,ROUND(IF('Advanced Entry'!N$8="Decrease Risk",10-10*((IF('Advanced Entry'!N$5="Logarithm",LN(0.001+'Advanced Entry'!N102),IF('Advanced Entry'!N$5="Exponential",EXP('Advanced Entry'!N102),'Advanced Entry'!N102)))-'Advanced Entry'!N$6)/('Advanced Entry'!N$7-'Advanced Entry'!N$6),10*((IF('Advanced Entry'!N$5="Logarithm",LN(0.001+'Advanced Entry'!N102),IF('Advanced Entry'!N$5="Exponential",EXP('Advanced Entry'!N102),'Advanced Entry'!N102)))-'Advanced Entry'!N$6)/('Advanced Entry'!N$7-'Advanced Entry'!N$6)),1))),"No data"))</f>
        <v/>
      </c>
      <c r="O102" s="17">
        <f>IF('Advanced Entry'!O102="","",IFERROR(MAX(0,MIN(10,ROUND(IF('Advanced Entry'!O$8="Decrease Risk",10-10*((IF('Advanced Entry'!O$5="Logarithm",LN(0.001+'Advanced Entry'!O102),IF('Advanced Entry'!O$5="Exponential",EXP('Advanced Entry'!O102),'Advanced Entry'!O102)))-'Advanced Entry'!O$6)/('Advanced Entry'!O$7-'Advanced Entry'!O$6),10*((IF('Advanced Entry'!O$5="Logarithm",LN(0.001+'Advanced Entry'!O102),IF('Advanced Entry'!O$5="Exponential",EXP('Advanced Entry'!O102),'Advanced Entry'!O102)))-'Advanced Entry'!O$6)/('Advanced Entry'!O$7-'Advanced Entry'!O$6)),1))),"No data"))</f>
        <v/>
      </c>
      <c r="P102" s="17">
        <f>IF('Advanced Entry'!P102="","",IFERROR(MAX(0,MIN(10,ROUND(IF('Advanced Entry'!P$8="Decrease Risk",10-10*((IF('Advanced Entry'!P$5="Logarithm",LN(0.001+'Advanced Entry'!P102),IF('Advanced Entry'!P$5="Exponential",EXP('Advanced Entry'!P102),'Advanced Entry'!P102)))-'Advanced Entry'!P$6)/('Advanced Entry'!P$7-'Advanced Entry'!P$6),10*((IF('Advanced Entry'!P$5="Logarithm",LN(0.001+'Advanced Entry'!P102),IF('Advanced Entry'!P$5="Exponential",EXP('Advanced Entry'!P102),'Advanced Entry'!P102)))-'Advanced Entry'!P$6)/('Advanced Entry'!P$7-'Advanced Entry'!P$6)),1))),"No data"))</f>
        <v/>
      </c>
      <c r="Q102" s="17">
        <f>IF('Advanced Entry'!Q102="","",IFERROR(MAX(0,MIN(10,ROUND(IF('Advanced Entry'!Q$8="Decrease Risk",10-10*((IF('Advanced Entry'!Q$5="Logarithm",LN(0.001+'Advanced Entry'!Q102),IF('Advanced Entry'!Q$5="Exponential",EXP('Advanced Entry'!Q102),'Advanced Entry'!Q102)))-'Advanced Entry'!Q$6)/('Advanced Entry'!Q$7-'Advanced Entry'!Q$6),10*((IF('Advanced Entry'!Q$5="Logarithm",LN(0.001+'Advanced Entry'!Q102),IF('Advanced Entry'!Q$5="Exponential",EXP('Advanced Entry'!Q102),'Advanced Entry'!Q102)))-'Advanced Entry'!Q$6)/('Advanced Entry'!Q$7-'Advanced Entry'!Q$6)),1))),"No data"))</f>
        <v/>
      </c>
      <c r="R102" s="17">
        <f>IF('Advanced Entry'!R102="","",IFERROR(MAX(0,MIN(10,ROUND(IF('Advanced Entry'!R$8="Decrease Risk",10-10*((IF('Advanced Entry'!R$5="Logarithm",LN(0.001+'Advanced Entry'!R102),IF('Advanced Entry'!R$5="Exponential",EXP('Advanced Entry'!R102),'Advanced Entry'!R102)))-'Advanced Entry'!R$6)/('Advanced Entry'!R$7-'Advanced Entry'!R$6),10*((IF('Advanced Entry'!R$5="Logarithm",LN(0.001+'Advanced Entry'!R102),IF('Advanced Entry'!R$5="Exponential",EXP('Advanced Entry'!R102),'Advanced Entry'!R102)))-'Advanced Entry'!R$6)/('Advanced Entry'!R$7-'Advanced Entry'!R$6)),1))),"No data"))</f>
        <v/>
      </c>
      <c r="S102" s="17">
        <f>IF('Advanced Entry'!S102="","",IFERROR(MAX(0,MIN(10,ROUND(IF('Advanced Entry'!S$8="Decrease Risk",10-10*((IF('Advanced Entry'!S$5="Logarithm",LN(0.001+'Advanced Entry'!S102),IF('Advanced Entry'!S$5="Exponential",EXP('Advanced Entry'!S102),'Advanced Entry'!S102)))-'Advanced Entry'!S$6)/('Advanced Entry'!S$7-'Advanced Entry'!S$6),10*((IF('Advanced Entry'!S$5="Logarithm",LN(0.001+'Advanced Entry'!S102),IF('Advanced Entry'!S$5="Exponential",EXP('Advanced Entry'!S102),'Advanced Entry'!S102)))-'Advanced Entry'!S$6)/('Advanced Entry'!S$7-'Advanced Entry'!S$6)),1))),"No data"))</f>
        <v/>
      </c>
      <c r="T102" s="17">
        <f>IF('Advanced Entry'!T102="","",IFERROR(MAX(0,MIN(10,ROUND(IF('Advanced Entry'!T$8="Decrease Risk",10-10*((IF('Advanced Entry'!T$5="Logarithm",LN(0.001+'Advanced Entry'!T102),IF('Advanced Entry'!T$5="Exponential",EXP('Advanced Entry'!T102),'Advanced Entry'!T102)))-'Advanced Entry'!T$6)/('Advanced Entry'!T$7-'Advanced Entry'!T$6),10*((IF('Advanced Entry'!T$5="Logarithm",LN(0.001+'Advanced Entry'!T102),IF('Advanced Entry'!T$5="Exponential",EXP('Advanced Entry'!T102),'Advanced Entry'!T102)))-'Advanced Entry'!T$6)/('Advanced Entry'!T$7-'Advanced Entry'!T$6)),1))),"No data"))</f>
        <v/>
      </c>
      <c r="U102" s="17">
        <f>IF('Advanced Entry'!U102="","",IFERROR(MAX(0,MIN(10,ROUND(IF('Advanced Entry'!U$8="Decrease Risk",10-10*((IF('Advanced Entry'!U$5="Logarithm",LN(0.001+'Advanced Entry'!U102),IF('Advanced Entry'!U$5="Exponential",EXP('Advanced Entry'!U102),'Advanced Entry'!U102)))-'Advanced Entry'!U$6)/('Advanced Entry'!U$7-'Advanced Entry'!U$6),10*((IF('Advanced Entry'!U$5="Logarithm",LN(0.001+'Advanced Entry'!U102),IF('Advanced Entry'!U$5="Exponential",EXP('Advanced Entry'!U102),'Advanced Entry'!U102)))-'Advanced Entry'!U$6)/('Advanced Entry'!U$7-'Advanced Entry'!U$6)),1))),"No data"))</f>
        <v/>
      </c>
      <c r="V102" s="17">
        <f>IF('Advanced Entry'!V102="","",IFERROR(MAX(0,MIN(10,ROUND(IF('Advanced Entry'!V$8="Decrease Risk",10-10*((IF('Advanced Entry'!V$5="Logarithm",LN(0.001+'Advanced Entry'!V102),IF('Advanced Entry'!V$5="Exponential",EXP('Advanced Entry'!V102),'Advanced Entry'!V102)))-'Advanced Entry'!V$6)/('Advanced Entry'!V$7-'Advanced Entry'!V$6),10*((IF('Advanced Entry'!V$5="Logarithm",LN(0.001+'Advanced Entry'!V102),IF('Advanced Entry'!V$5="Exponential",EXP('Advanced Entry'!V102),'Advanced Entry'!V102)))-'Advanced Entry'!V$6)/('Advanced Entry'!V$7-'Advanced Entry'!V$6)),1))),"No data"))</f>
        <v/>
      </c>
      <c r="W102" s="17">
        <f>IF('Advanced Entry'!W102="","",IFERROR(MAX(0,MIN(10,ROUND(IF('Advanced Entry'!W$8="Decrease Risk",10-10*((IF('Advanced Entry'!W$5="Logarithm",LN(0.001+'Advanced Entry'!W102),IF('Advanced Entry'!W$5="Exponential",EXP('Advanced Entry'!W102),'Advanced Entry'!W102)))-'Advanced Entry'!W$6)/('Advanced Entry'!W$7-'Advanced Entry'!W$6),10*((IF('Advanced Entry'!W$5="Logarithm",LN(0.001+'Advanced Entry'!W102),IF('Advanced Entry'!W$5="Exponential",EXP('Advanced Entry'!W102),'Advanced Entry'!W102)))-'Advanced Entry'!W$6)/('Advanced Entry'!W$7-'Advanced Entry'!W$6)),1))),"No data"))</f>
        <v/>
      </c>
      <c r="X102" s="17">
        <f>IF('Advanced Entry'!X102="","",IFERROR(MAX(0,MIN(10,ROUND(IF('Advanced Entry'!X$8="Decrease Risk",10-10*((IF('Advanced Entry'!X$5="Logarithm",LN(0.001+'Advanced Entry'!X102),IF('Advanced Entry'!X$5="Exponential",EXP('Advanced Entry'!X102),'Advanced Entry'!X102)))-'Advanced Entry'!X$6)/('Advanced Entry'!X$7-'Advanced Entry'!X$6),10*((IF('Advanced Entry'!X$5="Logarithm",LN(0.001+'Advanced Entry'!X102),IF('Advanced Entry'!X$5="Exponential",EXP('Advanced Entry'!X102),'Advanced Entry'!X102)))-'Advanced Entry'!X$6)/('Advanced Entry'!X$7-'Advanced Entry'!X$6)),1))),"No data"))</f>
        <v/>
      </c>
      <c r="Y102" s="17">
        <f>IF('Advanced Entry'!Y102="","",IFERROR(MAX(0,MIN(10,ROUND(IF('Advanced Entry'!Y$8="Decrease Risk",10-10*((IF('Advanced Entry'!Y$5="Logarithm",LN(0.001+'Advanced Entry'!Y102),IF('Advanced Entry'!Y$5="Exponential",EXP('Advanced Entry'!Y102),'Advanced Entry'!Y102)))-'Advanced Entry'!Y$6)/('Advanced Entry'!Y$7-'Advanced Entry'!Y$6),10*((IF('Advanced Entry'!Y$5="Logarithm",LN(0.001+'Advanced Entry'!Y102),IF('Advanced Entry'!Y$5="Exponential",EXP('Advanced Entry'!Y102),'Advanced Entry'!Y102)))-'Advanced Entry'!Y$6)/('Advanced Entry'!Y$7-'Advanced Entry'!Y$6)),1))),"No data"))</f>
        <v/>
      </c>
      <c r="Z102" s="17">
        <f>IF('Advanced Entry'!Z102="","",IFERROR(MAX(0,MIN(10,ROUND(IF('Advanced Entry'!Z$8="Decrease Risk",10-10*((IF('Advanced Entry'!Z$5="Logarithm",LN(0.001+'Advanced Entry'!Z102),IF('Advanced Entry'!Z$5="Exponential",EXP('Advanced Entry'!Z102),'Advanced Entry'!Z102)))-'Advanced Entry'!Z$6)/('Advanced Entry'!Z$7-'Advanced Entry'!Z$6),10*((IF('Advanced Entry'!Z$5="Logarithm",LN(0.001+'Advanced Entry'!Z102),IF('Advanced Entry'!Z$5="Exponential",EXP('Advanced Entry'!Z102),'Advanced Entry'!Z102)))-'Advanced Entry'!Z$6)/('Advanced Entry'!Z$7-'Advanced Entry'!Z$6)),1))),"No data"))</f>
        <v/>
      </c>
      <c r="AA102" s="17">
        <f>IF('Advanced Entry'!AA102="","",IFERROR(MAX(0,MIN(10,ROUND(IF('Advanced Entry'!AA$8="Decrease Risk",10-10*((IF('Advanced Entry'!AA$5="Logarithm",LN(0.001+'Advanced Entry'!AA102),IF('Advanced Entry'!AA$5="Exponential",EXP('Advanced Entry'!AA102),'Advanced Entry'!AA102)))-'Advanced Entry'!AA$6)/('Advanced Entry'!AA$7-'Advanced Entry'!AA$6),10*((IF('Advanced Entry'!AA$5="Logarithm",LN(0.001+'Advanced Entry'!AA102),IF('Advanced Entry'!AA$5="Exponential",EXP('Advanced Entry'!AA102),'Advanced Entry'!AA102)))-'Advanced Entry'!AA$6)/('Advanced Entry'!AA$7-'Advanced Entry'!AA$6)),1))),"No data"))</f>
        <v/>
      </c>
      <c r="AB102" s="17">
        <f>IF('Advanced Entry'!AB102="","",IFERROR(MAX(0,MIN(10,ROUND(IF('Advanced Entry'!AB$8="Decrease Risk",10-10*((IF('Advanced Entry'!AB$5="Logarithm",LN(0.001+'Advanced Entry'!AB102),IF('Advanced Entry'!AB$5="Exponential",EXP('Advanced Entry'!AB102),'Advanced Entry'!AB102)))-'Advanced Entry'!AB$6)/('Advanced Entry'!AB$7-'Advanced Entry'!AB$6),10*((IF('Advanced Entry'!AB$5="Logarithm",LN(0.001+'Advanced Entry'!AB102),IF('Advanced Entry'!AB$5="Exponential",EXP('Advanced Entry'!AB102),'Advanced Entry'!AB102)))-'Advanced Entry'!AB$6)/('Advanced Entry'!AB$7-'Advanced Entry'!AB$6)),1))),"No data"))</f>
        <v/>
      </c>
    </row>
    <row r="103">
      <c r="A103" t="inlineStr">
        <is>
          <t>Mbeya</t>
        </is>
      </c>
      <c r="B103" t="inlineStr">
        <is>
          <t>Mbarali District</t>
        </is>
      </c>
      <c r="C103" t="inlineStr">
        <is>
          <t>C091</t>
        </is>
      </c>
      <c r="D103" s="17">
        <f>IF('Advanced Entry'!D103="","",IFERROR(MAX(0,MIN(10,ROUND(IF('Advanced Entry'!D$8="Decrease Risk",10-10*((IF('Advanced Entry'!D$5="Logarithm",LN(0.001+'Advanced Entry'!D103),IF('Advanced Entry'!D$5="Exponential",EXP('Advanced Entry'!D103),'Advanced Entry'!D103)))-'Advanced Entry'!D$6)/('Advanced Entry'!D$7-'Advanced Entry'!D$6),10*((IF('Advanced Entry'!D$5="Logarithm",LN(0.001+'Advanced Entry'!D103),IF('Advanced Entry'!D$5="Exponential",EXP('Advanced Entry'!D103),'Advanced Entry'!D103)))-'Advanced Entry'!D$6)/('Advanced Entry'!D$7-'Advanced Entry'!D$6)),1))),"No data"))</f>
        <v/>
      </c>
      <c r="E103" s="17">
        <f>IF('Advanced Entry'!E103="","",IFERROR(MAX(0,MIN(10,ROUND(IF('Advanced Entry'!E$8="Decrease Risk",10-10*((IF('Advanced Entry'!E$5="Logarithm",LN(0.001+'Advanced Entry'!E103),IF('Advanced Entry'!E$5="Exponential",EXP('Advanced Entry'!E103),'Advanced Entry'!E103)))-'Advanced Entry'!E$6)/('Advanced Entry'!E$7-'Advanced Entry'!E$6),10*((IF('Advanced Entry'!E$5="Logarithm",LN(0.001+'Advanced Entry'!E103),IF('Advanced Entry'!E$5="Exponential",EXP('Advanced Entry'!E103),'Advanced Entry'!E103)))-'Advanced Entry'!E$6)/('Advanced Entry'!E$7-'Advanced Entry'!E$6)),1))),"No data"))</f>
        <v/>
      </c>
      <c r="F103" s="17">
        <f>IF('Advanced Entry'!F103="","",IFERROR(MAX(0,MIN(10,ROUND(IF('Advanced Entry'!F$8="Decrease Risk",10-10*((IF('Advanced Entry'!F$5="Logarithm",LN(0.001+'Advanced Entry'!F103),IF('Advanced Entry'!F$5="Exponential",EXP('Advanced Entry'!F103),'Advanced Entry'!F103)))-'Advanced Entry'!F$6)/('Advanced Entry'!F$7-'Advanced Entry'!F$6),10*((IF('Advanced Entry'!F$5="Logarithm",LN(0.001+'Advanced Entry'!F103),IF('Advanced Entry'!F$5="Exponential",EXP('Advanced Entry'!F103),'Advanced Entry'!F103)))-'Advanced Entry'!F$6)/('Advanced Entry'!F$7-'Advanced Entry'!F$6)),1))),"No data"))</f>
        <v/>
      </c>
      <c r="G103" s="17">
        <f>IF('Advanced Entry'!G103="","",IFERROR(MAX(0,MIN(10,ROUND(IF('Advanced Entry'!G$8="Decrease Risk",10-10*((IF('Advanced Entry'!G$5="Logarithm",LN(0.001+'Advanced Entry'!G103),IF('Advanced Entry'!G$5="Exponential",EXP('Advanced Entry'!G103),'Advanced Entry'!G103)))-'Advanced Entry'!G$6)/('Advanced Entry'!G$7-'Advanced Entry'!G$6),10*((IF('Advanced Entry'!G$5="Logarithm",LN(0.001+'Advanced Entry'!G103),IF('Advanced Entry'!G$5="Exponential",EXP('Advanced Entry'!G103),'Advanced Entry'!G103)))-'Advanced Entry'!G$6)/('Advanced Entry'!G$7-'Advanced Entry'!G$6)),1))),"No data"))</f>
        <v/>
      </c>
      <c r="H103" s="17">
        <f>IF('Advanced Entry'!H103="","",IFERROR(MAX(0,MIN(10,ROUND(IF('Advanced Entry'!H$8="Decrease Risk",10-10*((IF('Advanced Entry'!H$5="Logarithm",LN(0.001+'Advanced Entry'!H103),IF('Advanced Entry'!H$5="Exponential",EXP('Advanced Entry'!H103),'Advanced Entry'!H103)))-'Advanced Entry'!H$6)/('Advanced Entry'!H$7-'Advanced Entry'!H$6),10*((IF('Advanced Entry'!H$5="Logarithm",LN(0.001+'Advanced Entry'!H103),IF('Advanced Entry'!H$5="Exponential",EXP('Advanced Entry'!H103),'Advanced Entry'!H103)))-'Advanced Entry'!H$6)/('Advanced Entry'!H$7-'Advanced Entry'!H$6)),1))),"No data"))</f>
        <v/>
      </c>
      <c r="I103" s="17">
        <f>IF('Advanced Entry'!I103="","",IFERROR(MAX(0,MIN(10,ROUND(IF('Advanced Entry'!I$8="Decrease Risk",10-10*((IF('Advanced Entry'!I$5="Logarithm",LN(0.001+'Advanced Entry'!I103),IF('Advanced Entry'!I$5="Exponential",EXP('Advanced Entry'!I103),'Advanced Entry'!I103)))-'Advanced Entry'!I$6)/('Advanced Entry'!I$7-'Advanced Entry'!I$6),10*((IF('Advanced Entry'!I$5="Logarithm",LN(0.001+'Advanced Entry'!I103),IF('Advanced Entry'!I$5="Exponential",EXP('Advanced Entry'!I103),'Advanced Entry'!I103)))-'Advanced Entry'!I$6)/('Advanced Entry'!I$7-'Advanced Entry'!I$6)),1))),"No data"))</f>
        <v/>
      </c>
      <c r="J103" s="17">
        <f>IF('Advanced Entry'!J103="","",IFERROR(MAX(0,MIN(10,ROUND(IF('Advanced Entry'!J$8="Decrease Risk",10-10*((IF('Advanced Entry'!J$5="Logarithm",LN(0.001+'Advanced Entry'!J103),IF('Advanced Entry'!J$5="Exponential",EXP('Advanced Entry'!J103),'Advanced Entry'!J103)))-'Advanced Entry'!J$6)/('Advanced Entry'!J$7-'Advanced Entry'!J$6),10*((IF('Advanced Entry'!J$5="Logarithm",LN(0.001+'Advanced Entry'!J103),IF('Advanced Entry'!J$5="Exponential",EXP('Advanced Entry'!J103),'Advanced Entry'!J103)))-'Advanced Entry'!J$6)/('Advanced Entry'!J$7-'Advanced Entry'!J$6)),1))),"No data"))</f>
        <v/>
      </c>
      <c r="K103" s="17">
        <f>IF('Advanced Entry'!K103="","",IFERROR(MAX(0,MIN(10,ROUND(IF('Advanced Entry'!K$8="Decrease Risk",10-10*((IF('Advanced Entry'!K$5="Logarithm",LN(0.001+'Advanced Entry'!K103),IF('Advanced Entry'!K$5="Exponential",EXP('Advanced Entry'!K103),'Advanced Entry'!K103)))-'Advanced Entry'!K$6)/('Advanced Entry'!K$7-'Advanced Entry'!K$6),10*((IF('Advanced Entry'!K$5="Logarithm",LN(0.001+'Advanced Entry'!K103),IF('Advanced Entry'!K$5="Exponential",EXP('Advanced Entry'!K103),'Advanced Entry'!K103)))-'Advanced Entry'!K$6)/('Advanced Entry'!K$7-'Advanced Entry'!K$6)),1))),"No data"))</f>
        <v/>
      </c>
      <c r="L103" s="17">
        <f>IF('Advanced Entry'!L103="","",IFERROR(MAX(0,MIN(10,ROUND(IF('Advanced Entry'!L$8="Decrease Risk",10-10*((IF('Advanced Entry'!L$5="Logarithm",LN(0.001+'Advanced Entry'!L103),IF('Advanced Entry'!L$5="Exponential",EXP('Advanced Entry'!L103),'Advanced Entry'!L103)))-'Advanced Entry'!L$6)/('Advanced Entry'!L$7-'Advanced Entry'!L$6),10*((IF('Advanced Entry'!L$5="Logarithm",LN(0.001+'Advanced Entry'!L103),IF('Advanced Entry'!L$5="Exponential",EXP('Advanced Entry'!L103),'Advanced Entry'!L103)))-'Advanced Entry'!L$6)/('Advanced Entry'!L$7-'Advanced Entry'!L$6)),1))),"No data"))</f>
        <v/>
      </c>
      <c r="M103" s="17">
        <f>IF('Advanced Entry'!M103="","",IFERROR(MAX(0,MIN(10,ROUND(IF('Advanced Entry'!M$8="Decrease Risk",10-10*((IF('Advanced Entry'!M$5="Logarithm",LN(0.001+'Advanced Entry'!M103),IF('Advanced Entry'!M$5="Exponential",EXP('Advanced Entry'!M103),'Advanced Entry'!M103)))-'Advanced Entry'!M$6)/('Advanced Entry'!M$7-'Advanced Entry'!M$6),10*((IF('Advanced Entry'!M$5="Logarithm",LN(0.001+'Advanced Entry'!M103),IF('Advanced Entry'!M$5="Exponential",EXP('Advanced Entry'!M103),'Advanced Entry'!M103)))-'Advanced Entry'!M$6)/('Advanced Entry'!M$7-'Advanced Entry'!M$6)),1))),"No data"))</f>
        <v/>
      </c>
      <c r="N103" s="17">
        <f>IF('Advanced Entry'!N103="","",IFERROR(MAX(0,MIN(10,ROUND(IF('Advanced Entry'!N$8="Decrease Risk",10-10*((IF('Advanced Entry'!N$5="Logarithm",LN(0.001+'Advanced Entry'!N103),IF('Advanced Entry'!N$5="Exponential",EXP('Advanced Entry'!N103),'Advanced Entry'!N103)))-'Advanced Entry'!N$6)/('Advanced Entry'!N$7-'Advanced Entry'!N$6),10*((IF('Advanced Entry'!N$5="Logarithm",LN(0.001+'Advanced Entry'!N103),IF('Advanced Entry'!N$5="Exponential",EXP('Advanced Entry'!N103),'Advanced Entry'!N103)))-'Advanced Entry'!N$6)/('Advanced Entry'!N$7-'Advanced Entry'!N$6)),1))),"No data"))</f>
        <v/>
      </c>
      <c r="O103" s="17">
        <f>IF('Advanced Entry'!O103="","",IFERROR(MAX(0,MIN(10,ROUND(IF('Advanced Entry'!O$8="Decrease Risk",10-10*((IF('Advanced Entry'!O$5="Logarithm",LN(0.001+'Advanced Entry'!O103),IF('Advanced Entry'!O$5="Exponential",EXP('Advanced Entry'!O103),'Advanced Entry'!O103)))-'Advanced Entry'!O$6)/('Advanced Entry'!O$7-'Advanced Entry'!O$6),10*((IF('Advanced Entry'!O$5="Logarithm",LN(0.001+'Advanced Entry'!O103),IF('Advanced Entry'!O$5="Exponential",EXP('Advanced Entry'!O103),'Advanced Entry'!O103)))-'Advanced Entry'!O$6)/('Advanced Entry'!O$7-'Advanced Entry'!O$6)),1))),"No data"))</f>
        <v/>
      </c>
      <c r="P103" s="17">
        <f>IF('Advanced Entry'!P103="","",IFERROR(MAX(0,MIN(10,ROUND(IF('Advanced Entry'!P$8="Decrease Risk",10-10*((IF('Advanced Entry'!P$5="Logarithm",LN(0.001+'Advanced Entry'!P103),IF('Advanced Entry'!P$5="Exponential",EXP('Advanced Entry'!P103),'Advanced Entry'!P103)))-'Advanced Entry'!P$6)/('Advanced Entry'!P$7-'Advanced Entry'!P$6),10*((IF('Advanced Entry'!P$5="Logarithm",LN(0.001+'Advanced Entry'!P103),IF('Advanced Entry'!P$5="Exponential",EXP('Advanced Entry'!P103),'Advanced Entry'!P103)))-'Advanced Entry'!P$6)/('Advanced Entry'!P$7-'Advanced Entry'!P$6)),1))),"No data"))</f>
        <v/>
      </c>
      <c r="Q103" s="17">
        <f>IF('Advanced Entry'!Q103="","",IFERROR(MAX(0,MIN(10,ROUND(IF('Advanced Entry'!Q$8="Decrease Risk",10-10*((IF('Advanced Entry'!Q$5="Logarithm",LN(0.001+'Advanced Entry'!Q103),IF('Advanced Entry'!Q$5="Exponential",EXP('Advanced Entry'!Q103),'Advanced Entry'!Q103)))-'Advanced Entry'!Q$6)/('Advanced Entry'!Q$7-'Advanced Entry'!Q$6),10*((IF('Advanced Entry'!Q$5="Logarithm",LN(0.001+'Advanced Entry'!Q103),IF('Advanced Entry'!Q$5="Exponential",EXP('Advanced Entry'!Q103),'Advanced Entry'!Q103)))-'Advanced Entry'!Q$6)/('Advanced Entry'!Q$7-'Advanced Entry'!Q$6)),1))),"No data"))</f>
        <v/>
      </c>
      <c r="R103" s="17">
        <f>IF('Advanced Entry'!R103="","",IFERROR(MAX(0,MIN(10,ROUND(IF('Advanced Entry'!R$8="Decrease Risk",10-10*((IF('Advanced Entry'!R$5="Logarithm",LN(0.001+'Advanced Entry'!R103),IF('Advanced Entry'!R$5="Exponential",EXP('Advanced Entry'!R103),'Advanced Entry'!R103)))-'Advanced Entry'!R$6)/('Advanced Entry'!R$7-'Advanced Entry'!R$6),10*((IF('Advanced Entry'!R$5="Logarithm",LN(0.001+'Advanced Entry'!R103),IF('Advanced Entry'!R$5="Exponential",EXP('Advanced Entry'!R103),'Advanced Entry'!R103)))-'Advanced Entry'!R$6)/('Advanced Entry'!R$7-'Advanced Entry'!R$6)),1))),"No data"))</f>
        <v/>
      </c>
      <c r="S103" s="17">
        <f>IF('Advanced Entry'!S103="","",IFERROR(MAX(0,MIN(10,ROUND(IF('Advanced Entry'!S$8="Decrease Risk",10-10*((IF('Advanced Entry'!S$5="Logarithm",LN(0.001+'Advanced Entry'!S103),IF('Advanced Entry'!S$5="Exponential",EXP('Advanced Entry'!S103),'Advanced Entry'!S103)))-'Advanced Entry'!S$6)/('Advanced Entry'!S$7-'Advanced Entry'!S$6),10*((IF('Advanced Entry'!S$5="Logarithm",LN(0.001+'Advanced Entry'!S103),IF('Advanced Entry'!S$5="Exponential",EXP('Advanced Entry'!S103),'Advanced Entry'!S103)))-'Advanced Entry'!S$6)/('Advanced Entry'!S$7-'Advanced Entry'!S$6)),1))),"No data"))</f>
        <v/>
      </c>
      <c r="T103" s="17">
        <f>IF('Advanced Entry'!T103="","",IFERROR(MAX(0,MIN(10,ROUND(IF('Advanced Entry'!T$8="Decrease Risk",10-10*((IF('Advanced Entry'!T$5="Logarithm",LN(0.001+'Advanced Entry'!T103),IF('Advanced Entry'!T$5="Exponential",EXP('Advanced Entry'!T103),'Advanced Entry'!T103)))-'Advanced Entry'!T$6)/('Advanced Entry'!T$7-'Advanced Entry'!T$6),10*((IF('Advanced Entry'!T$5="Logarithm",LN(0.001+'Advanced Entry'!T103),IF('Advanced Entry'!T$5="Exponential",EXP('Advanced Entry'!T103),'Advanced Entry'!T103)))-'Advanced Entry'!T$6)/('Advanced Entry'!T$7-'Advanced Entry'!T$6)),1))),"No data"))</f>
        <v/>
      </c>
      <c r="U103" s="17">
        <f>IF('Advanced Entry'!U103="","",IFERROR(MAX(0,MIN(10,ROUND(IF('Advanced Entry'!U$8="Decrease Risk",10-10*((IF('Advanced Entry'!U$5="Logarithm",LN(0.001+'Advanced Entry'!U103),IF('Advanced Entry'!U$5="Exponential",EXP('Advanced Entry'!U103),'Advanced Entry'!U103)))-'Advanced Entry'!U$6)/('Advanced Entry'!U$7-'Advanced Entry'!U$6),10*((IF('Advanced Entry'!U$5="Logarithm",LN(0.001+'Advanced Entry'!U103),IF('Advanced Entry'!U$5="Exponential",EXP('Advanced Entry'!U103),'Advanced Entry'!U103)))-'Advanced Entry'!U$6)/('Advanced Entry'!U$7-'Advanced Entry'!U$6)),1))),"No data"))</f>
        <v/>
      </c>
      <c r="V103" s="17">
        <f>IF('Advanced Entry'!V103="","",IFERROR(MAX(0,MIN(10,ROUND(IF('Advanced Entry'!V$8="Decrease Risk",10-10*((IF('Advanced Entry'!V$5="Logarithm",LN(0.001+'Advanced Entry'!V103),IF('Advanced Entry'!V$5="Exponential",EXP('Advanced Entry'!V103),'Advanced Entry'!V103)))-'Advanced Entry'!V$6)/('Advanced Entry'!V$7-'Advanced Entry'!V$6),10*((IF('Advanced Entry'!V$5="Logarithm",LN(0.001+'Advanced Entry'!V103),IF('Advanced Entry'!V$5="Exponential",EXP('Advanced Entry'!V103),'Advanced Entry'!V103)))-'Advanced Entry'!V$6)/('Advanced Entry'!V$7-'Advanced Entry'!V$6)),1))),"No data"))</f>
        <v/>
      </c>
      <c r="W103" s="17">
        <f>IF('Advanced Entry'!W103="","",IFERROR(MAX(0,MIN(10,ROUND(IF('Advanced Entry'!W$8="Decrease Risk",10-10*((IF('Advanced Entry'!W$5="Logarithm",LN(0.001+'Advanced Entry'!W103),IF('Advanced Entry'!W$5="Exponential",EXP('Advanced Entry'!W103),'Advanced Entry'!W103)))-'Advanced Entry'!W$6)/('Advanced Entry'!W$7-'Advanced Entry'!W$6),10*((IF('Advanced Entry'!W$5="Logarithm",LN(0.001+'Advanced Entry'!W103),IF('Advanced Entry'!W$5="Exponential",EXP('Advanced Entry'!W103),'Advanced Entry'!W103)))-'Advanced Entry'!W$6)/('Advanced Entry'!W$7-'Advanced Entry'!W$6)),1))),"No data"))</f>
        <v/>
      </c>
      <c r="X103" s="17">
        <f>IF('Advanced Entry'!X103="","",IFERROR(MAX(0,MIN(10,ROUND(IF('Advanced Entry'!X$8="Decrease Risk",10-10*((IF('Advanced Entry'!X$5="Logarithm",LN(0.001+'Advanced Entry'!X103),IF('Advanced Entry'!X$5="Exponential",EXP('Advanced Entry'!X103),'Advanced Entry'!X103)))-'Advanced Entry'!X$6)/('Advanced Entry'!X$7-'Advanced Entry'!X$6),10*((IF('Advanced Entry'!X$5="Logarithm",LN(0.001+'Advanced Entry'!X103),IF('Advanced Entry'!X$5="Exponential",EXP('Advanced Entry'!X103),'Advanced Entry'!X103)))-'Advanced Entry'!X$6)/('Advanced Entry'!X$7-'Advanced Entry'!X$6)),1))),"No data"))</f>
        <v/>
      </c>
      <c r="Y103" s="17">
        <f>IF('Advanced Entry'!Y103="","",IFERROR(MAX(0,MIN(10,ROUND(IF('Advanced Entry'!Y$8="Decrease Risk",10-10*((IF('Advanced Entry'!Y$5="Logarithm",LN(0.001+'Advanced Entry'!Y103),IF('Advanced Entry'!Y$5="Exponential",EXP('Advanced Entry'!Y103),'Advanced Entry'!Y103)))-'Advanced Entry'!Y$6)/('Advanced Entry'!Y$7-'Advanced Entry'!Y$6),10*((IF('Advanced Entry'!Y$5="Logarithm",LN(0.001+'Advanced Entry'!Y103),IF('Advanced Entry'!Y$5="Exponential",EXP('Advanced Entry'!Y103),'Advanced Entry'!Y103)))-'Advanced Entry'!Y$6)/('Advanced Entry'!Y$7-'Advanced Entry'!Y$6)),1))),"No data"))</f>
        <v/>
      </c>
      <c r="Z103" s="17">
        <f>IF('Advanced Entry'!Z103="","",IFERROR(MAX(0,MIN(10,ROUND(IF('Advanced Entry'!Z$8="Decrease Risk",10-10*((IF('Advanced Entry'!Z$5="Logarithm",LN(0.001+'Advanced Entry'!Z103),IF('Advanced Entry'!Z$5="Exponential",EXP('Advanced Entry'!Z103),'Advanced Entry'!Z103)))-'Advanced Entry'!Z$6)/('Advanced Entry'!Z$7-'Advanced Entry'!Z$6),10*((IF('Advanced Entry'!Z$5="Logarithm",LN(0.001+'Advanced Entry'!Z103),IF('Advanced Entry'!Z$5="Exponential",EXP('Advanced Entry'!Z103),'Advanced Entry'!Z103)))-'Advanced Entry'!Z$6)/('Advanced Entry'!Z$7-'Advanced Entry'!Z$6)),1))),"No data"))</f>
        <v/>
      </c>
      <c r="AA103" s="17">
        <f>IF('Advanced Entry'!AA103="","",IFERROR(MAX(0,MIN(10,ROUND(IF('Advanced Entry'!AA$8="Decrease Risk",10-10*((IF('Advanced Entry'!AA$5="Logarithm",LN(0.001+'Advanced Entry'!AA103),IF('Advanced Entry'!AA$5="Exponential",EXP('Advanced Entry'!AA103),'Advanced Entry'!AA103)))-'Advanced Entry'!AA$6)/('Advanced Entry'!AA$7-'Advanced Entry'!AA$6),10*((IF('Advanced Entry'!AA$5="Logarithm",LN(0.001+'Advanced Entry'!AA103),IF('Advanced Entry'!AA$5="Exponential",EXP('Advanced Entry'!AA103),'Advanced Entry'!AA103)))-'Advanced Entry'!AA$6)/('Advanced Entry'!AA$7-'Advanced Entry'!AA$6)),1))),"No data"))</f>
        <v/>
      </c>
      <c r="AB103" s="17">
        <f>IF('Advanced Entry'!AB103="","",IFERROR(MAX(0,MIN(10,ROUND(IF('Advanced Entry'!AB$8="Decrease Risk",10-10*((IF('Advanced Entry'!AB$5="Logarithm",LN(0.001+'Advanced Entry'!AB103),IF('Advanced Entry'!AB$5="Exponential",EXP('Advanced Entry'!AB103),'Advanced Entry'!AB103)))-'Advanced Entry'!AB$6)/('Advanced Entry'!AB$7-'Advanced Entry'!AB$6),10*((IF('Advanced Entry'!AB$5="Logarithm",LN(0.001+'Advanced Entry'!AB103),IF('Advanced Entry'!AB$5="Exponential",EXP('Advanced Entry'!AB103),'Advanced Entry'!AB103)))-'Advanced Entry'!AB$6)/('Advanced Entry'!AB$7-'Advanced Entry'!AB$6)),1))),"No data"))</f>
        <v/>
      </c>
    </row>
    <row r="104">
      <c r="A104" t="inlineStr">
        <is>
          <t>Mbeya</t>
        </is>
      </c>
      <c r="B104" t="inlineStr">
        <is>
          <t>Mbeya City</t>
        </is>
      </c>
      <c r="C104" t="inlineStr">
        <is>
          <t>C087</t>
        </is>
      </c>
      <c r="D104" s="17">
        <f>IF('Advanced Entry'!D104="","",IFERROR(MAX(0,MIN(10,ROUND(IF('Advanced Entry'!D$8="Decrease Risk",10-10*((IF('Advanced Entry'!D$5="Logarithm",LN(0.001+'Advanced Entry'!D104),IF('Advanced Entry'!D$5="Exponential",EXP('Advanced Entry'!D104),'Advanced Entry'!D104)))-'Advanced Entry'!D$6)/('Advanced Entry'!D$7-'Advanced Entry'!D$6),10*((IF('Advanced Entry'!D$5="Logarithm",LN(0.001+'Advanced Entry'!D104),IF('Advanced Entry'!D$5="Exponential",EXP('Advanced Entry'!D104),'Advanced Entry'!D104)))-'Advanced Entry'!D$6)/('Advanced Entry'!D$7-'Advanced Entry'!D$6)),1))),"No data"))</f>
        <v/>
      </c>
      <c r="E104" s="17">
        <f>IF('Advanced Entry'!E104="","",IFERROR(MAX(0,MIN(10,ROUND(IF('Advanced Entry'!E$8="Decrease Risk",10-10*((IF('Advanced Entry'!E$5="Logarithm",LN(0.001+'Advanced Entry'!E104),IF('Advanced Entry'!E$5="Exponential",EXP('Advanced Entry'!E104),'Advanced Entry'!E104)))-'Advanced Entry'!E$6)/('Advanced Entry'!E$7-'Advanced Entry'!E$6),10*((IF('Advanced Entry'!E$5="Logarithm",LN(0.001+'Advanced Entry'!E104),IF('Advanced Entry'!E$5="Exponential",EXP('Advanced Entry'!E104),'Advanced Entry'!E104)))-'Advanced Entry'!E$6)/('Advanced Entry'!E$7-'Advanced Entry'!E$6)),1))),"No data"))</f>
        <v/>
      </c>
      <c r="F104" s="17">
        <f>IF('Advanced Entry'!F104="","",IFERROR(MAX(0,MIN(10,ROUND(IF('Advanced Entry'!F$8="Decrease Risk",10-10*((IF('Advanced Entry'!F$5="Logarithm",LN(0.001+'Advanced Entry'!F104),IF('Advanced Entry'!F$5="Exponential",EXP('Advanced Entry'!F104),'Advanced Entry'!F104)))-'Advanced Entry'!F$6)/('Advanced Entry'!F$7-'Advanced Entry'!F$6),10*((IF('Advanced Entry'!F$5="Logarithm",LN(0.001+'Advanced Entry'!F104),IF('Advanced Entry'!F$5="Exponential",EXP('Advanced Entry'!F104),'Advanced Entry'!F104)))-'Advanced Entry'!F$6)/('Advanced Entry'!F$7-'Advanced Entry'!F$6)),1))),"No data"))</f>
        <v/>
      </c>
      <c r="G104" s="17">
        <f>IF('Advanced Entry'!G104="","",IFERROR(MAX(0,MIN(10,ROUND(IF('Advanced Entry'!G$8="Decrease Risk",10-10*((IF('Advanced Entry'!G$5="Logarithm",LN(0.001+'Advanced Entry'!G104),IF('Advanced Entry'!G$5="Exponential",EXP('Advanced Entry'!G104),'Advanced Entry'!G104)))-'Advanced Entry'!G$6)/('Advanced Entry'!G$7-'Advanced Entry'!G$6),10*((IF('Advanced Entry'!G$5="Logarithm",LN(0.001+'Advanced Entry'!G104),IF('Advanced Entry'!G$5="Exponential",EXP('Advanced Entry'!G104),'Advanced Entry'!G104)))-'Advanced Entry'!G$6)/('Advanced Entry'!G$7-'Advanced Entry'!G$6)),1))),"No data"))</f>
        <v/>
      </c>
      <c r="H104" s="17">
        <f>IF('Advanced Entry'!H104="","",IFERROR(MAX(0,MIN(10,ROUND(IF('Advanced Entry'!H$8="Decrease Risk",10-10*((IF('Advanced Entry'!H$5="Logarithm",LN(0.001+'Advanced Entry'!H104),IF('Advanced Entry'!H$5="Exponential",EXP('Advanced Entry'!H104),'Advanced Entry'!H104)))-'Advanced Entry'!H$6)/('Advanced Entry'!H$7-'Advanced Entry'!H$6),10*((IF('Advanced Entry'!H$5="Logarithm",LN(0.001+'Advanced Entry'!H104),IF('Advanced Entry'!H$5="Exponential",EXP('Advanced Entry'!H104),'Advanced Entry'!H104)))-'Advanced Entry'!H$6)/('Advanced Entry'!H$7-'Advanced Entry'!H$6)),1))),"No data"))</f>
        <v/>
      </c>
      <c r="I104" s="17">
        <f>IF('Advanced Entry'!I104="","",IFERROR(MAX(0,MIN(10,ROUND(IF('Advanced Entry'!I$8="Decrease Risk",10-10*((IF('Advanced Entry'!I$5="Logarithm",LN(0.001+'Advanced Entry'!I104),IF('Advanced Entry'!I$5="Exponential",EXP('Advanced Entry'!I104),'Advanced Entry'!I104)))-'Advanced Entry'!I$6)/('Advanced Entry'!I$7-'Advanced Entry'!I$6),10*((IF('Advanced Entry'!I$5="Logarithm",LN(0.001+'Advanced Entry'!I104),IF('Advanced Entry'!I$5="Exponential",EXP('Advanced Entry'!I104),'Advanced Entry'!I104)))-'Advanced Entry'!I$6)/('Advanced Entry'!I$7-'Advanced Entry'!I$6)),1))),"No data"))</f>
        <v/>
      </c>
      <c r="J104" s="17">
        <f>IF('Advanced Entry'!J104="","",IFERROR(MAX(0,MIN(10,ROUND(IF('Advanced Entry'!J$8="Decrease Risk",10-10*((IF('Advanced Entry'!J$5="Logarithm",LN(0.001+'Advanced Entry'!J104),IF('Advanced Entry'!J$5="Exponential",EXP('Advanced Entry'!J104),'Advanced Entry'!J104)))-'Advanced Entry'!J$6)/('Advanced Entry'!J$7-'Advanced Entry'!J$6),10*((IF('Advanced Entry'!J$5="Logarithm",LN(0.001+'Advanced Entry'!J104),IF('Advanced Entry'!J$5="Exponential",EXP('Advanced Entry'!J104),'Advanced Entry'!J104)))-'Advanced Entry'!J$6)/('Advanced Entry'!J$7-'Advanced Entry'!J$6)),1))),"No data"))</f>
        <v/>
      </c>
      <c r="K104" s="17">
        <f>IF('Advanced Entry'!K104="","",IFERROR(MAX(0,MIN(10,ROUND(IF('Advanced Entry'!K$8="Decrease Risk",10-10*((IF('Advanced Entry'!K$5="Logarithm",LN(0.001+'Advanced Entry'!K104),IF('Advanced Entry'!K$5="Exponential",EXP('Advanced Entry'!K104),'Advanced Entry'!K104)))-'Advanced Entry'!K$6)/('Advanced Entry'!K$7-'Advanced Entry'!K$6),10*((IF('Advanced Entry'!K$5="Logarithm",LN(0.001+'Advanced Entry'!K104),IF('Advanced Entry'!K$5="Exponential",EXP('Advanced Entry'!K104),'Advanced Entry'!K104)))-'Advanced Entry'!K$6)/('Advanced Entry'!K$7-'Advanced Entry'!K$6)),1))),"No data"))</f>
        <v/>
      </c>
      <c r="L104" s="17">
        <f>IF('Advanced Entry'!L104="","",IFERROR(MAX(0,MIN(10,ROUND(IF('Advanced Entry'!L$8="Decrease Risk",10-10*((IF('Advanced Entry'!L$5="Logarithm",LN(0.001+'Advanced Entry'!L104),IF('Advanced Entry'!L$5="Exponential",EXP('Advanced Entry'!L104),'Advanced Entry'!L104)))-'Advanced Entry'!L$6)/('Advanced Entry'!L$7-'Advanced Entry'!L$6),10*((IF('Advanced Entry'!L$5="Logarithm",LN(0.001+'Advanced Entry'!L104),IF('Advanced Entry'!L$5="Exponential",EXP('Advanced Entry'!L104),'Advanced Entry'!L104)))-'Advanced Entry'!L$6)/('Advanced Entry'!L$7-'Advanced Entry'!L$6)),1))),"No data"))</f>
        <v/>
      </c>
      <c r="M104" s="17">
        <f>IF('Advanced Entry'!M104="","",IFERROR(MAX(0,MIN(10,ROUND(IF('Advanced Entry'!M$8="Decrease Risk",10-10*((IF('Advanced Entry'!M$5="Logarithm",LN(0.001+'Advanced Entry'!M104),IF('Advanced Entry'!M$5="Exponential",EXP('Advanced Entry'!M104),'Advanced Entry'!M104)))-'Advanced Entry'!M$6)/('Advanced Entry'!M$7-'Advanced Entry'!M$6),10*((IF('Advanced Entry'!M$5="Logarithm",LN(0.001+'Advanced Entry'!M104),IF('Advanced Entry'!M$5="Exponential",EXP('Advanced Entry'!M104),'Advanced Entry'!M104)))-'Advanced Entry'!M$6)/('Advanced Entry'!M$7-'Advanced Entry'!M$6)),1))),"No data"))</f>
        <v/>
      </c>
      <c r="N104" s="17">
        <f>IF('Advanced Entry'!N104="","",IFERROR(MAX(0,MIN(10,ROUND(IF('Advanced Entry'!N$8="Decrease Risk",10-10*((IF('Advanced Entry'!N$5="Logarithm",LN(0.001+'Advanced Entry'!N104),IF('Advanced Entry'!N$5="Exponential",EXP('Advanced Entry'!N104),'Advanced Entry'!N104)))-'Advanced Entry'!N$6)/('Advanced Entry'!N$7-'Advanced Entry'!N$6),10*((IF('Advanced Entry'!N$5="Logarithm",LN(0.001+'Advanced Entry'!N104),IF('Advanced Entry'!N$5="Exponential",EXP('Advanced Entry'!N104),'Advanced Entry'!N104)))-'Advanced Entry'!N$6)/('Advanced Entry'!N$7-'Advanced Entry'!N$6)),1))),"No data"))</f>
        <v/>
      </c>
      <c r="O104" s="17">
        <f>IF('Advanced Entry'!O104="","",IFERROR(MAX(0,MIN(10,ROUND(IF('Advanced Entry'!O$8="Decrease Risk",10-10*((IF('Advanced Entry'!O$5="Logarithm",LN(0.001+'Advanced Entry'!O104),IF('Advanced Entry'!O$5="Exponential",EXP('Advanced Entry'!O104),'Advanced Entry'!O104)))-'Advanced Entry'!O$6)/('Advanced Entry'!O$7-'Advanced Entry'!O$6),10*((IF('Advanced Entry'!O$5="Logarithm",LN(0.001+'Advanced Entry'!O104),IF('Advanced Entry'!O$5="Exponential",EXP('Advanced Entry'!O104),'Advanced Entry'!O104)))-'Advanced Entry'!O$6)/('Advanced Entry'!O$7-'Advanced Entry'!O$6)),1))),"No data"))</f>
        <v/>
      </c>
      <c r="P104" s="17">
        <f>IF('Advanced Entry'!P104="","",IFERROR(MAX(0,MIN(10,ROUND(IF('Advanced Entry'!P$8="Decrease Risk",10-10*((IF('Advanced Entry'!P$5="Logarithm",LN(0.001+'Advanced Entry'!P104),IF('Advanced Entry'!P$5="Exponential",EXP('Advanced Entry'!P104),'Advanced Entry'!P104)))-'Advanced Entry'!P$6)/('Advanced Entry'!P$7-'Advanced Entry'!P$6),10*((IF('Advanced Entry'!P$5="Logarithm",LN(0.001+'Advanced Entry'!P104),IF('Advanced Entry'!P$5="Exponential",EXP('Advanced Entry'!P104),'Advanced Entry'!P104)))-'Advanced Entry'!P$6)/('Advanced Entry'!P$7-'Advanced Entry'!P$6)),1))),"No data"))</f>
        <v/>
      </c>
      <c r="Q104" s="17">
        <f>IF('Advanced Entry'!Q104="","",IFERROR(MAX(0,MIN(10,ROUND(IF('Advanced Entry'!Q$8="Decrease Risk",10-10*((IF('Advanced Entry'!Q$5="Logarithm",LN(0.001+'Advanced Entry'!Q104),IF('Advanced Entry'!Q$5="Exponential",EXP('Advanced Entry'!Q104),'Advanced Entry'!Q104)))-'Advanced Entry'!Q$6)/('Advanced Entry'!Q$7-'Advanced Entry'!Q$6),10*((IF('Advanced Entry'!Q$5="Logarithm",LN(0.001+'Advanced Entry'!Q104),IF('Advanced Entry'!Q$5="Exponential",EXP('Advanced Entry'!Q104),'Advanced Entry'!Q104)))-'Advanced Entry'!Q$6)/('Advanced Entry'!Q$7-'Advanced Entry'!Q$6)),1))),"No data"))</f>
        <v/>
      </c>
      <c r="R104" s="17">
        <f>IF('Advanced Entry'!R104="","",IFERROR(MAX(0,MIN(10,ROUND(IF('Advanced Entry'!R$8="Decrease Risk",10-10*((IF('Advanced Entry'!R$5="Logarithm",LN(0.001+'Advanced Entry'!R104),IF('Advanced Entry'!R$5="Exponential",EXP('Advanced Entry'!R104),'Advanced Entry'!R104)))-'Advanced Entry'!R$6)/('Advanced Entry'!R$7-'Advanced Entry'!R$6),10*((IF('Advanced Entry'!R$5="Logarithm",LN(0.001+'Advanced Entry'!R104),IF('Advanced Entry'!R$5="Exponential",EXP('Advanced Entry'!R104),'Advanced Entry'!R104)))-'Advanced Entry'!R$6)/('Advanced Entry'!R$7-'Advanced Entry'!R$6)),1))),"No data"))</f>
        <v/>
      </c>
      <c r="S104" s="17">
        <f>IF('Advanced Entry'!S104="","",IFERROR(MAX(0,MIN(10,ROUND(IF('Advanced Entry'!S$8="Decrease Risk",10-10*((IF('Advanced Entry'!S$5="Logarithm",LN(0.001+'Advanced Entry'!S104),IF('Advanced Entry'!S$5="Exponential",EXP('Advanced Entry'!S104),'Advanced Entry'!S104)))-'Advanced Entry'!S$6)/('Advanced Entry'!S$7-'Advanced Entry'!S$6),10*((IF('Advanced Entry'!S$5="Logarithm",LN(0.001+'Advanced Entry'!S104),IF('Advanced Entry'!S$5="Exponential",EXP('Advanced Entry'!S104),'Advanced Entry'!S104)))-'Advanced Entry'!S$6)/('Advanced Entry'!S$7-'Advanced Entry'!S$6)),1))),"No data"))</f>
        <v/>
      </c>
      <c r="T104" s="17">
        <f>IF('Advanced Entry'!T104="","",IFERROR(MAX(0,MIN(10,ROUND(IF('Advanced Entry'!T$8="Decrease Risk",10-10*((IF('Advanced Entry'!T$5="Logarithm",LN(0.001+'Advanced Entry'!T104),IF('Advanced Entry'!T$5="Exponential",EXP('Advanced Entry'!T104),'Advanced Entry'!T104)))-'Advanced Entry'!T$6)/('Advanced Entry'!T$7-'Advanced Entry'!T$6),10*((IF('Advanced Entry'!T$5="Logarithm",LN(0.001+'Advanced Entry'!T104),IF('Advanced Entry'!T$5="Exponential",EXP('Advanced Entry'!T104),'Advanced Entry'!T104)))-'Advanced Entry'!T$6)/('Advanced Entry'!T$7-'Advanced Entry'!T$6)),1))),"No data"))</f>
        <v/>
      </c>
      <c r="U104" s="17">
        <f>IF('Advanced Entry'!U104="","",IFERROR(MAX(0,MIN(10,ROUND(IF('Advanced Entry'!U$8="Decrease Risk",10-10*((IF('Advanced Entry'!U$5="Logarithm",LN(0.001+'Advanced Entry'!U104),IF('Advanced Entry'!U$5="Exponential",EXP('Advanced Entry'!U104),'Advanced Entry'!U104)))-'Advanced Entry'!U$6)/('Advanced Entry'!U$7-'Advanced Entry'!U$6),10*((IF('Advanced Entry'!U$5="Logarithm",LN(0.001+'Advanced Entry'!U104),IF('Advanced Entry'!U$5="Exponential",EXP('Advanced Entry'!U104),'Advanced Entry'!U104)))-'Advanced Entry'!U$6)/('Advanced Entry'!U$7-'Advanced Entry'!U$6)),1))),"No data"))</f>
        <v/>
      </c>
      <c r="V104" s="17">
        <f>IF('Advanced Entry'!V104="","",IFERROR(MAX(0,MIN(10,ROUND(IF('Advanced Entry'!V$8="Decrease Risk",10-10*((IF('Advanced Entry'!V$5="Logarithm",LN(0.001+'Advanced Entry'!V104),IF('Advanced Entry'!V$5="Exponential",EXP('Advanced Entry'!V104),'Advanced Entry'!V104)))-'Advanced Entry'!V$6)/('Advanced Entry'!V$7-'Advanced Entry'!V$6),10*((IF('Advanced Entry'!V$5="Logarithm",LN(0.001+'Advanced Entry'!V104),IF('Advanced Entry'!V$5="Exponential",EXP('Advanced Entry'!V104),'Advanced Entry'!V104)))-'Advanced Entry'!V$6)/('Advanced Entry'!V$7-'Advanced Entry'!V$6)),1))),"No data"))</f>
        <v/>
      </c>
      <c r="W104" s="17">
        <f>IF('Advanced Entry'!W104="","",IFERROR(MAX(0,MIN(10,ROUND(IF('Advanced Entry'!W$8="Decrease Risk",10-10*((IF('Advanced Entry'!W$5="Logarithm",LN(0.001+'Advanced Entry'!W104),IF('Advanced Entry'!W$5="Exponential",EXP('Advanced Entry'!W104),'Advanced Entry'!W104)))-'Advanced Entry'!W$6)/('Advanced Entry'!W$7-'Advanced Entry'!W$6),10*((IF('Advanced Entry'!W$5="Logarithm",LN(0.001+'Advanced Entry'!W104),IF('Advanced Entry'!W$5="Exponential",EXP('Advanced Entry'!W104),'Advanced Entry'!W104)))-'Advanced Entry'!W$6)/('Advanced Entry'!W$7-'Advanced Entry'!W$6)),1))),"No data"))</f>
        <v/>
      </c>
      <c r="X104" s="17">
        <f>IF('Advanced Entry'!X104="","",IFERROR(MAX(0,MIN(10,ROUND(IF('Advanced Entry'!X$8="Decrease Risk",10-10*((IF('Advanced Entry'!X$5="Logarithm",LN(0.001+'Advanced Entry'!X104),IF('Advanced Entry'!X$5="Exponential",EXP('Advanced Entry'!X104),'Advanced Entry'!X104)))-'Advanced Entry'!X$6)/('Advanced Entry'!X$7-'Advanced Entry'!X$6),10*((IF('Advanced Entry'!X$5="Logarithm",LN(0.001+'Advanced Entry'!X104),IF('Advanced Entry'!X$5="Exponential",EXP('Advanced Entry'!X104),'Advanced Entry'!X104)))-'Advanced Entry'!X$6)/('Advanced Entry'!X$7-'Advanced Entry'!X$6)),1))),"No data"))</f>
        <v/>
      </c>
      <c r="Y104" s="17">
        <f>IF('Advanced Entry'!Y104="","",IFERROR(MAX(0,MIN(10,ROUND(IF('Advanced Entry'!Y$8="Decrease Risk",10-10*((IF('Advanced Entry'!Y$5="Logarithm",LN(0.001+'Advanced Entry'!Y104),IF('Advanced Entry'!Y$5="Exponential",EXP('Advanced Entry'!Y104),'Advanced Entry'!Y104)))-'Advanced Entry'!Y$6)/('Advanced Entry'!Y$7-'Advanced Entry'!Y$6),10*((IF('Advanced Entry'!Y$5="Logarithm",LN(0.001+'Advanced Entry'!Y104),IF('Advanced Entry'!Y$5="Exponential",EXP('Advanced Entry'!Y104),'Advanced Entry'!Y104)))-'Advanced Entry'!Y$6)/('Advanced Entry'!Y$7-'Advanced Entry'!Y$6)),1))),"No data"))</f>
        <v/>
      </c>
      <c r="Z104" s="17">
        <f>IF('Advanced Entry'!Z104="","",IFERROR(MAX(0,MIN(10,ROUND(IF('Advanced Entry'!Z$8="Decrease Risk",10-10*((IF('Advanced Entry'!Z$5="Logarithm",LN(0.001+'Advanced Entry'!Z104),IF('Advanced Entry'!Z$5="Exponential",EXP('Advanced Entry'!Z104),'Advanced Entry'!Z104)))-'Advanced Entry'!Z$6)/('Advanced Entry'!Z$7-'Advanced Entry'!Z$6),10*((IF('Advanced Entry'!Z$5="Logarithm",LN(0.001+'Advanced Entry'!Z104),IF('Advanced Entry'!Z$5="Exponential",EXP('Advanced Entry'!Z104),'Advanced Entry'!Z104)))-'Advanced Entry'!Z$6)/('Advanced Entry'!Z$7-'Advanced Entry'!Z$6)),1))),"No data"))</f>
        <v/>
      </c>
      <c r="AA104" s="17">
        <f>IF('Advanced Entry'!AA104="","",IFERROR(MAX(0,MIN(10,ROUND(IF('Advanced Entry'!AA$8="Decrease Risk",10-10*((IF('Advanced Entry'!AA$5="Logarithm",LN(0.001+'Advanced Entry'!AA104),IF('Advanced Entry'!AA$5="Exponential",EXP('Advanced Entry'!AA104),'Advanced Entry'!AA104)))-'Advanced Entry'!AA$6)/('Advanced Entry'!AA$7-'Advanced Entry'!AA$6),10*((IF('Advanced Entry'!AA$5="Logarithm",LN(0.001+'Advanced Entry'!AA104),IF('Advanced Entry'!AA$5="Exponential",EXP('Advanced Entry'!AA104),'Advanced Entry'!AA104)))-'Advanced Entry'!AA$6)/('Advanced Entry'!AA$7-'Advanced Entry'!AA$6)),1))),"No data"))</f>
        <v/>
      </c>
      <c r="AB104" s="17">
        <f>IF('Advanced Entry'!AB104="","",IFERROR(MAX(0,MIN(10,ROUND(IF('Advanced Entry'!AB$8="Decrease Risk",10-10*((IF('Advanced Entry'!AB$5="Logarithm",LN(0.001+'Advanced Entry'!AB104),IF('Advanced Entry'!AB$5="Exponential",EXP('Advanced Entry'!AB104),'Advanced Entry'!AB104)))-'Advanced Entry'!AB$6)/('Advanced Entry'!AB$7-'Advanced Entry'!AB$6),10*((IF('Advanced Entry'!AB$5="Logarithm",LN(0.001+'Advanced Entry'!AB104),IF('Advanced Entry'!AB$5="Exponential",EXP('Advanced Entry'!AB104),'Advanced Entry'!AB104)))-'Advanced Entry'!AB$6)/('Advanced Entry'!AB$7-'Advanced Entry'!AB$6)),1))),"No data"))</f>
        <v/>
      </c>
    </row>
    <row r="105">
      <c r="A105" t="inlineStr">
        <is>
          <t>Mbeya</t>
        </is>
      </c>
      <c r="B105" t="inlineStr">
        <is>
          <t>Mbeya District</t>
        </is>
      </c>
      <c r="C105" t="inlineStr">
        <is>
          <t>C086</t>
        </is>
      </c>
      <c r="D105" s="17">
        <f>IF('Advanced Entry'!D105="","",IFERROR(MAX(0,MIN(10,ROUND(IF('Advanced Entry'!D$8="Decrease Risk",10-10*((IF('Advanced Entry'!D$5="Logarithm",LN(0.001+'Advanced Entry'!D105),IF('Advanced Entry'!D$5="Exponential",EXP('Advanced Entry'!D105),'Advanced Entry'!D105)))-'Advanced Entry'!D$6)/('Advanced Entry'!D$7-'Advanced Entry'!D$6),10*((IF('Advanced Entry'!D$5="Logarithm",LN(0.001+'Advanced Entry'!D105),IF('Advanced Entry'!D$5="Exponential",EXP('Advanced Entry'!D105),'Advanced Entry'!D105)))-'Advanced Entry'!D$6)/('Advanced Entry'!D$7-'Advanced Entry'!D$6)),1))),"No data"))</f>
        <v/>
      </c>
      <c r="E105" s="17">
        <f>IF('Advanced Entry'!E105="","",IFERROR(MAX(0,MIN(10,ROUND(IF('Advanced Entry'!E$8="Decrease Risk",10-10*((IF('Advanced Entry'!E$5="Logarithm",LN(0.001+'Advanced Entry'!E105),IF('Advanced Entry'!E$5="Exponential",EXP('Advanced Entry'!E105),'Advanced Entry'!E105)))-'Advanced Entry'!E$6)/('Advanced Entry'!E$7-'Advanced Entry'!E$6),10*((IF('Advanced Entry'!E$5="Logarithm",LN(0.001+'Advanced Entry'!E105),IF('Advanced Entry'!E$5="Exponential",EXP('Advanced Entry'!E105),'Advanced Entry'!E105)))-'Advanced Entry'!E$6)/('Advanced Entry'!E$7-'Advanced Entry'!E$6)),1))),"No data"))</f>
        <v/>
      </c>
      <c r="F105" s="17">
        <f>IF('Advanced Entry'!F105="","",IFERROR(MAX(0,MIN(10,ROUND(IF('Advanced Entry'!F$8="Decrease Risk",10-10*((IF('Advanced Entry'!F$5="Logarithm",LN(0.001+'Advanced Entry'!F105),IF('Advanced Entry'!F$5="Exponential",EXP('Advanced Entry'!F105),'Advanced Entry'!F105)))-'Advanced Entry'!F$6)/('Advanced Entry'!F$7-'Advanced Entry'!F$6),10*((IF('Advanced Entry'!F$5="Logarithm",LN(0.001+'Advanced Entry'!F105),IF('Advanced Entry'!F$5="Exponential",EXP('Advanced Entry'!F105),'Advanced Entry'!F105)))-'Advanced Entry'!F$6)/('Advanced Entry'!F$7-'Advanced Entry'!F$6)),1))),"No data"))</f>
        <v/>
      </c>
      <c r="G105" s="17">
        <f>IF('Advanced Entry'!G105="","",IFERROR(MAX(0,MIN(10,ROUND(IF('Advanced Entry'!G$8="Decrease Risk",10-10*((IF('Advanced Entry'!G$5="Logarithm",LN(0.001+'Advanced Entry'!G105),IF('Advanced Entry'!G$5="Exponential",EXP('Advanced Entry'!G105),'Advanced Entry'!G105)))-'Advanced Entry'!G$6)/('Advanced Entry'!G$7-'Advanced Entry'!G$6),10*((IF('Advanced Entry'!G$5="Logarithm",LN(0.001+'Advanced Entry'!G105),IF('Advanced Entry'!G$5="Exponential",EXP('Advanced Entry'!G105),'Advanced Entry'!G105)))-'Advanced Entry'!G$6)/('Advanced Entry'!G$7-'Advanced Entry'!G$6)),1))),"No data"))</f>
        <v/>
      </c>
      <c r="H105" s="17">
        <f>IF('Advanced Entry'!H105="","",IFERROR(MAX(0,MIN(10,ROUND(IF('Advanced Entry'!H$8="Decrease Risk",10-10*((IF('Advanced Entry'!H$5="Logarithm",LN(0.001+'Advanced Entry'!H105),IF('Advanced Entry'!H$5="Exponential",EXP('Advanced Entry'!H105),'Advanced Entry'!H105)))-'Advanced Entry'!H$6)/('Advanced Entry'!H$7-'Advanced Entry'!H$6),10*((IF('Advanced Entry'!H$5="Logarithm",LN(0.001+'Advanced Entry'!H105),IF('Advanced Entry'!H$5="Exponential",EXP('Advanced Entry'!H105),'Advanced Entry'!H105)))-'Advanced Entry'!H$6)/('Advanced Entry'!H$7-'Advanced Entry'!H$6)),1))),"No data"))</f>
        <v/>
      </c>
      <c r="I105" s="17">
        <f>IF('Advanced Entry'!I105="","",IFERROR(MAX(0,MIN(10,ROUND(IF('Advanced Entry'!I$8="Decrease Risk",10-10*((IF('Advanced Entry'!I$5="Logarithm",LN(0.001+'Advanced Entry'!I105),IF('Advanced Entry'!I$5="Exponential",EXP('Advanced Entry'!I105),'Advanced Entry'!I105)))-'Advanced Entry'!I$6)/('Advanced Entry'!I$7-'Advanced Entry'!I$6),10*((IF('Advanced Entry'!I$5="Logarithm",LN(0.001+'Advanced Entry'!I105),IF('Advanced Entry'!I$5="Exponential",EXP('Advanced Entry'!I105),'Advanced Entry'!I105)))-'Advanced Entry'!I$6)/('Advanced Entry'!I$7-'Advanced Entry'!I$6)),1))),"No data"))</f>
        <v/>
      </c>
      <c r="J105" s="17">
        <f>IF('Advanced Entry'!J105="","",IFERROR(MAX(0,MIN(10,ROUND(IF('Advanced Entry'!J$8="Decrease Risk",10-10*((IF('Advanced Entry'!J$5="Logarithm",LN(0.001+'Advanced Entry'!J105),IF('Advanced Entry'!J$5="Exponential",EXP('Advanced Entry'!J105),'Advanced Entry'!J105)))-'Advanced Entry'!J$6)/('Advanced Entry'!J$7-'Advanced Entry'!J$6),10*((IF('Advanced Entry'!J$5="Logarithm",LN(0.001+'Advanced Entry'!J105),IF('Advanced Entry'!J$5="Exponential",EXP('Advanced Entry'!J105),'Advanced Entry'!J105)))-'Advanced Entry'!J$6)/('Advanced Entry'!J$7-'Advanced Entry'!J$6)),1))),"No data"))</f>
        <v/>
      </c>
      <c r="K105" s="17">
        <f>IF('Advanced Entry'!K105="","",IFERROR(MAX(0,MIN(10,ROUND(IF('Advanced Entry'!K$8="Decrease Risk",10-10*((IF('Advanced Entry'!K$5="Logarithm",LN(0.001+'Advanced Entry'!K105),IF('Advanced Entry'!K$5="Exponential",EXP('Advanced Entry'!K105),'Advanced Entry'!K105)))-'Advanced Entry'!K$6)/('Advanced Entry'!K$7-'Advanced Entry'!K$6),10*((IF('Advanced Entry'!K$5="Logarithm",LN(0.001+'Advanced Entry'!K105),IF('Advanced Entry'!K$5="Exponential",EXP('Advanced Entry'!K105),'Advanced Entry'!K105)))-'Advanced Entry'!K$6)/('Advanced Entry'!K$7-'Advanced Entry'!K$6)),1))),"No data"))</f>
        <v/>
      </c>
      <c r="L105" s="17">
        <f>IF('Advanced Entry'!L105="","",IFERROR(MAX(0,MIN(10,ROUND(IF('Advanced Entry'!L$8="Decrease Risk",10-10*((IF('Advanced Entry'!L$5="Logarithm",LN(0.001+'Advanced Entry'!L105),IF('Advanced Entry'!L$5="Exponential",EXP('Advanced Entry'!L105),'Advanced Entry'!L105)))-'Advanced Entry'!L$6)/('Advanced Entry'!L$7-'Advanced Entry'!L$6),10*((IF('Advanced Entry'!L$5="Logarithm",LN(0.001+'Advanced Entry'!L105),IF('Advanced Entry'!L$5="Exponential",EXP('Advanced Entry'!L105),'Advanced Entry'!L105)))-'Advanced Entry'!L$6)/('Advanced Entry'!L$7-'Advanced Entry'!L$6)),1))),"No data"))</f>
        <v/>
      </c>
      <c r="M105" s="17">
        <f>IF('Advanced Entry'!M105="","",IFERROR(MAX(0,MIN(10,ROUND(IF('Advanced Entry'!M$8="Decrease Risk",10-10*((IF('Advanced Entry'!M$5="Logarithm",LN(0.001+'Advanced Entry'!M105),IF('Advanced Entry'!M$5="Exponential",EXP('Advanced Entry'!M105),'Advanced Entry'!M105)))-'Advanced Entry'!M$6)/('Advanced Entry'!M$7-'Advanced Entry'!M$6),10*((IF('Advanced Entry'!M$5="Logarithm",LN(0.001+'Advanced Entry'!M105),IF('Advanced Entry'!M$5="Exponential",EXP('Advanced Entry'!M105),'Advanced Entry'!M105)))-'Advanced Entry'!M$6)/('Advanced Entry'!M$7-'Advanced Entry'!M$6)),1))),"No data"))</f>
        <v/>
      </c>
      <c r="N105" s="17">
        <f>IF('Advanced Entry'!N105="","",IFERROR(MAX(0,MIN(10,ROUND(IF('Advanced Entry'!N$8="Decrease Risk",10-10*((IF('Advanced Entry'!N$5="Logarithm",LN(0.001+'Advanced Entry'!N105),IF('Advanced Entry'!N$5="Exponential",EXP('Advanced Entry'!N105),'Advanced Entry'!N105)))-'Advanced Entry'!N$6)/('Advanced Entry'!N$7-'Advanced Entry'!N$6),10*((IF('Advanced Entry'!N$5="Logarithm",LN(0.001+'Advanced Entry'!N105),IF('Advanced Entry'!N$5="Exponential",EXP('Advanced Entry'!N105),'Advanced Entry'!N105)))-'Advanced Entry'!N$6)/('Advanced Entry'!N$7-'Advanced Entry'!N$6)),1))),"No data"))</f>
        <v/>
      </c>
      <c r="O105" s="17">
        <f>IF('Advanced Entry'!O105="","",IFERROR(MAX(0,MIN(10,ROUND(IF('Advanced Entry'!O$8="Decrease Risk",10-10*((IF('Advanced Entry'!O$5="Logarithm",LN(0.001+'Advanced Entry'!O105),IF('Advanced Entry'!O$5="Exponential",EXP('Advanced Entry'!O105),'Advanced Entry'!O105)))-'Advanced Entry'!O$6)/('Advanced Entry'!O$7-'Advanced Entry'!O$6),10*((IF('Advanced Entry'!O$5="Logarithm",LN(0.001+'Advanced Entry'!O105),IF('Advanced Entry'!O$5="Exponential",EXP('Advanced Entry'!O105),'Advanced Entry'!O105)))-'Advanced Entry'!O$6)/('Advanced Entry'!O$7-'Advanced Entry'!O$6)),1))),"No data"))</f>
        <v/>
      </c>
      <c r="P105" s="17">
        <f>IF('Advanced Entry'!P105="","",IFERROR(MAX(0,MIN(10,ROUND(IF('Advanced Entry'!P$8="Decrease Risk",10-10*((IF('Advanced Entry'!P$5="Logarithm",LN(0.001+'Advanced Entry'!P105),IF('Advanced Entry'!P$5="Exponential",EXP('Advanced Entry'!P105),'Advanced Entry'!P105)))-'Advanced Entry'!P$6)/('Advanced Entry'!P$7-'Advanced Entry'!P$6),10*((IF('Advanced Entry'!P$5="Logarithm",LN(0.001+'Advanced Entry'!P105),IF('Advanced Entry'!P$5="Exponential",EXP('Advanced Entry'!P105),'Advanced Entry'!P105)))-'Advanced Entry'!P$6)/('Advanced Entry'!P$7-'Advanced Entry'!P$6)),1))),"No data"))</f>
        <v/>
      </c>
      <c r="Q105" s="17">
        <f>IF('Advanced Entry'!Q105="","",IFERROR(MAX(0,MIN(10,ROUND(IF('Advanced Entry'!Q$8="Decrease Risk",10-10*((IF('Advanced Entry'!Q$5="Logarithm",LN(0.001+'Advanced Entry'!Q105),IF('Advanced Entry'!Q$5="Exponential",EXP('Advanced Entry'!Q105),'Advanced Entry'!Q105)))-'Advanced Entry'!Q$6)/('Advanced Entry'!Q$7-'Advanced Entry'!Q$6),10*((IF('Advanced Entry'!Q$5="Logarithm",LN(0.001+'Advanced Entry'!Q105),IF('Advanced Entry'!Q$5="Exponential",EXP('Advanced Entry'!Q105),'Advanced Entry'!Q105)))-'Advanced Entry'!Q$6)/('Advanced Entry'!Q$7-'Advanced Entry'!Q$6)),1))),"No data"))</f>
        <v/>
      </c>
      <c r="R105" s="17">
        <f>IF('Advanced Entry'!R105="","",IFERROR(MAX(0,MIN(10,ROUND(IF('Advanced Entry'!R$8="Decrease Risk",10-10*((IF('Advanced Entry'!R$5="Logarithm",LN(0.001+'Advanced Entry'!R105),IF('Advanced Entry'!R$5="Exponential",EXP('Advanced Entry'!R105),'Advanced Entry'!R105)))-'Advanced Entry'!R$6)/('Advanced Entry'!R$7-'Advanced Entry'!R$6),10*((IF('Advanced Entry'!R$5="Logarithm",LN(0.001+'Advanced Entry'!R105),IF('Advanced Entry'!R$5="Exponential",EXP('Advanced Entry'!R105),'Advanced Entry'!R105)))-'Advanced Entry'!R$6)/('Advanced Entry'!R$7-'Advanced Entry'!R$6)),1))),"No data"))</f>
        <v/>
      </c>
      <c r="S105" s="17">
        <f>IF('Advanced Entry'!S105="","",IFERROR(MAX(0,MIN(10,ROUND(IF('Advanced Entry'!S$8="Decrease Risk",10-10*((IF('Advanced Entry'!S$5="Logarithm",LN(0.001+'Advanced Entry'!S105),IF('Advanced Entry'!S$5="Exponential",EXP('Advanced Entry'!S105),'Advanced Entry'!S105)))-'Advanced Entry'!S$6)/('Advanced Entry'!S$7-'Advanced Entry'!S$6),10*((IF('Advanced Entry'!S$5="Logarithm",LN(0.001+'Advanced Entry'!S105),IF('Advanced Entry'!S$5="Exponential",EXP('Advanced Entry'!S105),'Advanced Entry'!S105)))-'Advanced Entry'!S$6)/('Advanced Entry'!S$7-'Advanced Entry'!S$6)),1))),"No data"))</f>
        <v/>
      </c>
      <c r="T105" s="17">
        <f>IF('Advanced Entry'!T105="","",IFERROR(MAX(0,MIN(10,ROUND(IF('Advanced Entry'!T$8="Decrease Risk",10-10*((IF('Advanced Entry'!T$5="Logarithm",LN(0.001+'Advanced Entry'!T105),IF('Advanced Entry'!T$5="Exponential",EXP('Advanced Entry'!T105),'Advanced Entry'!T105)))-'Advanced Entry'!T$6)/('Advanced Entry'!T$7-'Advanced Entry'!T$6),10*((IF('Advanced Entry'!T$5="Logarithm",LN(0.001+'Advanced Entry'!T105),IF('Advanced Entry'!T$5="Exponential",EXP('Advanced Entry'!T105),'Advanced Entry'!T105)))-'Advanced Entry'!T$6)/('Advanced Entry'!T$7-'Advanced Entry'!T$6)),1))),"No data"))</f>
        <v/>
      </c>
      <c r="U105" s="17">
        <f>IF('Advanced Entry'!U105="","",IFERROR(MAX(0,MIN(10,ROUND(IF('Advanced Entry'!U$8="Decrease Risk",10-10*((IF('Advanced Entry'!U$5="Logarithm",LN(0.001+'Advanced Entry'!U105),IF('Advanced Entry'!U$5="Exponential",EXP('Advanced Entry'!U105),'Advanced Entry'!U105)))-'Advanced Entry'!U$6)/('Advanced Entry'!U$7-'Advanced Entry'!U$6),10*((IF('Advanced Entry'!U$5="Logarithm",LN(0.001+'Advanced Entry'!U105),IF('Advanced Entry'!U$5="Exponential",EXP('Advanced Entry'!U105),'Advanced Entry'!U105)))-'Advanced Entry'!U$6)/('Advanced Entry'!U$7-'Advanced Entry'!U$6)),1))),"No data"))</f>
        <v/>
      </c>
      <c r="V105" s="17">
        <f>IF('Advanced Entry'!V105="","",IFERROR(MAX(0,MIN(10,ROUND(IF('Advanced Entry'!V$8="Decrease Risk",10-10*((IF('Advanced Entry'!V$5="Logarithm",LN(0.001+'Advanced Entry'!V105),IF('Advanced Entry'!V$5="Exponential",EXP('Advanced Entry'!V105),'Advanced Entry'!V105)))-'Advanced Entry'!V$6)/('Advanced Entry'!V$7-'Advanced Entry'!V$6),10*((IF('Advanced Entry'!V$5="Logarithm",LN(0.001+'Advanced Entry'!V105),IF('Advanced Entry'!V$5="Exponential",EXP('Advanced Entry'!V105),'Advanced Entry'!V105)))-'Advanced Entry'!V$6)/('Advanced Entry'!V$7-'Advanced Entry'!V$6)),1))),"No data"))</f>
        <v/>
      </c>
      <c r="W105" s="17">
        <f>IF('Advanced Entry'!W105="","",IFERROR(MAX(0,MIN(10,ROUND(IF('Advanced Entry'!W$8="Decrease Risk",10-10*((IF('Advanced Entry'!W$5="Logarithm",LN(0.001+'Advanced Entry'!W105),IF('Advanced Entry'!W$5="Exponential",EXP('Advanced Entry'!W105),'Advanced Entry'!W105)))-'Advanced Entry'!W$6)/('Advanced Entry'!W$7-'Advanced Entry'!W$6),10*((IF('Advanced Entry'!W$5="Logarithm",LN(0.001+'Advanced Entry'!W105),IF('Advanced Entry'!W$5="Exponential",EXP('Advanced Entry'!W105),'Advanced Entry'!W105)))-'Advanced Entry'!W$6)/('Advanced Entry'!W$7-'Advanced Entry'!W$6)),1))),"No data"))</f>
        <v/>
      </c>
      <c r="X105" s="17">
        <f>IF('Advanced Entry'!X105="","",IFERROR(MAX(0,MIN(10,ROUND(IF('Advanced Entry'!X$8="Decrease Risk",10-10*((IF('Advanced Entry'!X$5="Logarithm",LN(0.001+'Advanced Entry'!X105),IF('Advanced Entry'!X$5="Exponential",EXP('Advanced Entry'!X105),'Advanced Entry'!X105)))-'Advanced Entry'!X$6)/('Advanced Entry'!X$7-'Advanced Entry'!X$6),10*((IF('Advanced Entry'!X$5="Logarithm",LN(0.001+'Advanced Entry'!X105),IF('Advanced Entry'!X$5="Exponential",EXP('Advanced Entry'!X105),'Advanced Entry'!X105)))-'Advanced Entry'!X$6)/('Advanced Entry'!X$7-'Advanced Entry'!X$6)),1))),"No data"))</f>
        <v/>
      </c>
      <c r="Y105" s="17">
        <f>IF('Advanced Entry'!Y105="","",IFERROR(MAX(0,MIN(10,ROUND(IF('Advanced Entry'!Y$8="Decrease Risk",10-10*((IF('Advanced Entry'!Y$5="Logarithm",LN(0.001+'Advanced Entry'!Y105),IF('Advanced Entry'!Y$5="Exponential",EXP('Advanced Entry'!Y105),'Advanced Entry'!Y105)))-'Advanced Entry'!Y$6)/('Advanced Entry'!Y$7-'Advanced Entry'!Y$6),10*((IF('Advanced Entry'!Y$5="Logarithm",LN(0.001+'Advanced Entry'!Y105),IF('Advanced Entry'!Y$5="Exponential",EXP('Advanced Entry'!Y105),'Advanced Entry'!Y105)))-'Advanced Entry'!Y$6)/('Advanced Entry'!Y$7-'Advanced Entry'!Y$6)),1))),"No data"))</f>
        <v/>
      </c>
      <c r="Z105" s="17">
        <f>IF('Advanced Entry'!Z105="","",IFERROR(MAX(0,MIN(10,ROUND(IF('Advanced Entry'!Z$8="Decrease Risk",10-10*((IF('Advanced Entry'!Z$5="Logarithm",LN(0.001+'Advanced Entry'!Z105),IF('Advanced Entry'!Z$5="Exponential",EXP('Advanced Entry'!Z105),'Advanced Entry'!Z105)))-'Advanced Entry'!Z$6)/('Advanced Entry'!Z$7-'Advanced Entry'!Z$6),10*((IF('Advanced Entry'!Z$5="Logarithm",LN(0.001+'Advanced Entry'!Z105),IF('Advanced Entry'!Z$5="Exponential",EXP('Advanced Entry'!Z105),'Advanced Entry'!Z105)))-'Advanced Entry'!Z$6)/('Advanced Entry'!Z$7-'Advanced Entry'!Z$6)),1))),"No data"))</f>
        <v/>
      </c>
      <c r="AA105" s="17">
        <f>IF('Advanced Entry'!AA105="","",IFERROR(MAX(0,MIN(10,ROUND(IF('Advanced Entry'!AA$8="Decrease Risk",10-10*((IF('Advanced Entry'!AA$5="Logarithm",LN(0.001+'Advanced Entry'!AA105),IF('Advanced Entry'!AA$5="Exponential",EXP('Advanced Entry'!AA105),'Advanced Entry'!AA105)))-'Advanced Entry'!AA$6)/('Advanced Entry'!AA$7-'Advanced Entry'!AA$6),10*((IF('Advanced Entry'!AA$5="Logarithm",LN(0.001+'Advanced Entry'!AA105),IF('Advanced Entry'!AA$5="Exponential",EXP('Advanced Entry'!AA105),'Advanced Entry'!AA105)))-'Advanced Entry'!AA$6)/('Advanced Entry'!AA$7-'Advanced Entry'!AA$6)),1))),"No data"))</f>
        <v/>
      </c>
      <c r="AB105" s="17">
        <f>IF('Advanced Entry'!AB105="","",IFERROR(MAX(0,MIN(10,ROUND(IF('Advanced Entry'!AB$8="Decrease Risk",10-10*((IF('Advanced Entry'!AB$5="Logarithm",LN(0.001+'Advanced Entry'!AB105),IF('Advanced Entry'!AB$5="Exponential",EXP('Advanced Entry'!AB105),'Advanced Entry'!AB105)))-'Advanced Entry'!AB$6)/('Advanced Entry'!AB$7-'Advanced Entry'!AB$6),10*((IF('Advanced Entry'!AB$5="Logarithm",LN(0.001+'Advanced Entry'!AB105),IF('Advanced Entry'!AB$5="Exponential",EXP('Advanced Entry'!AB105),'Advanced Entry'!AB105)))-'Advanced Entry'!AB$6)/('Advanced Entry'!AB$7-'Advanced Entry'!AB$6)),1))),"No data"))</f>
        <v/>
      </c>
    </row>
    <row r="106">
      <c r="A106" t="inlineStr">
        <is>
          <t>Mbeya</t>
        </is>
      </c>
      <c r="B106" t="inlineStr">
        <is>
          <t>Rungwe District</t>
        </is>
      </c>
      <c r="C106" t="inlineStr">
        <is>
          <t>C089</t>
        </is>
      </c>
      <c r="D106" s="17">
        <f>IF('Advanced Entry'!D106="","",IFERROR(MAX(0,MIN(10,ROUND(IF('Advanced Entry'!D$8="Decrease Risk",10-10*((IF('Advanced Entry'!D$5="Logarithm",LN(0.001+'Advanced Entry'!D106),IF('Advanced Entry'!D$5="Exponential",EXP('Advanced Entry'!D106),'Advanced Entry'!D106)))-'Advanced Entry'!D$6)/('Advanced Entry'!D$7-'Advanced Entry'!D$6),10*((IF('Advanced Entry'!D$5="Logarithm",LN(0.001+'Advanced Entry'!D106),IF('Advanced Entry'!D$5="Exponential",EXP('Advanced Entry'!D106),'Advanced Entry'!D106)))-'Advanced Entry'!D$6)/('Advanced Entry'!D$7-'Advanced Entry'!D$6)),1))),"No data"))</f>
        <v/>
      </c>
      <c r="E106" s="17">
        <f>IF('Advanced Entry'!E106="","",IFERROR(MAX(0,MIN(10,ROUND(IF('Advanced Entry'!E$8="Decrease Risk",10-10*((IF('Advanced Entry'!E$5="Logarithm",LN(0.001+'Advanced Entry'!E106),IF('Advanced Entry'!E$5="Exponential",EXP('Advanced Entry'!E106),'Advanced Entry'!E106)))-'Advanced Entry'!E$6)/('Advanced Entry'!E$7-'Advanced Entry'!E$6),10*((IF('Advanced Entry'!E$5="Logarithm",LN(0.001+'Advanced Entry'!E106),IF('Advanced Entry'!E$5="Exponential",EXP('Advanced Entry'!E106),'Advanced Entry'!E106)))-'Advanced Entry'!E$6)/('Advanced Entry'!E$7-'Advanced Entry'!E$6)),1))),"No data"))</f>
        <v/>
      </c>
      <c r="F106" s="17">
        <f>IF('Advanced Entry'!F106="","",IFERROR(MAX(0,MIN(10,ROUND(IF('Advanced Entry'!F$8="Decrease Risk",10-10*((IF('Advanced Entry'!F$5="Logarithm",LN(0.001+'Advanced Entry'!F106),IF('Advanced Entry'!F$5="Exponential",EXP('Advanced Entry'!F106),'Advanced Entry'!F106)))-'Advanced Entry'!F$6)/('Advanced Entry'!F$7-'Advanced Entry'!F$6),10*((IF('Advanced Entry'!F$5="Logarithm",LN(0.001+'Advanced Entry'!F106),IF('Advanced Entry'!F$5="Exponential",EXP('Advanced Entry'!F106),'Advanced Entry'!F106)))-'Advanced Entry'!F$6)/('Advanced Entry'!F$7-'Advanced Entry'!F$6)),1))),"No data"))</f>
        <v/>
      </c>
      <c r="G106" s="17">
        <f>IF('Advanced Entry'!G106="","",IFERROR(MAX(0,MIN(10,ROUND(IF('Advanced Entry'!G$8="Decrease Risk",10-10*((IF('Advanced Entry'!G$5="Logarithm",LN(0.001+'Advanced Entry'!G106),IF('Advanced Entry'!G$5="Exponential",EXP('Advanced Entry'!G106),'Advanced Entry'!G106)))-'Advanced Entry'!G$6)/('Advanced Entry'!G$7-'Advanced Entry'!G$6),10*((IF('Advanced Entry'!G$5="Logarithm",LN(0.001+'Advanced Entry'!G106),IF('Advanced Entry'!G$5="Exponential",EXP('Advanced Entry'!G106),'Advanced Entry'!G106)))-'Advanced Entry'!G$6)/('Advanced Entry'!G$7-'Advanced Entry'!G$6)),1))),"No data"))</f>
        <v/>
      </c>
      <c r="H106" s="17">
        <f>IF('Advanced Entry'!H106="","",IFERROR(MAX(0,MIN(10,ROUND(IF('Advanced Entry'!H$8="Decrease Risk",10-10*((IF('Advanced Entry'!H$5="Logarithm",LN(0.001+'Advanced Entry'!H106),IF('Advanced Entry'!H$5="Exponential",EXP('Advanced Entry'!H106),'Advanced Entry'!H106)))-'Advanced Entry'!H$6)/('Advanced Entry'!H$7-'Advanced Entry'!H$6),10*((IF('Advanced Entry'!H$5="Logarithm",LN(0.001+'Advanced Entry'!H106),IF('Advanced Entry'!H$5="Exponential",EXP('Advanced Entry'!H106),'Advanced Entry'!H106)))-'Advanced Entry'!H$6)/('Advanced Entry'!H$7-'Advanced Entry'!H$6)),1))),"No data"))</f>
        <v/>
      </c>
      <c r="I106" s="17">
        <f>IF('Advanced Entry'!I106="","",IFERROR(MAX(0,MIN(10,ROUND(IF('Advanced Entry'!I$8="Decrease Risk",10-10*((IF('Advanced Entry'!I$5="Logarithm",LN(0.001+'Advanced Entry'!I106),IF('Advanced Entry'!I$5="Exponential",EXP('Advanced Entry'!I106),'Advanced Entry'!I106)))-'Advanced Entry'!I$6)/('Advanced Entry'!I$7-'Advanced Entry'!I$6),10*((IF('Advanced Entry'!I$5="Logarithm",LN(0.001+'Advanced Entry'!I106),IF('Advanced Entry'!I$5="Exponential",EXP('Advanced Entry'!I106),'Advanced Entry'!I106)))-'Advanced Entry'!I$6)/('Advanced Entry'!I$7-'Advanced Entry'!I$6)),1))),"No data"))</f>
        <v/>
      </c>
      <c r="J106" s="17">
        <f>IF('Advanced Entry'!J106="","",IFERROR(MAX(0,MIN(10,ROUND(IF('Advanced Entry'!J$8="Decrease Risk",10-10*((IF('Advanced Entry'!J$5="Logarithm",LN(0.001+'Advanced Entry'!J106),IF('Advanced Entry'!J$5="Exponential",EXP('Advanced Entry'!J106),'Advanced Entry'!J106)))-'Advanced Entry'!J$6)/('Advanced Entry'!J$7-'Advanced Entry'!J$6),10*((IF('Advanced Entry'!J$5="Logarithm",LN(0.001+'Advanced Entry'!J106),IF('Advanced Entry'!J$5="Exponential",EXP('Advanced Entry'!J106),'Advanced Entry'!J106)))-'Advanced Entry'!J$6)/('Advanced Entry'!J$7-'Advanced Entry'!J$6)),1))),"No data"))</f>
        <v/>
      </c>
      <c r="K106" s="17">
        <f>IF('Advanced Entry'!K106="","",IFERROR(MAX(0,MIN(10,ROUND(IF('Advanced Entry'!K$8="Decrease Risk",10-10*((IF('Advanced Entry'!K$5="Logarithm",LN(0.001+'Advanced Entry'!K106),IF('Advanced Entry'!K$5="Exponential",EXP('Advanced Entry'!K106),'Advanced Entry'!K106)))-'Advanced Entry'!K$6)/('Advanced Entry'!K$7-'Advanced Entry'!K$6),10*((IF('Advanced Entry'!K$5="Logarithm",LN(0.001+'Advanced Entry'!K106),IF('Advanced Entry'!K$5="Exponential",EXP('Advanced Entry'!K106),'Advanced Entry'!K106)))-'Advanced Entry'!K$6)/('Advanced Entry'!K$7-'Advanced Entry'!K$6)),1))),"No data"))</f>
        <v/>
      </c>
      <c r="L106" s="17">
        <f>IF('Advanced Entry'!L106="","",IFERROR(MAX(0,MIN(10,ROUND(IF('Advanced Entry'!L$8="Decrease Risk",10-10*((IF('Advanced Entry'!L$5="Logarithm",LN(0.001+'Advanced Entry'!L106),IF('Advanced Entry'!L$5="Exponential",EXP('Advanced Entry'!L106),'Advanced Entry'!L106)))-'Advanced Entry'!L$6)/('Advanced Entry'!L$7-'Advanced Entry'!L$6),10*((IF('Advanced Entry'!L$5="Logarithm",LN(0.001+'Advanced Entry'!L106),IF('Advanced Entry'!L$5="Exponential",EXP('Advanced Entry'!L106),'Advanced Entry'!L106)))-'Advanced Entry'!L$6)/('Advanced Entry'!L$7-'Advanced Entry'!L$6)),1))),"No data"))</f>
        <v/>
      </c>
      <c r="M106" s="17">
        <f>IF('Advanced Entry'!M106="","",IFERROR(MAX(0,MIN(10,ROUND(IF('Advanced Entry'!M$8="Decrease Risk",10-10*((IF('Advanced Entry'!M$5="Logarithm",LN(0.001+'Advanced Entry'!M106),IF('Advanced Entry'!M$5="Exponential",EXP('Advanced Entry'!M106),'Advanced Entry'!M106)))-'Advanced Entry'!M$6)/('Advanced Entry'!M$7-'Advanced Entry'!M$6),10*((IF('Advanced Entry'!M$5="Logarithm",LN(0.001+'Advanced Entry'!M106),IF('Advanced Entry'!M$5="Exponential",EXP('Advanced Entry'!M106),'Advanced Entry'!M106)))-'Advanced Entry'!M$6)/('Advanced Entry'!M$7-'Advanced Entry'!M$6)),1))),"No data"))</f>
        <v/>
      </c>
      <c r="N106" s="17">
        <f>IF('Advanced Entry'!N106="","",IFERROR(MAX(0,MIN(10,ROUND(IF('Advanced Entry'!N$8="Decrease Risk",10-10*((IF('Advanced Entry'!N$5="Logarithm",LN(0.001+'Advanced Entry'!N106),IF('Advanced Entry'!N$5="Exponential",EXP('Advanced Entry'!N106),'Advanced Entry'!N106)))-'Advanced Entry'!N$6)/('Advanced Entry'!N$7-'Advanced Entry'!N$6),10*((IF('Advanced Entry'!N$5="Logarithm",LN(0.001+'Advanced Entry'!N106),IF('Advanced Entry'!N$5="Exponential",EXP('Advanced Entry'!N106),'Advanced Entry'!N106)))-'Advanced Entry'!N$6)/('Advanced Entry'!N$7-'Advanced Entry'!N$6)),1))),"No data"))</f>
        <v/>
      </c>
      <c r="O106" s="17">
        <f>IF('Advanced Entry'!O106="","",IFERROR(MAX(0,MIN(10,ROUND(IF('Advanced Entry'!O$8="Decrease Risk",10-10*((IF('Advanced Entry'!O$5="Logarithm",LN(0.001+'Advanced Entry'!O106),IF('Advanced Entry'!O$5="Exponential",EXP('Advanced Entry'!O106),'Advanced Entry'!O106)))-'Advanced Entry'!O$6)/('Advanced Entry'!O$7-'Advanced Entry'!O$6),10*((IF('Advanced Entry'!O$5="Logarithm",LN(0.001+'Advanced Entry'!O106),IF('Advanced Entry'!O$5="Exponential",EXP('Advanced Entry'!O106),'Advanced Entry'!O106)))-'Advanced Entry'!O$6)/('Advanced Entry'!O$7-'Advanced Entry'!O$6)),1))),"No data"))</f>
        <v/>
      </c>
      <c r="P106" s="17">
        <f>IF('Advanced Entry'!P106="","",IFERROR(MAX(0,MIN(10,ROUND(IF('Advanced Entry'!P$8="Decrease Risk",10-10*((IF('Advanced Entry'!P$5="Logarithm",LN(0.001+'Advanced Entry'!P106),IF('Advanced Entry'!P$5="Exponential",EXP('Advanced Entry'!P106),'Advanced Entry'!P106)))-'Advanced Entry'!P$6)/('Advanced Entry'!P$7-'Advanced Entry'!P$6),10*((IF('Advanced Entry'!P$5="Logarithm",LN(0.001+'Advanced Entry'!P106),IF('Advanced Entry'!P$5="Exponential",EXP('Advanced Entry'!P106),'Advanced Entry'!P106)))-'Advanced Entry'!P$6)/('Advanced Entry'!P$7-'Advanced Entry'!P$6)),1))),"No data"))</f>
        <v/>
      </c>
      <c r="Q106" s="17">
        <f>IF('Advanced Entry'!Q106="","",IFERROR(MAX(0,MIN(10,ROUND(IF('Advanced Entry'!Q$8="Decrease Risk",10-10*((IF('Advanced Entry'!Q$5="Logarithm",LN(0.001+'Advanced Entry'!Q106),IF('Advanced Entry'!Q$5="Exponential",EXP('Advanced Entry'!Q106),'Advanced Entry'!Q106)))-'Advanced Entry'!Q$6)/('Advanced Entry'!Q$7-'Advanced Entry'!Q$6),10*((IF('Advanced Entry'!Q$5="Logarithm",LN(0.001+'Advanced Entry'!Q106),IF('Advanced Entry'!Q$5="Exponential",EXP('Advanced Entry'!Q106),'Advanced Entry'!Q106)))-'Advanced Entry'!Q$6)/('Advanced Entry'!Q$7-'Advanced Entry'!Q$6)),1))),"No data"))</f>
        <v/>
      </c>
      <c r="R106" s="17">
        <f>IF('Advanced Entry'!R106="","",IFERROR(MAX(0,MIN(10,ROUND(IF('Advanced Entry'!R$8="Decrease Risk",10-10*((IF('Advanced Entry'!R$5="Logarithm",LN(0.001+'Advanced Entry'!R106),IF('Advanced Entry'!R$5="Exponential",EXP('Advanced Entry'!R106),'Advanced Entry'!R106)))-'Advanced Entry'!R$6)/('Advanced Entry'!R$7-'Advanced Entry'!R$6),10*((IF('Advanced Entry'!R$5="Logarithm",LN(0.001+'Advanced Entry'!R106),IF('Advanced Entry'!R$5="Exponential",EXP('Advanced Entry'!R106),'Advanced Entry'!R106)))-'Advanced Entry'!R$6)/('Advanced Entry'!R$7-'Advanced Entry'!R$6)),1))),"No data"))</f>
        <v/>
      </c>
      <c r="S106" s="17">
        <f>IF('Advanced Entry'!S106="","",IFERROR(MAX(0,MIN(10,ROUND(IF('Advanced Entry'!S$8="Decrease Risk",10-10*((IF('Advanced Entry'!S$5="Logarithm",LN(0.001+'Advanced Entry'!S106),IF('Advanced Entry'!S$5="Exponential",EXP('Advanced Entry'!S106),'Advanced Entry'!S106)))-'Advanced Entry'!S$6)/('Advanced Entry'!S$7-'Advanced Entry'!S$6),10*((IF('Advanced Entry'!S$5="Logarithm",LN(0.001+'Advanced Entry'!S106),IF('Advanced Entry'!S$5="Exponential",EXP('Advanced Entry'!S106),'Advanced Entry'!S106)))-'Advanced Entry'!S$6)/('Advanced Entry'!S$7-'Advanced Entry'!S$6)),1))),"No data"))</f>
        <v/>
      </c>
      <c r="T106" s="17">
        <f>IF('Advanced Entry'!T106="","",IFERROR(MAX(0,MIN(10,ROUND(IF('Advanced Entry'!T$8="Decrease Risk",10-10*((IF('Advanced Entry'!T$5="Logarithm",LN(0.001+'Advanced Entry'!T106),IF('Advanced Entry'!T$5="Exponential",EXP('Advanced Entry'!T106),'Advanced Entry'!T106)))-'Advanced Entry'!T$6)/('Advanced Entry'!T$7-'Advanced Entry'!T$6),10*((IF('Advanced Entry'!T$5="Logarithm",LN(0.001+'Advanced Entry'!T106),IF('Advanced Entry'!T$5="Exponential",EXP('Advanced Entry'!T106),'Advanced Entry'!T106)))-'Advanced Entry'!T$6)/('Advanced Entry'!T$7-'Advanced Entry'!T$6)),1))),"No data"))</f>
        <v/>
      </c>
      <c r="U106" s="17">
        <f>IF('Advanced Entry'!U106="","",IFERROR(MAX(0,MIN(10,ROUND(IF('Advanced Entry'!U$8="Decrease Risk",10-10*((IF('Advanced Entry'!U$5="Logarithm",LN(0.001+'Advanced Entry'!U106),IF('Advanced Entry'!U$5="Exponential",EXP('Advanced Entry'!U106),'Advanced Entry'!U106)))-'Advanced Entry'!U$6)/('Advanced Entry'!U$7-'Advanced Entry'!U$6),10*((IF('Advanced Entry'!U$5="Logarithm",LN(0.001+'Advanced Entry'!U106),IF('Advanced Entry'!U$5="Exponential",EXP('Advanced Entry'!U106),'Advanced Entry'!U106)))-'Advanced Entry'!U$6)/('Advanced Entry'!U$7-'Advanced Entry'!U$6)),1))),"No data"))</f>
        <v/>
      </c>
      <c r="V106" s="17">
        <f>IF('Advanced Entry'!V106="","",IFERROR(MAX(0,MIN(10,ROUND(IF('Advanced Entry'!V$8="Decrease Risk",10-10*((IF('Advanced Entry'!V$5="Logarithm",LN(0.001+'Advanced Entry'!V106),IF('Advanced Entry'!V$5="Exponential",EXP('Advanced Entry'!V106),'Advanced Entry'!V106)))-'Advanced Entry'!V$6)/('Advanced Entry'!V$7-'Advanced Entry'!V$6),10*((IF('Advanced Entry'!V$5="Logarithm",LN(0.001+'Advanced Entry'!V106),IF('Advanced Entry'!V$5="Exponential",EXP('Advanced Entry'!V106),'Advanced Entry'!V106)))-'Advanced Entry'!V$6)/('Advanced Entry'!V$7-'Advanced Entry'!V$6)),1))),"No data"))</f>
        <v/>
      </c>
      <c r="W106" s="17">
        <f>IF('Advanced Entry'!W106="","",IFERROR(MAX(0,MIN(10,ROUND(IF('Advanced Entry'!W$8="Decrease Risk",10-10*((IF('Advanced Entry'!W$5="Logarithm",LN(0.001+'Advanced Entry'!W106),IF('Advanced Entry'!W$5="Exponential",EXP('Advanced Entry'!W106),'Advanced Entry'!W106)))-'Advanced Entry'!W$6)/('Advanced Entry'!W$7-'Advanced Entry'!W$6),10*((IF('Advanced Entry'!W$5="Logarithm",LN(0.001+'Advanced Entry'!W106),IF('Advanced Entry'!W$5="Exponential",EXP('Advanced Entry'!W106),'Advanced Entry'!W106)))-'Advanced Entry'!W$6)/('Advanced Entry'!W$7-'Advanced Entry'!W$6)),1))),"No data"))</f>
        <v/>
      </c>
      <c r="X106" s="17">
        <f>IF('Advanced Entry'!X106="","",IFERROR(MAX(0,MIN(10,ROUND(IF('Advanced Entry'!X$8="Decrease Risk",10-10*((IF('Advanced Entry'!X$5="Logarithm",LN(0.001+'Advanced Entry'!X106),IF('Advanced Entry'!X$5="Exponential",EXP('Advanced Entry'!X106),'Advanced Entry'!X106)))-'Advanced Entry'!X$6)/('Advanced Entry'!X$7-'Advanced Entry'!X$6),10*((IF('Advanced Entry'!X$5="Logarithm",LN(0.001+'Advanced Entry'!X106),IF('Advanced Entry'!X$5="Exponential",EXP('Advanced Entry'!X106),'Advanced Entry'!X106)))-'Advanced Entry'!X$6)/('Advanced Entry'!X$7-'Advanced Entry'!X$6)),1))),"No data"))</f>
        <v/>
      </c>
      <c r="Y106" s="17">
        <f>IF('Advanced Entry'!Y106="","",IFERROR(MAX(0,MIN(10,ROUND(IF('Advanced Entry'!Y$8="Decrease Risk",10-10*((IF('Advanced Entry'!Y$5="Logarithm",LN(0.001+'Advanced Entry'!Y106),IF('Advanced Entry'!Y$5="Exponential",EXP('Advanced Entry'!Y106),'Advanced Entry'!Y106)))-'Advanced Entry'!Y$6)/('Advanced Entry'!Y$7-'Advanced Entry'!Y$6),10*((IF('Advanced Entry'!Y$5="Logarithm",LN(0.001+'Advanced Entry'!Y106),IF('Advanced Entry'!Y$5="Exponential",EXP('Advanced Entry'!Y106),'Advanced Entry'!Y106)))-'Advanced Entry'!Y$6)/('Advanced Entry'!Y$7-'Advanced Entry'!Y$6)),1))),"No data"))</f>
        <v/>
      </c>
      <c r="Z106" s="17">
        <f>IF('Advanced Entry'!Z106="","",IFERROR(MAX(0,MIN(10,ROUND(IF('Advanced Entry'!Z$8="Decrease Risk",10-10*((IF('Advanced Entry'!Z$5="Logarithm",LN(0.001+'Advanced Entry'!Z106),IF('Advanced Entry'!Z$5="Exponential",EXP('Advanced Entry'!Z106),'Advanced Entry'!Z106)))-'Advanced Entry'!Z$6)/('Advanced Entry'!Z$7-'Advanced Entry'!Z$6),10*((IF('Advanced Entry'!Z$5="Logarithm",LN(0.001+'Advanced Entry'!Z106),IF('Advanced Entry'!Z$5="Exponential",EXP('Advanced Entry'!Z106),'Advanced Entry'!Z106)))-'Advanced Entry'!Z$6)/('Advanced Entry'!Z$7-'Advanced Entry'!Z$6)),1))),"No data"))</f>
        <v/>
      </c>
      <c r="AA106" s="17">
        <f>IF('Advanced Entry'!AA106="","",IFERROR(MAX(0,MIN(10,ROUND(IF('Advanced Entry'!AA$8="Decrease Risk",10-10*((IF('Advanced Entry'!AA$5="Logarithm",LN(0.001+'Advanced Entry'!AA106),IF('Advanced Entry'!AA$5="Exponential",EXP('Advanced Entry'!AA106),'Advanced Entry'!AA106)))-'Advanced Entry'!AA$6)/('Advanced Entry'!AA$7-'Advanced Entry'!AA$6),10*((IF('Advanced Entry'!AA$5="Logarithm",LN(0.001+'Advanced Entry'!AA106),IF('Advanced Entry'!AA$5="Exponential",EXP('Advanced Entry'!AA106),'Advanced Entry'!AA106)))-'Advanced Entry'!AA$6)/('Advanced Entry'!AA$7-'Advanced Entry'!AA$6)),1))),"No data"))</f>
        <v/>
      </c>
      <c r="AB106" s="17">
        <f>IF('Advanced Entry'!AB106="","",IFERROR(MAX(0,MIN(10,ROUND(IF('Advanced Entry'!AB$8="Decrease Risk",10-10*((IF('Advanced Entry'!AB$5="Logarithm",LN(0.001+'Advanced Entry'!AB106),IF('Advanced Entry'!AB$5="Exponential",EXP('Advanced Entry'!AB106),'Advanced Entry'!AB106)))-'Advanced Entry'!AB$6)/('Advanced Entry'!AB$7-'Advanced Entry'!AB$6),10*((IF('Advanced Entry'!AB$5="Logarithm",LN(0.001+'Advanced Entry'!AB106),IF('Advanced Entry'!AB$5="Exponential",EXP('Advanced Entry'!AB106),'Advanced Entry'!AB106)))-'Advanced Entry'!AB$6)/('Advanced Entry'!AB$7-'Advanced Entry'!AB$6)),1))),"No data"))</f>
        <v/>
      </c>
    </row>
    <row r="107">
      <c r="A107" t="inlineStr">
        <is>
          <t>Mjini Magharibi</t>
        </is>
      </c>
      <c r="B107" t="inlineStr">
        <is>
          <t>Magharibi A Municipal</t>
        </is>
      </c>
      <c r="C107" t="inlineStr">
        <is>
          <t>C190</t>
        </is>
      </c>
      <c r="D107" s="17">
        <f>IF('Advanced Entry'!D107="","",IFERROR(MAX(0,MIN(10,ROUND(IF('Advanced Entry'!D$8="Decrease Risk",10-10*((IF('Advanced Entry'!D$5="Logarithm",LN(0.001+'Advanced Entry'!D107),IF('Advanced Entry'!D$5="Exponential",EXP('Advanced Entry'!D107),'Advanced Entry'!D107)))-'Advanced Entry'!D$6)/('Advanced Entry'!D$7-'Advanced Entry'!D$6),10*((IF('Advanced Entry'!D$5="Logarithm",LN(0.001+'Advanced Entry'!D107),IF('Advanced Entry'!D$5="Exponential",EXP('Advanced Entry'!D107),'Advanced Entry'!D107)))-'Advanced Entry'!D$6)/('Advanced Entry'!D$7-'Advanced Entry'!D$6)),1))),"No data"))</f>
        <v/>
      </c>
      <c r="E107" s="17">
        <f>IF('Advanced Entry'!E107="","",IFERROR(MAX(0,MIN(10,ROUND(IF('Advanced Entry'!E$8="Decrease Risk",10-10*((IF('Advanced Entry'!E$5="Logarithm",LN(0.001+'Advanced Entry'!E107),IF('Advanced Entry'!E$5="Exponential",EXP('Advanced Entry'!E107),'Advanced Entry'!E107)))-'Advanced Entry'!E$6)/('Advanced Entry'!E$7-'Advanced Entry'!E$6),10*((IF('Advanced Entry'!E$5="Logarithm",LN(0.001+'Advanced Entry'!E107),IF('Advanced Entry'!E$5="Exponential",EXP('Advanced Entry'!E107),'Advanced Entry'!E107)))-'Advanced Entry'!E$6)/('Advanced Entry'!E$7-'Advanced Entry'!E$6)),1))),"No data"))</f>
        <v/>
      </c>
      <c r="F107" s="17">
        <f>IF('Advanced Entry'!F107="","",IFERROR(MAX(0,MIN(10,ROUND(IF('Advanced Entry'!F$8="Decrease Risk",10-10*((IF('Advanced Entry'!F$5="Logarithm",LN(0.001+'Advanced Entry'!F107),IF('Advanced Entry'!F$5="Exponential",EXP('Advanced Entry'!F107),'Advanced Entry'!F107)))-'Advanced Entry'!F$6)/('Advanced Entry'!F$7-'Advanced Entry'!F$6),10*((IF('Advanced Entry'!F$5="Logarithm",LN(0.001+'Advanced Entry'!F107),IF('Advanced Entry'!F$5="Exponential",EXP('Advanced Entry'!F107),'Advanced Entry'!F107)))-'Advanced Entry'!F$6)/('Advanced Entry'!F$7-'Advanced Entry'!F$6)),1))),"No data"))</f>
        <v/>
      </c>
      <c r="G107" s="17">
        <f>IF('Advanced Entry'!G107="","",IFERROR(MAX(0,MIN(10,ROUND(IF('Advanced Entry'!G$8="Decrease Risk",10-10*((IF('Advanced Entry'!G$5="Logarithm",LN(0.001+'Advanced Entry'!G107),IF('Advanced Entry'!G$5="Exponential",EXP('Advanced Entry'!G107),'Advanced Entry'!G107)))-'Advanced Entry'!G$6)/('Advanced Entry'!G$7-'Advanced Entry'!G$6),10*((IF('Advanced Entry'!G$5="Logarithm",LN(0.001+'Advanced Entry'!G107),IF('Advanced Entry'!G$5="Exponential",EXP('Advanced Entry'!G107),'Advanced Entry'!G107)))-'Advanced Entry'!G$6)/('Advanced Entry'!G$7-'Advanced Entry'!G$6)),1))),"No data"))</f>
        <v/>
      </c>
      <c r="H107" s="17">
        <f>IF('Advanced Entry'!H107="","",IFERROR(MAX(0,MIN(10,ROUND(IF('Advanced Entry'!H$8="Decrease Risk",10-10*((IF('Advanced Entry'!H$5="Logarithm",LN(0.001+'Advanced Entry'!H107),IF('Advanced Entry'!H$5="Exponential",EXP('Advanced Entry'!H107),'Advanced Entry'!H107)))-'Advanced Entry'!H$6)/('Advanced Entry'!H$7-'Advanced Entry'!H$6),10*((IF('Advanced Entry'!H$5="Logarithm",LN(0.001+'Advanced Entry'!H107),IF('Advanced Entry'!H$5="Exponential",EXP('Advanced Entry'!H107),'Advanced Entry'!H107)))-'Advanced Entry'!H$6)/('Advanced Entry'!H$7-'Advanced Entry'!H$6)),1))),"No data"))</f>
        <v/>
      </c>
      <c r="I107" s="17">
        <f>IF('Advanced Entry'!I107="","",IFERROR(MAX(0,MIN(10,ROUND(IF('Advanced Entry'!I$8="Decrease Risk",10-10*((IF('Advanced Entry'!I$5="Logarithm",LN(0.001+'Advanced Entry'!I107),IF('Advanced Entry'!I$5="Exponential",EXP('Advanced Entry'!I107),'Advanced Entry'!I107)))-'Advanced Entry'!I$6)/('Advanced Entry'!I$7-'Advanced Entry'!I$6),10*((IF('Advanced Entry'!I$5="Logarithm",LN(0.001+'Advanced Entry'!I107),IF('Advanced Entry'!I$5="Exponential",EXP('Advanced Entry'!I107),'Advanced Entry'!I107)))-'Advanced Entry'!I$6)/('Advanced Entry'!I$7-'Advanced Entry'!I$6)),1))),"No data"))</f>
        <v/>
      </c>
      <c r="J107" s="17">
        <f>IF('Advanced Entry'!J107="","",IFERROR(MAX(0,MIN(10,ROUND(IF('Advanced Entry'!J$8="Decrease Risk",10-10*((IF('Advanced Entry'!J$5="Logarithm",LN(0.001+'Advanced Entry'!J107),IF('Advanced Entry'!J$5="Exponential",EXP('Advanced Entry'!J107),'Advanced Entry'!J107)))-'Advanced Entry'!J$6)/('Advanced Entry'!J$7-'Advanced Entry'!J$6),10*((IF('Advanced Entry'!J$5="Logarithm",LN(0.001+'Advanced Entry'!J107),IF('Advanced Entry'!J$5="Exponential",EXP('Advanced Entry'!J107),'Advanced Entry'!J107)))-'Advanced Entry'!J$6)/('Advanced Entry'!J$7-'Advanced Entry'!J$6)),1))),"No data"))</f>
        <v/>
      </c>
      <c r="K107" s="17">
        <f>IF('Advanced Entry'!K107="","",IFERROR(MAX(0,MIN(10,ROUND(IF('Advanced Entry'!K$8="Decrease Risk",10-10*((IF('Advanced Entry'!K$5="Logarithm",LN(0.001+'Advanced Entry'!K107),IF('Advanced Entry'!K$5="Exponential",EXP('Advanced Entry'!K107),'Advanced Entry'!K107)))-'Advanced Entry'!K$6)/('Advanced Entry'!K$7-'Advanced Entry'!K$6),10*((IF('Advanced Entry'!K$5="Logarithm",LN(0.001+'Advanced Entry'!K107),IF('Advanced Entry'!K$5="Exponential",EXP('Advanced Entry'!K107),'Advanced Entry'!K107)))-'Advanced Entry'!K$6)/('Advanced Entry'!K$7-'Advanced Entry'!K$6)),1))),"No data"))</f>
        <v/>
      </c>
      <c r="L107" s="17">
        <f>IF('Advanced Entry'!L107="","",IFERROR(MAX(0,MIN(10,ROUND(IF('Advanced Entry'!L$8="Decrease Risk",10-10*((IF('Advanced Entry'!L$5="Logarithm",LN(0.001+'Advanced Entry'!L107),IF('Advanced Entry'!L$5="Exponential",EXP('Advanced Entry'!L107),'Advanced Entry'!L107)))-'Advanced Entry'!L$6)/('Advanced Entry'!L$7-'Advanced Entry'!L$6),10*((IF('Advanced Entry'!L$5="Logarithm",LN(0.001+'Advanced Entry'!L107),IF('Advanced Entry'!L$5="Exponential",EXP('Advanced Entry'!L107),'Advanced Entry'!L107)))-'Advanced Entry'!L$6)/('Advanced Entry'!L$7-'Advanced Entry'!L$6)),1))),"No data"))</f>
        <v/>
      </c>
      <c r="M107" s="17">
        <f>IF('Advanced Entry'!M107="","",IFERROR(MAX(0,MIN(10,ROUND(IF('Advanced Entry'!M$8="Decrease Risk",10-10*((IF('Advanced Entry'!M$5="Logarithm",LN(0.001+'Advanced Entry'!M107),IF('Advanced Entry'!M$5="Exponential",EXP('Advanced Entry'!M107),'Advanced Entry'!M107)))-'Advanced Entry'!M$6)/('Advanced Entry'!M$7-'Advanced Entry'!M$6),10*((IF('Advanced Entry'!M$5="Logarithm",LN(0.001+'Advanced Entry'!M107),IF('Advanced Entry'!M$5="Exponential",EXP('Advanced Entry'!M107),'Advanced Entry'!M107)))-'Advanced Entry'!M$6)/('Advanced Entry'!M$7-'Advanced Entry'!M$6)),1))),"No data"))</f>
        <v/>
      </c>
      <c r="N107" s="17">
        <f>IF('Advanced Entry'!N107="","",IFERROR(MAX(0,MIN(10,ROUND(IF('Advanced Entry'!N$8="Decrease Risk",10-10*((IF('Advanced Entry'!N$5="Logarithm",LN(0.001+'Advanced Entry'!N107),IF('Advanced Entry'!N$5="Exponential",EXP('Advanced Entry'!N107),'Advanced Entry'!N107)))-'Advanced Entry'!N$6)/('Advanced Entry'!N$7-'Advanced Entry'!N$6),10*((IF('Advanced Entry'!N$5="Logarithm",LN(0.001+'Advanced Entry'!N107),IF('Advanced Entry'!N$5="Exponential",EXP('Advanced Entry'!N107),'Advanced Entry'!N107)))-'Advanced Entry'!N$6)/('Advanced Entry'!N$7-'Advanced Entry'!N$6)),1))),"No data"))</f>
        <v/>
      </c>
      <c r="O107" s="17">
        <f>IF('Advanced Entry'!O107="","",IFERROR(MAX(0,MIN(10,ROUND(IF('Advanced Entry'!O$8="Decrease Risk",10-10*((IF('Advanced Entry'!O$5="Logarithm",LN(0.001+'Advanced Entry'!O107),IF('Advanced Entry'!O$5="Exponential",EXP('Advanced Entry'!O107),'Advanced Entry'!O107)))-'Advanced Entry'!O$6)/('Advanced Entry'!O$7-'Advanced Entry'!O$6),10*((IF('Advanced Entry'!O$5="Logarithm",LN(0.001+'Advanced Entry'!O107),IF('Advanced Entry'!O$5="Exponential",EXP('Advanced Entry'!O107),'Advanced Entry'!O107)))-'Advanced Entry'!O$6)/('Advanced Entry'!O$7-'Advanced Entry'!O$6)),1))),"No data"))</f>
        <v/>
      </c>
      <c r="P107" s="17">
        <f>IF('Advanced Entry'!P107="","",IFERROR(MAX(0,MIN(10,ROUND(IF('Advanced Entry'!P$8="Decrease Risk",10-10*((IF('Advanced Entry'!P$5="Logarithm",LN(0.001+'Advanced Entry'!P107),IF('Advanced Entry'!P$5="Exponential",EXP('Advanced Entry'!P107),'Advanced Entry'!P107)))-'Advanced Entry'!P$6)/('Advanced Entry'!P$7-'Advanced Entry'!P$6),10*((IF('Advanced Entry'!P$5="Logarithm",LN(0.001+'Advanced Entry'!P107),IF('Advanced Entry'!P$5="Exponential",EXP('Advanced Entry'!P107),'Advanced Entry'!P107)))-'Advanced Entry'!P$6)/('Advanced Entry'!P$7-'Advanced Entry'!P$6)),1))),"No data"))</f>
        <v/>
      </c>
      <c r="Q107" s="17">
        <f>IF('Advanced Entry'!Q107="","",IFERROR(MAX(0,MIN(10,ROUND(IF('Advanced Entry'!Q$8="Decrease Risk",10-10*((IF('Advanced Entry'!Q$5="Logarithm",LN(0.001+'Advanced Entry'!Q107),IF('Advanced Entry'!Q$5="Exponential",EXP('Advanced Entry'!Q107),'Advanced Entry'!Q107)))-'Advanced Entry'!Q$6)/('Advanced Entry'!Q$7-'Advanced Entry'!Q$6),10*((IF('Advanced Entry'!Q$5="Logarithm",LN(0.001+'Advanced Entry'!Q107),IF('Advanced Entry'!Q$5="Exponential",EXP('Advanced Entry'!Q107),'Advanced Entry'!Q107)))-'Advanced Entry'!Q$6)/('Advanced Entry'!Q$7-'Advanced Entry'!Q$6)),1))),"No data"))</f>
        <v/>
      </c>
      <c r="R107" s="17">
        <f>IF('Advanced Entry'!R107="","",IFERROR(MAX(0,MIN(10,ROUND(IF('Advanced Entry'!R$8="Decrease Risk",10-10*((IF('Advanced Entry'!R$5="Logarithm",LN(0.001+'Advanced Entry'!R107),IF('Advanced Entry'!R$5="Exponential",EXP('Advanced Entry'!R107),'Advanced Entry'!R107)))-'Advanced Entry'!R$6)/('Advanced Entry'!R$7-'Advanced Entry'!R$6),10*((IF('Advanced Entry'!R$5="Logarithm",LN(0.001+'Advanced Entry'!R107),IF('Advanced Entry'!R$5="Exponential",EXP('Advanced Entry'!R107),'Advanced Entry'!R107)))-'Advanced Entry'!R$6)/('Advanced Entry'!R$7-'Advanced Entry'!R$6)),1))),"No data"))</f>
        <v/>
      </c>
      <c r="S107" s="17">
        <f>IF('Advanced Entry'!S107="","",IFERROR(MAX(0,MIN(10,ROUND(IF('Advanced Entry'!S$8="Decrease Risk",10-10*((IF('Advanced Entry'!S$5="Logarithm",LN(0.001+'Advanced Entry'!S107),IF('Advanced Entry'!S$5="Exponential",EXP('Advanced Entry'!S107),'Advanced Entry'!S107)))-'Advanced Entry'!S$6)/('Advanced Entry'!S$7-'Advanced Entry'!S$6),10*((IF('Advanced Entry'!S$5="Logarithm",LN(0.001+'Advanced Entry'!S107),IF('Advanced Entry'!S$5="Exponential",EXP('Advanced Entry'!S107),'Advanced Entry'!S107)))-'Advanced Entry'!S$6)/('Advanced Entry'!S$7-'Advanced Entry'!S$6)),1))),"No data"))</f>
        <v/>
      </c>
      <c r="T107" s="17">
        <f>IF('Advanced Entry'!T107="","",IFERROR(MAX(0,MIN(10,ROUND(IF('Advanced Entry'!T$8="Decrease Risk",10-10*((IF('Advanced Entry'!T$5="Logarithm",LN(0.001+'Advanced Entry'!T107),IF('Advanced Entry'!T$5="Exponential",EXP('Advanced Entry'!T107),'Advanced Entry'!T107)))-'Advanced Entry'!T$6)/('Advanced Entry'!T$7-'Advanced Entry'!T$6),10*((IF('Advanced Entry'!T$5="Logarithm",LN(0.001+'Advanced Entry'!T107),IF('Advanced Entry'!T$5="Exponential",EXP('Advanced Entry'!T107),'Advanced Entry'!T107)))-'Advanced Entry'!T$6)/('Advanced Entry'!T$7-'Advanced Entry'!T$6)),1))),"No data"))</f>
        <v/>
      </c>
      <c r="U107" s="17">
        <f>IF('Advanced Entry'!U107="","",IFERROR(MAX(0,MIN(10,ROUND(IF('Advanced Entry'!U$8="Decrease Risk",10-10*((IF('Advanced Entry'!U$5="Logarithm",LN(0.001+'Advanced Entry'!U107),IF('Advanced Entry'!U$5="Exponential",EXP('Advanced Entry'!U107),'Advanced Entry'!U107)))-'Advanced Entry'!U$6)/('Advanced Entry'!U$7-'Advanced Entry'!U$6),10*((IF('Advanced Entry'!U$5="Logarithm",LN(0.001+'Advanced Entry'!U107),IF('Advanced Entry'!U$5="Exponential",EXP('Advanced Entry'!U107),'Advanced Entry'!U107)))-'Advanced Entry'!U$6)/('Advanced Entry'!U$7-'Advanced Entry'!U$6)),1))),"No data"))</f>
        <v/>
      </c>
      <c r="V107" s="17">
        <f>IF('Advanced Entry'!V107="","",IFERROR(MAX(0,MIN(10,ROUND(IF('Advanced Entry'!V$8="Decrease Risk",10-10*((IF('Advanced Entry'!V$5="Logarithm",LN(0.001+'Advanced Entry'!V107),IF('Advanced Entry'!V$5="Exponential",EXP('Advanced Entry'!V107),'Advanced Entry'!V107)))-'Advanced Entry'!V$6)/('Advanced Entry'!V$7-'Advanced Entry'!V$6),10*((IF('Advanced Entry'!V$5="Logarithm",LN(0.001+'Advanced Entry'!V107),IF('Advanced Entry'!V$5="Exponential",EXP('Advanced Entry'!V107),'Advanced Entry'!V107)))-'Advanced Entry'!V$6)/('Advanced Entry'!V$7-'Advanced Entry'!V$6)),1))),"No data"))</f>
        <v/>
      </c>
      <c r="W107" s="17">
        <f>IF('Advanced Entry'!W107="","",IFERROR(MAX(0,MIN(10,ROUND(IF('Advanced Entry'!W$8="Decrease Risk",10-10*((IF('Advanced Entry'!W$5="Logarithm",LN(0.001+'Advanced Entry'!W107),IF('Advanced Entry'!W$5="Exponential",EXP('Advanced Entry'!W107),'Advanced Entry'!W107)))-'Advanced Entry'!W$6)/('Advanced Entry'!W$7-'Advanced Entry'!W$6),10*((IF('Advanced Entry'!W$5="Logarithm",LN(0.001+'Advanced Entry'!W107),IF('Advanced Entry'!W$5="Exponential",EXP('Advanced Entry'!W107),'Advanced Entry'!W107)))-'Advanced Entry'!W$6)/('Advanced Entry'!W$7-'Advanced Entry'!W$6)),1))),"No data"))</f>
        <v/>
      </c>
      <c r="X107" s="17">
        <f>IF('Advanced Entry'!X107="","",IFERROR(MAX(0,MIN(10,ROUND(IF('Advanced Entry'!X$8="Decrease Risk",10-10*((IF('Advanced Entry'!X$5="Logarithm",LN(0.001+'Advanced Entry'!X107),IF('Advanced Entry'!X$5="Exponential",EXP('Advanced Entry'!X107),'Advanced Entry'!X107)))-'Advanced Entry'!X$6)/('Advanced Entry'!X$7-'Advanced Entry'!X$6),10*((IF('Advanced Entry'!X$5="Logarithm",LN(0.001+'Advanced Entry'!X107),IF('Advanced Entry'!X$5="Exponential",EXP('Advanced Entry'!X107),'Advanced Entry'!X107)))-'Advanced Entry'!X$6)/('Advanced Entry'!X$7-'Advanced Entry'!X$6)),1))),"No data"))</f>
        <v/>
      </c>
      <c r="Y107" s="17">
        <f>IF('Advanced Entry'!Y107="","",IFERROR(MAX(0,MIN(10,ROUND(IF('Advanced Entry'!Y$8="Decrease Risk",10-10*((IF('Advanced Entry'!Y$5="Logarithm",LN(0.001+'Advanced Entry'!Y107),IF('Advanced Entry'!Y$5="Exponential",EXP('Advanced Entry'!Y107),'Advanced Entry'!Y107)))-'Advanced Entry'!Y$6)/('Advanced Entry'!Y$7-'Advanced Entry'!Y$6),10*((IF('Advanced Entry'!Y$5="Logarithm",LN(0.001+'Advanced Entry'!Y107),IF('Advanced Entry'!Y$5="Exponential",EXP('Advanced Entry'!Y107),'Advanced Entry'!Y107)))-'Advanced Entry'!Y$6)/('Advanced Entry'!Y$7-'Advanced Entry'!Y$6)),1))),"No data"))</f>
        <v/>
      </c>
      <c r="Z107" s="17">
        <f>IF('Advanced Entry'!Z107="","",IFERROR(MAX(0,MIN(10,ROUND(IF('Advanced Entry'!Z$8="Decrease Risk",10-10*((IF('Advanced Entry'!Z$5="Logarithm",LN(0.001+'Advanced Entry'!Z107),IF('Advanced Entry'!Z$5="Exponential",EXP('Advanced Entry'!Z107),'Advanced Entry'!Z107)))-'Advanced Entry'!Z$6)/('Advanced Entry'!Z$7-'Advanced Entry'!Z$6),10*((IF('Advanced Entry'!Z$5="Logarithm",LN(0.001+'Advanced Entry'!Z107),IF('Advanced Entry'!Z$5="Exponential",EXP('Advanced Entry'!Z107),'Advanced Entry'!Z107)))-'Advanced Entry'!Z$6)/('Advanced Entry'!Z$7-'Advanced Entry'!Z$6)),1))),"No data"))</f>
        <v/>
      </c>
      <c r="AA107" s="17">
        <f>IF('Advanced Entry'!AA107="","",IFERROR(MAX(0,MIN(10,ROUND(IF('Advanced Entry'!AA$8="Decrease Risk",10-10*((IF('Advanced Entry'!AA$5="Logarithm",LN(0.001+'Advanced Entry'!AA107),IF('Advanced Entry'!AA$5="Exponential",EXP('Advanced Entry'!AA107),'Advanced Entry'!AA107)))-'Advanced Entry'!AA$6)/('Advanced Entry'!AA$7-'Advanced Entry'!AA$6),10*((IF('Advanced Entry'!AA$5="Logarithm",LN(0.001+'Advanced Entry'!AA107),IF('Advanced Entry'!AA$5="Exponential",EXP('Advanced Entry'!AA107),'Advanced Entry'!AA107)))-'Advanced Entry'!AA$6)/('Advanced Entry'!AA$7-'Advanced Entry'!AA$6)),1))),"No data"))</f>
        <v/>
      </c>
      <c r="AB107" s="17">
        <f>IF('Advanced Entry'!AB107="","",IFERROR(MAX(0,MIN(10,ROUND(IF('Advanced Entry'!AB$8="Decrease Risk",10-10*((IF('Advanced Entry'!AB$5="Logarithm",LN(0.001+'Advanced Entry'!AB107),IF('Advanced Entry'!AB$5="Exponential",EXP('Advanced Entry'!AB107),'Advanced Entry'!AB107)))-'Advanced Entry'!AB$6)/('Advanced Entry'!AB$7-'Advanced Entry'!AB$6),10*((IF('Advanced Entry'!AB$5="Logarithm",LN(0.001+'Advanced Entry'!AB107),IF('Advanced Entry'!AB$5="Exponential",EXP('Advanced Entry'!AB107),'Advanced Entry'!AB107)))-'Advanced Entry'!AB$6)/('Advanced Entry'!AB$7-'Advanced Entry'!AB$6)),1))),"No data"))</f>
        <v/>
      </c>
    </row>
    <row r="108">
      <c r="A108" t="inlineStr">
        <is>
          <t>Mjini Magharibi</t>
        </is>
      </c>
      <c r="B108" t="inlineStr">
        <is>
          <t>Magharibi B Municipal</t>
        </is>
      </c>
      <c r="C108" t="inlineStr">
        <is>
          <t>C191</t>
        </is>
      </c>
      <c r="D108" s="17">
        <f>IF('Advanced Entry'!D108="","",IFERROR(MAX(0,MIN(10,ROUND(IF('Advanced Entry'!D$8="Decrease Risk",10-10*((IF('Advanced Entry'!D$5="Logarithm",LN(0.001+'Advanced Entry'!D108),IF('Advanced Entry'!D$5="Exponential",EXP('Advanced Entry'!D108),'Advanced Entry'!D108)))-'Advanced Entry'!D$6)/('Advanced Entry'!D$7-'Advanced Entry'!D$6),10*((IF('Advanced Entry'!D$5="Logarithm",LN(0.001+'Advanced Entry'!D108),IF('Advanced Entry'!D$5="Exponential",EXP('Advanced Entry'!D108),'Advanced Entry'!D108)))-'Advanced Entry'!D$6)/('Advanced Entry'!D$7-'Advanced Entry'!D$6)),1))),"No data"))</f>
        <v/>
      </c>
      <c r="E108" s="17">
        <f>IF('Advanced Entry'!E108="","",IFERROR(MAX(0,MIN(10,ROUND(IF('Advanced Entry'!E$8="Decrease Risk",10-10*((IF('Advanced Entry'!E$5="Logarithm",LN(0.001+'Advanced Entry'!E108),IF('Advanced Entry'!E$5="Exponential",EXP('Advanced Entry'!E108),'Advanced Entry'!E108)))-'Advanced Entry'!E$6)/('Advanced Entry'!E$7-'Advanced Entry'!E$6),10*((IF('Advanced Entry'!E$5="Logarithm",LN(0.001+'Advanced Entry'!E108),IF('Advanced Entry'!E$5="Exponential",EXP('Advanced Entry'!E108),'Advanced Entry'!E108)))-'Advanced Entry'!E$6)/('Advanced Entry'!E$7-'Advanced Entry'!E$6)),1))),"No data"))</f>
        <v/>
      </c>
      <c r="F108" s="17">
        <f>IF('Advanced Entry'!F108="","",IFERROR(MAX(0,MIN(10,ROUND(IF('Advanced Entry'!F$8="Decrease Risk",10-10*((IF('Advanced Entry'!F$5="Logarithm",LN(0.001+'Advanced Entry'!F108),IF('Advanced Entry'!F$5="Exponential",EXP('Advanced Entry'!F108),'Advanced Entry'!F108)))-'Advanced Entry'!F$6)/('Advanced Entry'!F$7-'Advanced Entry'!F$6),10*((IF('Advanced Entry'!F$5="Logarithm",LN(0.001+'Advanced Entry'!F108),IF('Advanced Entry'!F$5="Exponential",EXP('Advanced Entry'!F108),'Advanced Entry'!F108)))-'Advanced Entry'!F$6)/('Advanced Entry'!F$7-'Advanced Entry'!F$6)),1))),"No data"))</f>
        <v/>
      </c>
      <c r="G108" s="17">
        <f>IF('Advanced Entry'!G108="","",IFERROR(MAX(0,MIN(10,ROUND(IF('Advanced Entry'!G$8="Decrease Risk",10-10*((IF('Advanced Entry'!G$5="Logarithm",LN(0.001+'Advanced Entry'!G108),IF('Advanced Entry'!G$5="Exponential",EXP('Advanced Entry'!G108),'Advanced Entry'!G108)))-'Advanced Entry'!G$6)/('Advanced Entry'!G$7-'Advanced Entry'!G$6),10*((IF('Advanced Entry'!G$5="Logarithm",LN(0.001+'Advanced Entry'!G108),IF('Advanced Entry'!G$5="Exponential",EXP('Advanced Entry'!G108),'Advanced Entry'!G108)))-'Advanced Entry'!G$6)/('Advanced Entry'!G$7-'Advanced Entry'!G$6)),1))),"No data"))</f>
        <v/>
      </c>
      <c r="H108" s="17">
        <f>IF('Advanced Entry'!H108="","",IFERROR(MAX(0,MIN(10,ROUND(IF('Advanced Entry'!H$8="Decrease Risk",10-10*((IF('Advanced Entry'!H$5="Logarithm",LN(0.001+'Advanced Entry'!H108),IF('Advanced Entry'!H$5="Exponential",EXP('Advanced Entry'!H108),'Advanced Entry'!H108)))-'Advanced Entry'!H$6)/('Advanced Entry'!H$7-'Advanced Entry'!H$6),10*((IF('Advanced Entry'!H$5="Logarithm",LN(0.001+'Advanced Entry'!H108),IF('Advanced Entry'!H$5="Exponential",EXP('Advanced Entry'!H108),'Advanced Entry'!H108)))-'Advanced Entry'!H$6)/('Advanced Entry'!H$7-'Advanced Entry'!H$6)),1))),"No data"))</f>
        <v/>
      </c>
      <c r="I108" s="17">
        <f>IF('Advanced Entry'!I108="","",IFERROR(MAX(0,MIN(10,ROUND(IF('Advanced Entry'!I$8="Decrease Risk",10-10*((IF('Advanced Entry'!I$5="Logarithm",LN(0.001+'Advanced Entry'!I108),IF('Advanced Entry'!I$5="Exponential",EXP('Advanced Entry'!I108),'Advanced Entry'!I108)))-'Advanced Entry'!I$6)/('Advanced Entry'!I$7-'Advanced Entry'!I$6),10*((IF('Advanced Entry'!I$5="Logarithm",LN(0.001+'Advanced Entry'!I108),IF('Advanced Entry'!I$5="Exponential",EXP('Advanced Entry'!I108),'Advanced Entry'!I108)))-'Advanced Entry'!I$6)/('Advanced Entry'!I$7-'Advanced Entry'!I$6)),1))),"No data"))</f>
        <v/>
      </c>
      <c r="J108" s="17">
        <f>IF('Advanced Entry'!J108="","",IFERROR(MAX(0,MIN(10,ROUND(IF('Advanced Entry'!J$8="Decrease Risk",10-10*((IF('Advanced Entry'!J$5="Logarithm",LN(0.001+'Advanced Entry'!J108),IF('Advanced Entry'!J$5="Exponential",EXP('Advanced Entry'!J108),'Advanced Entry'!J108)))-'Advanced Entry'!J$6)/('Advanced Entry'!J$7-'Advanced Entry'!J$6),10*((IF('Advanced Entry'!J$5="Logarithm",LN(0.001+'Advanced Entry'!J108),IF('Advanced Entry'!J$5="Exponential",EXP('Advanced Entry'!J108),'Advanced Entry'!J108)))-'Advanced Entry'!J$6)/('Advanced Entry'!J$7-'Advanced Entry'!J$6)),1))),"No data"))</f>
        <v/>
      </c>
      <c r="K108" s="17">
        <f>IF('Advanced Entry'!K108="","",IFERROR(MAX(0,MIN(10,ROUND(IF('Advanced Entry'!K$8="Decrease Risk",10-10*((IF('Advanced Entry'!K$5="Logarithm",LN(0.001+'Advanced Entry'!K108),IF('Advanced Entry'!K$5="Exponential",EXP('Advanced Entry'!K108),'Advanced Entry'!K108)))-'Advanced Entry'!K$6)/('Advanced Entry'!K$7-'Advanced Entry'!K$6),10*((IF('Advanced Entry'!K$5="Logarithm",LN(0.001+'Advanced Entry'!K108),IF('Advanced Entry'!K$5="Exponential",EXP('Advanced Entry'!K108),'Advanced Entry'!K108)))-'Advanced Entry'!K$6)/('Advanced Entry'!K$7-'Advanced Entry'!K$6)),1))),"No data"))</f>
        <v/>
      </c>
      <c r="L108" s="17">
        <f>IF('Advanced Entry'!L108="","",IFERROR(MAX(0,MIN(10,ROUND(IF('Advanced Entry'!L$8="Decrease Risk",10-10*((IF('Advanced Entry'!L$5="Logarithm",LN(0.001+'Advanced Entry'!L108),IF('Advanced Entry'!L$5="Exponential",EXP('Advanced Entry'!L108),'Advanced Entry'!L108)))-'Advanced Entry'!L$6)/('Advanced Entry'!L$7-'Advanced Entry'!L$6),10*((IF('Advanced Entry'!L$5="Logarithm",LN(0.001+'Advanced Entry'!L108),IF('Advanced Entry'!L$5="Exponential",EXP('Advanced Entry'!L108),'Advanced Entry'!L108)))-'Advanced Entry'!L$6)/('Advanced Entry'!L$7-'Advanced Entry'!L$6)),1))),"No data"))</f>
        <v/>
      </c>
      <c r="M108" s="17">
        <f>IF('Advanced Entry'!M108="","",IFERROR(MAX(0,MIN(10,ROUND(IF('Advanced Entry'!M$8="Decrease Risk",10-10*((IF('Advanced Entry'!M$5="Logarithm",LN(0.001+'Advanced Entry'!M108),IF('Advanced Entry'!M$5="Exponential",EXP('Advanced Entry'!M108),'Advanced Entry'!M108)))-'Advanced Entry'!M$6)/('Advanced Entry'!M$7-'Advanced Entry'!M$6),10*((IF('Advanced Entry'!M$5="Logarithm",LN(0.001+'Advanced Entry'!M108),IF('Advanced Entry'!M$5="Exponential",EXP('Advanced Entry'!M108),'Advanced Entry'!M108)))-'Advanced Entry'!M$6)/('Advanced Entry'!M$7-'Advanced Entry'!M$6)),1))),"No data"))</f>
        <v/>
      </c>
      <c r="N108" s="17">
        <f>IF('Advanced Entry'!N108="","",IFERROR(MAX(0,MIN(10,ROUND(IF('Advanced Entry'!N$8="Decrease Risk",10-10*((IF('Advanced Entry'!N$5="Logarithm",LN(0.001+'Advanced Entry'!N108),IF('Advanced Entry'!N$5="Exponential",EXP('Advanced Entry'!N108),'Advanced Entry'!N108)))-'Advanced Entry'!N$6)/('Advanced Entry'!N$7-'Advanced Entry'!N$6),10*((IF('Advanced Entry'!N$5="Logarithm",LN(0.001+'Advanced Entry'!N108),IF('Advanced Entry'!N$5="Exponential",EXP('Advanced Entry'!N108),'Advanced Entry'!N108)))-'Advanced Entry'!N$6)/('Advanced Entry'!N$7-'Advanced Entry'!N$6)),1))),"No data"))</f>
        <v/>
      </c>
      <c r="O108" s="17">
        <f>IF('Advanced Entry'!O108="","",IFERROR(MAX(0,MIN(10,ROUND(IF('Advanced Entry'!O$8="Decrease Risk",10-10*((IF('Advanced Entry'!O$5="Logarithm",LN(0.001+'Advanced Entry'!O108),IF('Advanced Entry'!O$5="Exponential",EXP('Advanced Entry'!O108),'Advanced Entry'!O108)))-'Advanced Entry'!O$6)/('Advanced Entry'!O$7-'Advanced Entry'!O$6),10*((IF('Advanced Entry'!O$5="Logarithm",LN(0.001+'Advanced Entry'!O108),IF('Advanced Entry'!O$5="Exponential",EXP('Advanced Entry'!O108),'Advanced Entry'!O108)))-'Advanced Entry'!O$6)/('Advanced Entry'!O$7-'Advanced Entry'!O$6)),1))),"No data"))</f>
        <v/>
      </c>
      <c r="P108" s="17">
        <f>IF('Advanced Entry'!P108="","",IFERROR(MAX(0,MIN(10,ROUND(IF('Advanced Entry'!P$8="Decrease Risk",10-10*((IF('Advanced Entry'!P$5="Logarithm",LN(0.001+'Advanced Entry'!P108),IF('Advanced Entry'!P$5="Exponential",EXP('Advanced Entry'!P108),'Advanced Entry'!P108)))-'Advanced Entry'!P$6)/('Advanced Entry'!P$7-'Advanced Entry'!P$6),10*((IF('Advanced Entry'!P$5="Logarithm",LN(0.001+'Advanced Entry'!P108),IF('Advanced Entry'!P$5="Exponential",EXP('Advanced Entry'!P108),'Advanced Entry'!P108)))-'Advanced Entry'!P$6)/('Advanced Entry'!P$7-'Advanced Entry'!P$6)),1))),"No data"))</f>
        <v/>
      </c>
      <c r="Q108" s="17">
        <f>IF('Advanced Entry'!Q108="","",IFERROR(MAX(0,MIN(10,ROUND(IF('Advanced Entry'!Q$8="Decrease Risk",10-10*((IF('Advanced Entry'!Q$5="Logarithm",LN(0.001+'Advanced Entry'!Q108),IF('Advanced Entry'!Q$5="Exponential",EXP('Advanced Entry'!Q108),'Advanced Entry'!Q108)))-'Advanced Entry'!Q$6)/('Advanced Entry'!Q$7-'Advanced Entry'!Q$6),10*((IF('Advanced Entry'!Q$5="Logarithm",LN(0.001+'Advanced Entry'!Q108),IF('Advanced Entry'!Q$5="Exponential",EXP('Advanced Entry'!Q108),'Advanced Entry'!Q108)))-'Advanced Entry'!Q$6)/('Advanced Entry'!Q$7-'Advanced Entry'!Q$6)),1))),"No data"))</f>
        <v/>
      </c>
      <c r="R108" s="17">
        <f>IF('Advanced Entry'!R108="","",IFERROR(MAX(0,MIN(10,ROUND(IF('Advanced Entry'!R$8="Decrease Risk",10-10*((IF('Advanced Entry'!R$5="Logarithm",LN(0.001+'Advanced Entry'!R108),IF('Advanced Entry'!R$5="Exponential",EXP('Advanced Entry'!R108),'Advanced Entry'!R108)))-'Advanced Entry'!R$6)/('Advanced Entry'!R$7-'Advanced Entry'!R$6),10*((IF('Advanced Entry'!R$5="Logarithm",LN(0.001+'Advanced Entry'!R108),IF('Advanced Entry'!R$5="Exponential",EXP('Advanced Entry'!R108),'Advanced Entry'!R108)))-'Advanced Entry'!R$6)/('Advanced Entry'!R$7-'Advanced Entry'!R$6)),1))),"No data"))</f>
        <v/>
      </c>
      <c r="S108" s="17">
        <f>IF('Advanced Entry'!S108="","",IFERROR(MAX(0,MIN(10,ROUND(IF('Advanced Entry'!S$8="Decrease Risk",10-10*((IF('Advanced Entry'!S$5="Logarithm",LN(0.001+'Advanced Entry'!S108),IF('Advanced Entry'!S$5="Exponential",EXP('Advanced Entry'!S108),'Advanced Entry'!S108)))-'Advanced Entry'!S$6)/('Advanced Entry'!S$7-'Advanced Entry'!S$6),10*((IF('Advanced Entry'!S$5="Logarithm",LN(0.001+'Advanced Entry'!S108),IF('Advanced Entry'!S$5="Exponential",EXP('Advanced Entry'!S108),'Advanced Entry'!S108)))-'Advanced Entry'!S$6)/('Advanced Entry'!S$7-'Advanced Entry'!S$6)),1))),"No data"))</f>
        <v/>
      </c>
      <c r="T108" s="17">
        <f>IF('Advanced Entry'!T108="","",IFERROR(MAX(0,MIN(10,ROUND(IF('Advanced Entry'!T$8="Decrease Risk",10-10*((IF('Advanced Entry'!T$5="Logarithm",LN(0.001+'Advanced Entry'!T108),IF('Advanced Entry'!T$5="Exponential",EXP('Advanced Entry'!T108),'Advanced Entry'!T108)))-'Advanced Entry'!T$6)/('Advanced Entry'!T$7-'Advanced Entry'!T$6),10*((IF('Advanced Entry'!T$5="Logarithm",LN(0.001+'Advanced Entry'!T108),IF('Advanced Entry'!T$5="Exponential",EXP('Advanced Entry'!T108),'Advanced Entry'!T108)))-'Advanced Entry'!T$6)/('Advanced Entry'!T$7-'Advanced Entry'!T$6)),1))),"No data"))</f>
        <v/>
      </c>
      <c r="U108" s="17">
        <f>IF('Advanced Entry'!U108="","",IFERROR(MAX(0,MIN(10,ROUND(IF('Advanced Entry'!U$8="Decrease Risk",10-10*((IF('Advanced Entry'!U$5="Logarithm",LN(0.001+'Advanced Entry'!U108),IF('Advanced Entry'!U$5="Exponential",EXP('Advanced Entry'!U108),'Advanced Entry'!U108)))-'Advanced Entry'!U$6)/('Advanced Entry'!U$7-'Advanced Entry'!U$6),10*((IF('Advanced Entry'!U$5="Logarithm",LN(0.001+'Advanced Entry'!U108),IF('Advanced Entry'!U$5="Exponential",EXP('Advanced Entry'!U108),'Advanced Entry'!U108)))-'Advanced Entry'!U$6)/('Advanced Entry'!U$7-'Advanced Entry'!U$6)),1))),"No data"))</f>
        <v/>
      </c>
      <c r="V108" s="17">
        <f>IF('Advanced Entry'!V108="","",IFERROR(MAX(0,MIN(10,ROUND(IF('Advanced Entry'!V$8="Decrease Risk",10-10*((IF('Advanced Entry'!V$5="Logarithm",LN(0.001+'Advanced Entry'!V108),IF('Advanced Entry'!V$5="Exponential",EXP('Advanced Entry'!V108),'Advanced Entry'!V108)))-'Advanced Entry'!V$6)/('Advanced Entry'!V$7-'Advanced Entry'!V$6),10*((IF('Advanced Entry'!V$5="Logarithm",LN(0.001+'Advanced Entry'!V108),IF('Advanced Entry'!V$5="Exponential",EXP('Advanced Entry'!V108),'Advanced Entry'!V108)))-'Advanced Entry'!V$6)/('Advanced Entry'!V$7-'Advanced Entry'!V$6)),1))),"No data"))</f>
        <v/>
      </c>
      <c r="W108" s="17">
        <f>IF('Advanced Entry'!W108="","",IFERROR(MAX(0,MIN(10,ROUND(IF('Advanced Entry'!W$8="Decrease Risk",10-10*((IF('Advanced Entry'!W$5="Logarithm",LN(0.001+'Advanced Entry'!W108),IF('Advanced Entry'!W$5="Exponential",EXP('Advanced Entry'!W108),'Advanced Entry'!W108)))-'Advanced Entry'!W$6)/('Advanced Entry'!W$7-'Advanced Entry'!W$6),10*((IF('Advanced Entry'!W$5="Logarithm",LN(0.001+'Advanced Entry'!W108),IF('Advanced Entry'!W$5="Exponential",EXP('Advanced Entry'!W108),'Advanced Entry'!W108)))-'Advanced Entry'!W$6)/('Advanced Entry'!W$7-'Advanced Entry'!W$6)),1))),"No data"))</f>
        <v/>
      </c>
      <c r="X108" s="17">
        <f>IF('Advanced Entry'!X108="","",IFERROR(MAX(0,MIN(10,ROUND(IF('Advanced Entry'!X$8="Decrease Risk",10-10*((IF('Advanced Entry'!X$5="Logarithm",LN(0.001+'Advanced Entry'!X108),IF('Advanced Entry'!X$5="Exponential",EXP('Advanced Entry'!X108),'Advanced Entry'!X108)))-'Advanced Entry'!X$6)/('Advanced Entry'!X$7-'Advanced Entry'!X$6),10*((IF('Advanced Entry'!X$5="Logarithm",LN(0.001+'Advanced Entry'!X108),IF('Advanced Entry'!X$5="Exponential",EXP('Advanced Entry'!X108),'Advanced Entry'!X108)))-'Advanced Entry'!X$6)/('Advanced Entry'!X$7-'Advanced Entry'!X$6)),1))),"No data"))</f>
        <v/>
      </c>
      <c r="Y108" s="17">
        <f>IF('Advanced Entry'!Y108="","",IFERROR(MAX(0,MIN(10,ROUND(IF('Advanced Entry'!Y$8="Decrease Risk",10-10*((IF('Advanced Entry'!Y$5="Logarithm",LN(0.001+'Advanced Entry'!Y108),IF('Advanced Entry'!Y$5="Exponential",EXP('Advanced Entry'!Y108),'Advanced Entry'!Y108)))-'Advanced Entry'!Y$6)/('Advanced Entry'!Y$7-'Advanced Entry'!Y$6),10*((IF('Advanced Entry'!Y$5="Logarithm",LN(0.001+'Advanced Entry'!Y108),IF('Advanced Entry'!Y$5="Exponential",EXP('Advanced Entry'!Y108),'Advanced Entry'!Y108)))-'Advanced Entry'!Y$6)/('Advanced Entry'!Y$7-'Advanced Entry'!Y$6)),1))),"No data"))</f>
        <v/>
      </c>
      <c r="Z108" s="17">
        <f>IF('Advanced Entry'!Z108="","",IFERROR(MAX(0,MIN(10,ROUND(IF('Advanced Entry'!Z$8="Decrease Risk",10-10*((IF('Advanced Entry'!Z$5="Logarithm",LN(0.001+'Advanced Entry'!Z108),IF('Advanced Entry'!Z$5="Exponential",EXP('Advanced Entry'!Z108),'Advanced Entry'!Z108)))-'Advanced Entry'!Z$6)/('Advanced Entry'!Z$7-'Advanced Entry'!Z$6),10*((IF('Advanced Entry'!Z$5="Logarithm",LN(0.001+'Advanced Entry'!Z108),IF('Advanced Entry'!Z$5="Exponential",EXP('Advanced Entry'!Z108),'Advanced Entry'!Z108)))-'Advanced Entry'!Z$6)/('Advanced Entry'!Z$7-'Advanced Entry'!Z$6)),1))),"No data"))</f>
        <v/>
      </c>
      <c r="AA108" s="17">
        <f>IF('Advanced Entry'!AA108="","",IFERROR(MAX(0,MIN(10,ROUND(IF('Advanced Entry'!AA$8="Decrease Risk",10-10*((IF('Advanced Entry'!AA$5="Logarithm",LN(0.001+'Advanced Entry'!AA108),IF('Advanced Entry'!AA$5="Exponential",EXP('Advanced Entry'!AA108),'Advanced Entry'!AA108)))-'Advanced Entry'!AA$6)/('Advanced Entry'!AA$7-'Advanced Entry'!AA$6),10*((IF('Advanced Entry'!AA$5="Logarithm",LN(0.001+'Advanced Entry'!AA108),IF('Advanced Entry'!AA$5="Exponential",EXP('Advanced Entry'!AA108),'Advanced Entry'!AA108)))-'Advanced Entry'!AA$6)/('Advanced Entry'!AA$7-'Advanced Entry'!AA$6)),1))),"No data"))</f>
        <v/>
      </c>
      <c r="AB108" s="17">
        <f>IF('Advanced Entry'!AB108="","",IFERROR(MAX(0,MIN(10,ROUND(IF('Advanced Entry'!AB$8="Decrease Risk",10-10*((IF('Advanced Entry'!AB$5="Logarithm",LN(0.001+'Advanced Entry'!AB108),IF('Advanced Entry'!AB$5="Exponential",EXP('Advanced Entry'!AB108),'Advanced Entry'!AB108)))-'Advanced Entry'!AB$6)/('Advanced Entry'!AB$7-'Advanced Entry'!AB$6),10*((IF('Advanced Entry'!AB$5="Logarithm",LN(0.001+'Advanced Entry'!AB108),IF('Advanced Entry'!AB$5="Exponential",EXP('Advanced Entry'!AB108),'Advanced Entry'!AB108)))-'Advanced Entry'!AB$6)/('Advanced Entry'!AB$7-'Advanced Entry'!AB$6)),1))),"No data"))</f>
        <v/>
      </c>
    </row>
    <row r="109">
      <c r="A109" t="inlineStr">
        <is>
          <t>Mjini Magharibi</t>
        </is>
      </c>
      <c r="B109" t="inlineStr">
        <is>
          <t>Mjini Municipal</t>
        </is>
      </c>
      <c r="C109" t="inlineStr">
        <is>
          <t>C189</t>
        </is>
      </c>
      <c r="D109" s="17">
        <f>IF('Advanced Entry'!D109="","",IFERROR(MAX(0,MIN(10,ROUND(IF('Advanced Entry'!D$8="Decrease Risk",10-10*((IF('Advanced Entry'!D$5="Logarithm",LN(0.001+'Advanced Entry'!D109),IF('Advanced Entry'!D$5="Exponential",EXP('Advanced Entry'!D109),'Advanced Entry'!D109)))-'Advanced Entry'!D$6)/('Advanced Entry'!D$7-'Advanced Entry'!D$6),10*((IF('Advanced Entry'!D$5="Logarithm",LN(0.001+'Advanced Entry'!D109),IF('Advanced Entry'!D$5="Exponential",EXP('Advanced Entry'!D109),'Advanced Entry'!D109)))-'Advanced Entry'!D$6)/('Advanced Entry'!D$7-'Advanced Entry'!D$6)),1))),"No data"))</f>
        <v/>
      </c>
      <c r="E109" s="17">
        <f>IF('Advanced Entry'!E109="","",IFERROR(MAX(0,MIN(10,ROUND(IF('Advanced Entry'!E$8="Decrease Risk",10-10*((IF('Advanced Entry'!E$5="Logarithm",LN(0.001+'Advanced Entry'!E109),IF('Advanced Entry'!E$5="Exponential",EXP('Advanced Entry'!E109),'Advanced Entry'!E109)))-'Advanced Entry'!E$6)/('Advanced Entry'!E$7-'Advanced Entry'!E$6),10*((IF('Advanced Entry'!E$5="Logarithm",LN(0.001+'Advanced Entry'!E109),IF('Advanced Entry'!E$5="Exponential",EXP('Advanced Entry'!E109),'Advanced Entry'!E109)))-'Advanced Entry'!E$6)/('Advanced Entry'!E$7-'Advanced Entry'!E$6)),1))),"No data"))</f>
        <v/>
      </c>
      <c r="F109" s="17">
        <f>IF('Advanced Entry'!F109="","",IFERROR(MAX(0,MIN(10,ROUND(IF('Advanced Entry'!F$8="Decrease Risk",10-10*((IF('Advanced Entry'!F$5="Logarithm",LN(0.001+'Advanced Entry'!F109),IF('Advanced Entry'!F$5="Exponential",EXP('Advanced Entry'!F109),'Advanced Entry'!F109)))-'Advanced Entry'!F$6)/('Advanced Entry'!F$7-'Advanced Entry'!F$6),10*((IF('Advanced Entry'!F$5="Logarithm",LN(0.001+'Advanced Entry'!F109),IF('Advanced Entry'!F$5="Exponential",EXP('Advanced Entry'!F109),'Advanced Entry'!F109)))-'Advanced Entry'!F$6)/('Advanced Entry'!F$7-'Advanced Entry'!F$6)),1))),"No data"))</f>
        <v/>
      </c>
      <c r="G109" s="17">
        <f>IF('Advanced Entry'!G109="","",IFERROR(MAX(0,MIN(10,ROUND(IF('Advanced Entry'!G$8="Decrease Risk",10-10*((IF('Advanced Entry'!G$5="Logarithm",LN(0.001+'Advanced Entry'!G109),IF('Advanced Entry'!G$5="Exponential",EXP('Advanced Entry'!G109),'Advanced Entry'!G109)))-'Advanced Entry'!G$6)/('Advanced Entry'!G$7-'Advanced Entry'!G$6),10*((IF('Advanced Entry'!G$5="Logarithm",LN(0.001+'Advanced Entry'!G109),IF('Advanced Entry'!G$5="Exponential",EXP('Advanced Entry'!G109),'Advanced Entry'!G109)))-'Advanced Entry'!G$6)/('Advanced Entry'!G$7-'Advanced Entry'!G$6)),1))),"No data"))</f>
        <v/>
      </c>
      <c r="H109" s="17">
        <f>IF('Advanced Entry'!H109="","",IFERROR(MAX(0,MIN(10,ROUND(IF('Advanced Entry'!H$8="Decrease Risk",10-10*((IF('Advanced Entry'!H$5="Logarithm",LN(0.001+'Advanced Entry'!H109),IF('Advanced Entry'!H$5="Exponential",EXP('Advanced Entry'!H109),'Advanced Entry'!H109)))-'Advanced Entry'!H$6)/('Advanced Entry'!H$7-'Advanced Entry'!H$6),10*((IF('Advanced Entry'!H$5="Logarithm",LN(0.001+'Advanced Entry'!H109),IF('Advanced Entry'!H$5="Exponential",EXP('Advanced Entry'!H109),'Advanced Entry'!H109)))-'Advanced Entry'!H$6)/('Advanced Entry'!H$7-'Advanced Entry'!H$6)),1))),"No data"))</f>
        <v/>
      </c>
      <c r="I109" s="17">
        <f>IF('Advanced Entry'!I109="","",IFERROR(MAX(0,MIN(10,ROUND(IF('Advanced Entry'!I$8="Decrease Risk",10-10*((IF('Advanced Entry'!I$5="Logarithm",LN(0.001+'Advanced Entry'!I109),IF('Advanced Entry'!I$5="Exponential",EXP('Advanced Entry'!I109),'Advanced Entry'!I109)))-'Advanced Entry'!I$6)/('Advanced Entry'!I$7-'Advanced Entry'!I$6),10*((IF('Advanced Entry'!I$5="Logarithm",LN(0.001+'Advanced Entry'!I109),IF('Advanced Entry'!I$5="Exponential",EXP('Advanced Entry'!I109),'Advanced Entry'!I109)))-'Advanced Entry'!I$6)/('Advanced Entry'!I$7-'Advanced Entry'!I$6)),1))),"No data"))</f>
        <v/>
      </c>
      <c r="J109" s="17">
        <f>IF('Advanced Entry'!J109="","",IFERROR(MAX(0,MIN(10,ROUND(IF('Advanced Entry'!J$8="Decrease Risk",10-10*((IF('Advanced Entry'!J$5="Logarithm",LN(0.001+'Advanced Entry'!J109),IF('Advanced Entry'!J$5="Exponential",EXP('Advanced Entry'!J109),'Advanced Entry'!J109)))-'Advanced Entry'!J$6)/('Advanced Entry'!J$7-'Advanced Entry'!J$6),10*((IF('Advanced Entry'!J$5="Logarithm",LN(0.001+'Advanced Entry'!J109),IF('Advanced Entry'!J$5="Exponential",EXP('Advanced Entry'!J109),'Advanced Entry'!J109)))-'Advanced Entry'!J$6)/('Advanced Entry'!J$7-'Advanced Entry'!J$6)),1))),"No data"))</f>
        <v/>
      </c>
      <c r="K109" s="17">
        <f>IF('Advanced Entry'!K109="","",IFERROR(MAX(0,MIN(10,ROUND(IF('Advanced Entry'!K$8="Decrease Risk",10-10*((IF('Advanced Entry'!K$5="Logarithm",LN(0.001+'Advanced Entry'!K109),IF('Advanced Entry'!K$5="Exponential",EXP('Advanced Entry'!K109),'Advanced Entry'!K109)))-'Advanced Entry'!K$6)/('Advanced Entry'!K$7-'Advanced Entry'!K$6),10*((IF('Advanced Entry'!K$5="Logarithm",LN(0.001+'Advanced Entry'!K109),IF('Advanced Entry'!K$5="Exponential",EXP('Advanced Entry'!K109),'Advanced Entry'!K109)))-'Advanced Entry'!K$6)/('Advanced Entry'!K$7-'Advanced Entry'!K$6)),1))),"No data"))</f>
        <v/>
      </c>
      <c r="L109" s="17">
        <f>IF('Advanced Entry'!L109="","",IFERROR(MAX(0,MIN(10,ROUND(IF('Advanced Entry'!L$8="Decrease Risk",10-10*((IF('Advanced Entry'!L$5="Logarithm",LN(0.001+'Advanced Entry'!L109),IF('Advanced Entry'!L$5="Exponential",EXP('Advanced Entry'!L109),'Advanced Entry'!L109)))-'Advanced Entry'!L$6)/('Advanced Entry'!L$7-'Advanced Entry'!L$6),10*((IF('Advanced Entry'!L$5="Logarithm",LN(0.001+'Advanced Entry'!L109),IF('Advanced Entry'!L$5="Exponential",EXP('Advanced Entry'!L109),'Advanced Entry'!L109)))-'Advanced Entry'!L$6)/('Advanced Entry'!L$7-'Advanced Entry'!L$6)),1))),"No data"))</f>
        <v/>
      </c>
      <c r="M109" s="17">
        <f>IF('Advanced Entry'!M109="","",IFERROR(MAX(0,MIN(10,ROUND(IF('Advanced Entry'!M$8="Decrease Risk",10-10*((IF('Advanced Entry'!M$5="Logarithm",LN(0.001+'Advanced Entry'!M109),IF('Advanced Entry'!M$5="Exponential",EXP('Advanced Entry'!M109),'Advanced Entry'!M109)))-'Advanced Entry'!M$6)/('Advanced Entry'!M$7-'Advanced Entry'!M$6),10*((IF('Advanced Entry'!M$5="Logarithm",LN(0.001+'Advanced Entry'!M109),IF('Advanced Entry'!M$5="Exponential",EXP('Advanced Entry'!M109),'Advanced Entry'!M109)))-'Advanced Entry'!M$6)/('Advanced Entry'!M$7-'Advanced Entry'!M$6)),1))),"No data"))</f>
        <v/>
      </c>
      <c r="N109" s="17">
        <f>IF('Advanced Entry'!N109="","",IFERROR(MAX(0,MIN(10,ROUND(IF('Advanced Entry'!N$8="Decrease Risk",10-10*((IF('Advanced Entry'!N$5="Logarithm",LN(0.001+'Advanced Entry'!N109),IF('Advanced Entry'!N$5="Exponential",EXP('Advanced Entry'!N109),'Advanced Entry'!N109)))-'Advanced Entry'!N$6)/('Advanced Entry'!N$7-'Advanced Entry'!N$6),10*((IF('Advanced Entry'!N$5="Logarithm",LN(0.001+'Advanced Entry'!N109),IF('Advanced Entry'!N$5="Exponential",EXP('Advanced Entry'!N109),'Advanced Entry'!N109)))-'Advanced Entry'!N$6)/('Advanced Entry'!N$7-'Advanced Entry'!N$6)),1))),"No data"))</f>
        <v/>
      </c>
      <c r="O109" s="17">
        <f>IF('Advanced Entry'!O109="","",IFERROR(MAX(0,MIN(10,ROUND(IF('Advanced Entry'!O$8="Decrease Risk",10-10*((IF('Advanced Entry'!O$5="Logarithm",LN(0.001+'Advanced Entry'!O109),IF('Advanced Entry'!O$5="Exponential",EXP('Advanced Entry'!O109),'Advanced Entry'!O109)))-'Advanced Entry'!O$6)/('Advanced Entry'!O$7-'Advanced Entry'!O$6),10*((IF('Advanced Entry'!O$5="Logarithm",LN(0.001+'Advanced Entry'!O109),IF('Advanced Entry'!O$5="Exponential",EXP('Advanced Entry'!O109),'Advanced Entry'!O109)))-'Advanced Entry'!O$6)/('Advanced Entry'!O$7-'Advanced Entry'!O$6)),1))),"No data"))</f>
        <v/>
      </c>
      <c r="P109" s="17">
        <f>IF('Advanced Entry'!P109="","",IFERROR(MAX(0,MIN(10,ROUND(IF('Advanced Entry'!P$8="Decrease Risk",10-10*((IF('Advanced Entry'!P$5="Logarithm",LN(0.001+'Advanced Entry'!P109),IF('Advanced Entry'!P$5="Exponential",EXP('Advanced Entry'!P109),'Advanced Entry'!P109)))-'Advanced Entry'!P$6)/('Advanced Entry'!P$7-'Advanced Entry'!P$6),10*((IF('Advanced Entry'!P$5="Logarithm",LN(0.001+'Advanced Entry'!P109),IF('Advanced Entry'!P$5="Exponential",EXP('Advanced Entry'!P109),'Advanced Entry'!P109)))-'Advanced Entry'!P$6)/('Advanced Entry'!P$7-'Advanced Entry'!P$6)),1))),"No data"))</f>
        <v/>
      </c>
      <c r="Q109" s="17">
        <f>IF('Advanced Entry'!Q109="","",IFERROR(MAX(0,MIN(10,ROUND(IF('Advanced Entry'!Q$8="Decrease Risk",10-10*((IF('Advanced Entry'!Q$5="Logarithm",LN(0.001+'Advanced Entry'!Q109),IF('Advanced Entry'!Q$5="Exponential",EXP('Advanced Entry'!Q109),'Advanced Entry'!Q109)))-'Advanced Entry'!Q$6)/('Advanced Entry'!Q$7-'Advanced Entry'!Q$6),10*((IF('Advanced Entry'!Q$5="Logarithm",LN(0.001+'Advanced Entry'!Q109),IF('Advanced Entry'!Q$5="Exponential",EXP('Advanced Entry'!Q109),'Advanced Entry'!Q109)))-'Advanced Entry'!Q$6)/('Advanced Entry'!Q$7-'Advanced Entry'!Q$6)),1))),"No data"))</f>
        <v/>
      </c>
      <c r="R109" s="17">
        <f>IF('Advanced Entry'!R109="","",IFERROR(MAX(0,MIN(10,ROUND(IF('Advanced Entry'!R$8="Decrease Risk",10-10*((IF('Advanced Entry'!R$5="Logarithm",LN(0.001+'Advanced Entry'!R109),IF('Advanced Entry'!R$5="Exponential",EXP('Advanced Entry'!R109),'Advanced Entry'!R109)))-'Advanced Entry'!R$6)/('Advanced Entry'!R$7-'Advanced Entry'!R$6),10*((IF('Advanced Entry'!R$5="Logarithm",LN(0.001+'Advanced Entry'!R109),IF('Advanced Entry'!R$5="Exponential",EXP('Advanced Entry'!R109),'Advanced Entry'!R109)))-'Advanced Entry'!R$6)/('Advanced Entry'!R$7-'Advanced Entry'!R$6)),1))),"No data"))</f>
        <v/>
      </c>
      <c r="S109" s="17">
        <f>IF('Advanced Entry'!S109="","",IFERROR(MAX(0,MIN(10,ROUND(IF('Advanced Entry'!S$8="Decrease Risk",10-10*((IF('Advanced Entry'!S$5="Logarithm",LN(0.001+'Advanced Entry'!S109),IF('Advanced Entry'!S$5="Exponential",EXP('Advanced Entry'!S109),'Advanced Entry'!S109)))-'Advanced Entry'!S$6)/('Advanced Entry'!S$7-'Advanced Entry'!S$6),10*((IF('Advanced Entry'!S$5="Logarithm",LN(0.001+'Advanced Entry'!S109),IF('Advanced Entry'!S$5="Exponential",EXP('Advanced Entry'!S109),'Advanced Entry'!S109)))-'Advanced Entry'!S$6)/('Advanced Entry'!S$7-'Advanced Entry'!S$6)),1))),"No data"))</f>
        <v/>
      </c>
      <c r="T109" s="17">
        <f>IF('Advanced Entry'!T109="","",IFERROR(MAX(0,MIN(10,ROUND(IF('Advanced Entry'!T$8="Decrease Risk",10-10*((IF('Advanced Entry'!T$5="Logarithm",LN(0.001+'Advanced Entry'!T109),IF('Advanced Entry'!T$5="Exponential",EXP('Advanced Entry'!T109),'Advanced Entry'!T109)))-'Advanced Entry'!T$6)/('Advanced Entry'!T$7-'Advanced Entry'!T$6),10*((IF('Advanced Entry'!T$5="Logarithm",LN(0.001+'Advanced Entry'!T109),IF('Advanced Entry'!T$5="Exponential",EXP('Advanced Entry'!T109),'Advanced Entry'!T109)))-'Advanced Entry'!T$6)/('Advanced Entry'!T$7-'Advanced Entry'!T$6)),1))),"No data"))</f>
        <v/>
      </c>
      <c r="U109" s="17">
        <f>IF('Advanced Entry'!U109="","",IFERROR(MAX(0,MIN(10,ROUND(IF('Advanced Entry'!U$8="Decrease Risk",10-10*((IF('Advanced Entry'!U$5="Logarithm",LN(0.001+'Advanced Entry'!U109),IF('Advanced Entry'!U$5="Exponential",EXP('Advanced Entry'!U109),'Advanced Entry'!U109)))-'Advanced Entry'!U$6)/('Advanced Entry'!U$7-'Advanced Entry'!U$6),10*((IF('Advanced Entry'!U$5="Logarithm",LN(0.001+'Advanced Entry'!U109),IF('Advanced Entry'!U$5="Exponential",EXP('Advanced Entry'!U109),'Advanced Entry'!U109)))-'Advanced Entry'!U$6)/('Advanced Entry'!U$7-'Advanced Entry'!U$6)),1))),"No data"))</f>
        <v/>
      </c>
      <c r="V109" s="17">
        <f>IF('Advanced Entry'!V109="","",IFERROR(MAX(0,MIN(10,ROUND(IF('Advanced Entry'!V$8="Decrease Risk",10-10*((IF('Advanced Entry'!V$5="Logarithm",LN(0.001+'Advanced Entry'!V109),IF('Advanced Entry'!V$5="Exponential",EXP('Advanced Entry'!V109),'Advanced Entry'!V109)))-'Advanced Entry'!V$6)/('Advanced Entry'!V$7-'Advanced Entry'!V$6),10*((IF('Advanced Entry'!V$5="Logarithm",LN(0.001+'Advanced Entry'!V109),IF('Advanced Entry'!V$5="Exponential",EXP('Advanced Entry'!V109),'Advanced Entry'!V109)))-'Advanced Entry'!V$6)/('Advanced Entry'!V$7-'Advanced Entry'!V$6)),1))),"No data"))</f>
        <v/>
      </c>
      <c r="W109" s="17">
        <f>IF('Advanced Entry'!W109="","",IFERROR(MAX(0,MIN(10,ROUND(IF('Advanced Entry'!W$8="Decrease Risk",10-10*((IF('Advanced Entry'!W$5="Logarithm",LN(0.001+'Advanced Entry'!W109),IF('Advanced Entry'!W$5="Exponential",EXP('Advanced Entry'!W109),'Advanced Entry'!W109)))-'Advanced Entry'!W$6)/('Advanced Entry'!W$7-'Advanced Entry'!W$6),10*((IF('Advanced Entry'!W$5="Logarithm",LN(0.001+'Advanced Entry'!W109),IF('Advanced Entry'!W$5="Exponential",EXP('Advanced Entry'!W109),'Advanced Entry'!W109)))-'Advanced Entry'!W$6)/('Advanced Entry'!W$7-'Advanced Entry'!W$6)),1))),"No data"))</f>
        <v/>
      </c>
      <c r="X109" s="17">
        <f>IF('Advanced Entry'!X109="","",IFERROR(MAX(0,MIN(10,ROUND(IF('Advanced Entry'!X$8="Decrease Risk",10-10*((IF('Advanced Entry'!X$5="Logarithm",LN(0.001+'Advanced Entry'!X109),IF('Advanced Entry'!X$5="Exponential",EXP('Advanced Entry'!X109),'Advanced Entry'!X109)))-'Advanced Entry'!X$6)/('Advanced Entry'!X$7-'Advanced Entry'!X$6),10*((IF('Advanced Entry'!X$5="Logarithm",LN(0.001+'Advanced Entry'!X109),IF('Advanced Entry'!X$5="Exponential",EXP('Advanced Entry'!X109),'Advanced Entry'!X109)))-'Advanced Entry'!X$6)/('Advanced Entry'!X$7-'Advanced Entry'!X$6)),1))),"No data"))</f>
        <v/>
      </c>
      <c r="Y109" s="17">
        <f>IF('Advanced Entry'!Y109="","",IFERROR(MAX(0,MIN(10,ROUND(IF('Advanced Entry'!Y$8="Decrease Risk",10-10*((IF('Advanced Entry'!Y$5="Logarithm",LN(0.001+'Advanced Entry'!Y109),IF('Advanced Entry'!Y$5="Exponential",EXP('Advanced Entry'!Y109),'Advanced Entry'!Y109)))-'Advanced Entry'!Y$6)/('Advanced Entry'!Y$7-'Advanced Entry'!Y$6),10*((IF('Advanced Entry'!Y$5="Logarithm",LN(0.001+'Advanced Entry'!Y109),IF('Advanced Entry'!Y$5="Exponential",EXP('Advanced Entry'!Y109),'Advanced Entry'!Y109)))-'Advanced Entry'!Y$6)/('Advanced Entry'!Y$7-'Advanced Entry'!Y$6)),1))),"No data"))</f>
        <v/>
      </c>
      <c r="Z109" s="17">
        <f>IF('Advanced Entry'!Z109="","",IFERROR(MAX(0,MIN(10,ROUND(IF('Advanced Entry'!Z$8="Decrease Risk",10-10*((IF('Advanced Entry'!Z$5="Logarithm",LN(0.001+'Advanced Entry'!Z109),IF('Advanced Entry'!Z$5="Exponential",EXP('Advanced Entry'!Z109),'Advanced Entry'!Z109)))-'Advanced Entry'!Z$6)/('Advanced Entry'!Z$7-'Advanced Entry'!Z$6),10*((IF('Advanced Entry'!Z$5="Logarithm",LN(0.001+'Advanced Entry'!Z109),IF('Advanced Entry'!Z$5="Exponential",EXP('Advanced Entry'!Z109),'Advanced Entry'!Z109)))-'Advanced Entry'!Z$6)/('Advanced Entry'!Z$7-'Advanced Entry'!Z$6)),1))),"No data"))</f>
        <v/>
      </c>
      <c r="AA109" s="17">
        <f>IF('Advanced Entry'!AA109="","",IFERROR(MAX(0,MIN(10,ROUND(IF('Advanced Entry'!AA$8="Decrease Risk",10-10*((IF('Advanced Entry'!AA$5="Logarithm",LN(0.001+'Advanced Entry'!AA109),IF('Advanced Entry'!AA$5="Exponential",EXP('Advanced Entry'!AA109),'Advanced Entry'!AA109)))-'Advanced Entry'!AA$6)/('Advanced Entry'!AA$7-'Advanced Entry'!AA$6),10*((IF('Advanced Entry'!AA$5="Logarithm",LN(0.001+'Advanced Entry'!AA109),IF('Advanced Entry'!AA$5="Exponential",EXP('Advanced Entry'!AA109),'Advanced Entry'!AA109)))-'Advanced Entry'!AA$6)/('Advanced Entry'!AA$7-'Advanced Entry'!AA$6)),1))),"No data"))</f>
        <v/>
      </c>
      <c r="AB109" s="17">
        <f>IF('Advanced Entry'!AB109="","",IFERROR(MAX(0,MIN(10,ROUND(IF('Advanced Entry'!AB$8="Decrease Risk",10-10*((IF('Advanced Entry'!AB$5="Logarithm",LN(0.001+'Advanced Entry'!AB109),IF('Advanced Entry'!AB$5="Exponential",EXP('Advanced Entry'!AB109),'Advanced Entry'!AB109)))-'Advanced Entry'!AB$6)/('Advanced Entry'!AB$7-'Advanced Entry'!AB$6),10*((IF('Advanced Entry'!AB$5="Logarithm",LN(0.001+'Advanced Entry'!AB109),IF('Advanced Entry'!AB$5="Exponential",EXP('Advanced Entry'!AB109),'Advanced Entry'!AB109)))-'Advanced Entry'!AB$6)/('Advanced Entry'!AB$7-'Advanced Entry'!AB$6)),1))),"No data"))</f>
        <v/>
      </c>
    </row>
    <row r="110">
      <c r="A110" t="inlineStr">
        <is>
          <t>Morogoro</t>
        </is>
      </c>
      <c r="B110" t="inlineStr">
        <is>
          <t>Gairo District</t>
        </is>
      </c>
      <c r="C110" t="inlineStr">
        <is>
          <t>C042</t>
        </is>
      </c>
      <c r="D110" s="17">
        <f>IF('Advanced Entry'!D110="","",IFERROR(MAX(0,MIN(10,ROUND(IF('Advanced Entry'!D$8="Decrease Risk",10-10*((IF('Advanced Entry'!D$5="Logarithm",LN(0.001+'Advanced Entry'!D110),IF('Advanced Entry'!D$5="Exponential",EXP('Advanced Entry'!D110),'Advanced Entry'!D110)))-'Advanced Entry'!D$6)/('Advanced Entry'!D$7-'Advanced Entry'!D$6),10*((IF('Advanced Entry'!D$5="Logarithm",LN(0.001+'Advanced Entry'!D110),IF('Advanced Entry'!D$5="Exponential",EXP('Advanced Entry'!D110),'Advanced Entry'!D110)))-'Advanced Entry'!D$6)/('Advanced Entry'!D$7-'Advanced Entry'!D$6)),1))),"No data"))</f>
        <v/>
      </c>
      <c r="E110" s="17">
        <f>IF('Advanced Entry'!E110="","",IFERROR(MAX(0,MIN(10,ROUND(IF('Advanced Entry'!E$8="Decrease Risk",10-10*((IF('Advanced Entry'!E$5="Logarithm",LN(0.001+'Advanced Entry'!E110),IF('Advanced Entry'!E$5="Exponential",EXP('Advanced Entry'!E110),'Advanced Entry'!E110)))-'Advanced Entry'!E$6)/('Advanced Entry'!E$7-'Advanced Entry'!E$6),10*((IF('Advanced Entry'!E$5="Logarithm",LN(0.001+'Advanced Entry'!E110),IF('Advanced Entry'!E$5="Exponential",EXP('Advanced Entry'!E110),'Advanced Entry'!E110)))-'Advanced Entry'!E$6)/('Advanced Entry'!E$7-'Advanced Entry'!E$6)),1))),"No data"))</f>
        <v/>
      </c>
      <c r="F110" s="17">
        <f>IF('Advanced Entry'!F110="","",IFERROR(MAX(0,MIN(10,ROUND(IF('Advanced Entry'!F$8="Decrease Risk",10-10*((IF('Advanced Entry'!F$5="Logarithm",LN(0.001+'Advanced Entry'!F110),IF('Advanced Entry'!F$5="Exponential",EXP('Advanced Entry'!F110),'Advanced Entry'!F110)))-'Advanced Entry'!F$6)/('Advanced Entry'!F$7-'Advanced Entry'!F$6),10*((IF('Advanced Entry'!F$5="Logarithm",LN(0.001+'Advanced Entry'!F110),IF('Advanced Entry'!F$5="Exponential",EXP('Advanced Entry'!F110),'Advanced Entry'!F110)))-'Advanced Entry'!F$6)/('Advanced Entry'!F$7-'Advanced Entry'!F$6)),1))),"No data"))</f>
        <v/>
      </c>
      <c r="G110" s="17">
        <f>IF('Advanced Entry'!G110="","",IFERROR(MAX(0,MIN(10,ROUND(IF('Advanced Entry'!G$8="Decrease Risk",10-10*((IF('Advanced Entry'!G$5="Logarithm",LN(0.001+'Advanced Entry'!G110),IF('Advanced Entry'!G$5="Exponential",EXP('Advanced Entry'!G110),'Advanced Entry'!G110)))-'Advanced Entry'!G$6)/('Advanced Entry'!G$7-'Advanced Entry'!G$6),10*((IF('Advanced Entry'!G$5="Logarithm",LN(0.001+'Advanced Entry'!G110),IF('Advanced Entry'!G$5="Exponential",EXP('Advanced Entry'!G110),'Advanced Entry'!G110)))-'Advanced Entry'!G$6)/('Advanced Entry'!G$7-'Advanced Entry'!G$6)),1))),"No data"))</f>
        <v/>
      </c>
      <c r="H110" s="17">
        <f>IF('Advanced Entry'!H110="","",IFERROR(MAX(0,MIN(10,ROUND(IF('Advanced Entry'!H$8="Decrease Risk",10-10*((IF('Advanced Entry'!H$5="Logarithm",LN(0.001+'Advanced Entry'!H110),IF('Advanced Entry'!H$5="Exponential",EXP('Advanced Entry'!H110),'Advanced Entry'!H110)))-'Advanced Entry'!H$6)/('Advanced Entry'!H$7-'Advanced Entry'!H$6),10*((IF('Advanced Entry'!H$5="Logarithm",LN(0.001+'Advanced Entry'!H110),IF('Advanced Entry'!H$5="Exponential",EXP('Advanced Entry'!H110),'Advanced Entry'!H110)))-'Advanced Entry'!H$6)/('Advanced Entry'!H$7-'Advanced Entry'!H$6)),1))),"No data"))</f>
        <v/>
      </c>
      <c r="I110" s="17">
        <f>IF('Advanced Entry'!I110="","",IFERROR(MAX(0,MIN(10,ROUND(IF('Advanced Entry'!I$8="Decrease Risk",10-10*((IF('Advanced Entry'!I$5="Logarithm",LN(0.001+'Advanced Entry'!I110),IF('Advanced Entry'!I$5="Exponential",EXP('Advanced Entry'!I110),'Advanced Entry'!I110)))-'Advanced Entry'!I$6)/('Advanced Entry'!I$7-'Advanced Entry'!I$6),10*((IF('Advanced Entry'!I$5="Logarithm",LN(0.001+'Advanced Entry'!I110),IF('Advanced Entry'!I$5="Exponential",EXP('Advanced Entry'!I110),'Advanced Entry'!I110)))-'Advanced Entry'!I$6)/('Advanced Entry'!I$7-'Advanced Entry'!I$6)),1))),"No data"))</f>
        <v/>
      </c>
      <c r="J110" s="17">
        <f>IF('Advanced Entry'!J110="","",IFERROR(MAX(0,MIN(10,ROUND(IF('Advanced Entry'!J$8="Decrease Risk",10-10*((IF('Advanced Entry'!J$5="Logarithm",LN(0.001+'Advanced Entry'!J110),IF('Advanced Entry'!J$5="Exponential",EXP('Advanced Entry'!J110),'Advanced Entry'!J110)))-'Advanced Entry'!J$6)/('Advanced Entry'!J$7-'Advanced Entry'!J$6),10*((IF('Advanced Entry'!J$5="Logarithm",LN(0.001+'Advanced Entry'!J110),IF('Advanced Entry'!J$5="Exponential",EXP('Advanced Entry'!J110),'Advanced Entry'!J110)))-'Advanced Entry'!J$6)/('Advanced Entry'!J$7-'Advanced Entry'!J$6)),1))),"No data"))</f>
        <v/>
      </c>
      <c r="K110" s="17">
        <f>IF('Advanced Entry'!K110="","",IFERROR(MAX(0,MIN(10,ROUND(IF('Advanced Entry'!K$8="Decrease Risk",10-10*((IF('Advanced Entry'!K$5="Logarithm",LN(0.001+'Advanced Entry'!K110),IF('Advanced Entry'!K$5="Exponential",EXP('Advanced Entry'!K110),'Advanced Entry'!K110)))-'Advanced Entry'!K$6)/('Advanced Entry'!K$7-'Advanced Entry'!K$6),10*((IF('Advanced Entry'!K$5="Logarithm",LN(0.001+'Advanced Entry'!K110),IF('Advanced Entry'!K$5="Exponential",EXP('Advanced Entry'!K110),'Advanced Entry'!K110)))-'Advanced Entry'!K$6)/('Advanced Entry'!K$7-'Advanced Entry'!K$6)),1))),"No data"))</f>
        <v/>
      </c>
      <c r="L110" s="17">
        <f>IF('Advanced Entry'!L110="","",IFERROR(MAX(0,MIN(10,ROUND(IF('Advanced Entry'!L$8="Decrease Risk",10-10*((IF('Advanced Entry'!L$5="Logarithm",LN(0.001+'Advanced Entry'!L110),IF('Advanced Entry'!L$5="Exponential",EXP('Advanced Entry'!L110),'Advanced Entry'!L110)))-'Advanced Entry'!L$6)/('Advanced Entry'!L$7-'Advanced Entry'!L$6),10*((IF('Advanced Entry'!L$5="Logarithm",LN(0.001+'Advanced Entry'!L110),IF('Advanced Entry'!L$5="Exponential",EXP('Advanced Entry'!L110),'Advanced Entry'!L110)))-'Advanced Entry'!L$6)/('Advanced Entry'!L$7-'Advanced Entry'!L$6)),1))),"No data"))</f>
        <v/>
      </c>
      <c r="M110" s="17">
        <f>IF('Advanced Entry'!M110="","",IFERROR(MAX(0,MIN(10,ROUND(IF('Advanced Entry'!M$8="Decrease Risk",10-10*((IF('Advanced Entry'!M$5="Logarithm",LN(0.001+'Advanced Entry'!M110),IF('Advanced Entry'!M$5="Exponential",EXP('Advanced Entry'!M110),'Advanced Entry'!M110)))-'Advanced Entry'!M$6)/('Advanced Entry'!M$7-'Advanced Entry'!M$6),10*((IF('Advanced Entry'!M$5="Logarithm",LN(0.001+'Advanced Entry'!M110),IF('Advanced Entry'!M$5="Exponential",EXP('Advanced Entry'!M110),'Advanced Entry'!M110)))-'Advanced Entry'!M$6)/('Advanced Entry'!M$7-'Advanced Entry'!M$6)),1))),"No data"))</f>
        <v/>
      </c>
      <c r="N110" s="17">
        <f>IF('Advanced Entry'!N110="","",IFERROR(MAX(0,MIN(10,ROUND(IF('Advanced Entry'!N$8="Decrease Risk",10-10*((IF('Advanced Entry'!N$5="Logarithm",LN(0.001+'Advanced Entry'!N110),IF('Advanced Entry'!N$5="Exponential",EXP('Advanced Entry'!N110),'Advanced Entry'!N110)))-'Advanced Entry'!N$6)/('Advanced Entry'!N$7-'Advanced Entry'!N$6),10*((IF('Advanced Entry'!N$5="Logarithm",LN(0.001+'Advanced Entry'!N110),IF('Advanced Entry'!N$5="Exponential",EXP('Advanced Entry'!N110),'Advanced Entry'!N110)))-'Advanced Entry'!N$6)/('Advanced Entry'!N$7-'Advanced Entry'!N$6)),1))),"No data"))</f>
        <v/>
      </c>
      <c r="O110" s="17">
        <f>IF('Advanced Entry'!O110="","",IFERROR(MAX(0,MIN(10,ROUND(IF('Advanced Entry'!O$8="Decrease Risk",10-10*((IF('Advanced Entry'!O$5="Logarithm",LN(0.001+'Advanced Entry'!O110),IF('Advanced Entry'!O$5="Exponential",EXP('Advanced Entry'!O110),'Advanced Entry'!O110)))-'Advanced Entry'!O$6)/('Advanced Entry'!O$7-'Advanced Entry'!O$6),10*((IF('Advanced Entry'!O$5="Logarithm",LN(0.001+'Advanced Entry'!O110),IF('Advanced Entry'!O$5="Exponential",EXP('Advanced Entry'!O110),'Advanced Entry'!O110)))-'Advanced Entry'!O$6)/('Advanced Entry'!O$7-'Advanced Entry'!O$6)),1))),"No data"))</f>
        <v/>
      </c>
      <c r="P110" s="17">
        <f>IF('Advanced Entry'!P110="","",IFERROR(MAX(0,MIN(10,ROUND(IF('Advanced Entry'!P$8="Decrease Risk",10-10*((IF('Advanced Entry'!P$5="Logarithm",LN(0.001+'Advanced Entry'!P110),IF('Advanced Entry'!P$5="Exponential",EXP('Advanced Entry'!P110),'Advanced Entry'!P110)))-'Advanced Entry'!P$6)/('Advanced Entry'!P$7-'Advanced Entry'!P$6),10*((IF('Advanced Entry'!P$5="Logarithm",LN(0.001+'Advanced Entry'!P110),IF('Advanced Entry'!P$5="Exponential",EXP('Advanced Entry'!P110),'Advanced Entry'!P110)))-'Advanced Entry'!P$6)/('Advanced Entry'!P$7-'Advanced Entry'!P$6)),1))),"No data"))</f>
        <v/>
      </c>
      <c r="Q110" s="17">
        <f>IF('Advanced Entry'!Q110="","",IFERROR(MAX(0,MIN(10,ROUND(IF('Advanced Entry'!Q$8="Decrease Risk",10-10*((IF('Advanced Entry'!Q$5="Logarithm",LN(0.001+'Advanced Entry'!Q110),IF('Advanced Entry'!Q$5="Exponential",EXP('Advanced Entry'!Q110),'Advanced Entry'!Q110)))-'Advanced Entry'!Q$6)/('Advanced Entry'!Q$7-'Advanced Entry'!Q$6),10*((IF('Advanced Entry'!Q$5="Logarithm",LN(0.001+'Advanced Entry'!Q110),IF('Advanced Entry'!Q$5="Exponential",EXP('Advanced Entry'!Q110),'Advanced Entry'!Q110)))-'Advanced Entry'!Q$6)/('Advanced Entry'!Q$7-'Advanced Entry'!Q$6)),1))),"No data"))</f>
        <v/>
      </c>
      <c r="R110" s="17">
        <f>IF('Advanced Entry'!R110="","",IFERROR(MAX(0,MIN(10,ROUND(IF('Advanced Entry'!R$8="Decrease Risk",10-10*((IF('Advanced Entry'!R$5="Logarithm",LN(0.001+'Advanced Entry'!R110),IF('Advanced Entry'!R$5="Exponential",EXP('Advanced Entry'!R110),'Advanced Entry'!R110)))-'Advanced Entry'!R$6)/('Advanced Entry'!R$7-'Advanced Entry'!R$6),10*((IF('Advanced Entry'!R$5="Logarithm",LN(0.001+'Advanced Entry'!R110),IF('Advanced Entry'!R$5="Exponential",EXP('Advanced Entry'!R110),'Advanced Entry'!R110)))-'Advanced Entry'!R$6)/('Advanced Entry'!R$7-'Advanced Entry'!R$6)),1))),"No data"))</f>
        <v/>
      </c>
      <c r="S110" s="17">
        <f>IF('Advanced Entry'!S110="","",IFERROR(MAX(0,MIN(10,ROUND(IF('Advanced Entry'!S$8="Decrease Risk",10-10*((IF('Advanced Entry'!S$5="Logarithm",LN(0.001+'Advanced Entry'!S110),IF('Advanced Entry'!S$5="Exponential",EXP('Advanced Entry'!S110),'Advanced Entry'!S110)))-'Advanced Entry'!S$6)/('Advanced Entry'!S$7-'Advanced Entry'!S$6),10*((IF('Advanced Entry'!S$5="Logarithm",LN(0.001+'Advanced Entry'!S110),IF('Advanced Entry'!S$5="Exponential",EXP('Advanced Entry'!S110),'Advanced Entry'!S110)))-'Advanced Entry'!S$6)/('Advanced Entry'!S$7-'Advanced Entry'!S$6)),1))),"No data"))</f>
        <v/>
      </c>
      <c r="T110" s="17">
        <f>IF('Advanced Entry'!T110="","",IFERROR(MAX(0,MIN(10,ROUND(IF('Advanced Entry'!T$8="Decrease Risk",10-10*((IF('Advanced Entry'!T$5="Logarithm",LN(0.001+'Advanced Entry'!T110),IF('Advanced Entry'!T$5="Exponential",EXP('Advanced Entry'!T110),'Advanced Entry'!T110)))-'Advanced Entry'!T$6)/('Advanced Entry'!T$7-'Advanced Entry'!T$6),10*((IF('Advanced Entry'!T$5="Logarithm",LN(0.001+'Advanced Entry'!T110),IF('Advanced Entry'!T$5="Exponential",EXP('Advanced Entry'!T110),'Advanced Entry'!T110)))-'Advanced Entry'!T$6)/('Advanced Entry'!T$7-'Advanced Entry'!T$6)),1))),"No data"))</f>
        <v/>
      </c>
      <c r="U110" s="17">
        <f>IF('Advanced Entry'!U110="","",IFERROR(MAX(0,MIN(10,ROUND(IF('Advanced Entry'!U$8="Decrease Risk",10-10*((IF('Advanced Entry'!U$5="Logarithm",LN(0.001+'Advanced Entry'!U110),IF('Advanced Entry'!U$5="Exponential",EXP('Advanced Entry'!U110),'Advanced Entry'!U110)))-'Advanced Entry'!U$6)/('Advanced Entry'!U$7-'Advanced Entry'!U$6),10*((IF('Advanced Entry'!U$5="Logarithm",LN(0.001+'Advanced Entry'!U110),IF('Advanced Entry'!U$5="Exponential",EXP('Advanced Entry'!U110),'Advanced Entry'!U110)))-'Advanced Entry'!U$6)/('Advanced Entry'!U$7-'Advanced Entry'!U$6)),1))),"No data"))</f>
        <v/>
      </c>
      <c r="V110" s="17">
        <f>IF('Advanced Entry'!V110="","",IFERROR(MAX(0,MIN(10,ROUND(IF('Advanced Entry'!V$8="Decrease Risk",10-10*((IF('Advanced Entry'!V$5="Logarithm",LN(0.001+'Advanced Entry'!V110),IF('Advanced Entry'!V$5="Exponential",EXP('Advanced Entry'!V110),'Advanced Entry'!V110)))-'Advanced Entry'!V$6)/('Advanced Entry'!V$7-'Advanced Entry'!V$6),10*((IF('Advanced Entry'!V$5="Logarithm",LN(0.001+'Advanced Entry'!V110),IF('Advanced Entry'!V$5="Exponential",EXP('Advanced Entry'!V110),'Advanced Entry'!V110)))-'Advanced Entry'!V$6)/('Advanced Entry'!V$7-'Advanced Entry'!V$6)),1))),"No data"))</f>
        <v/>
      </c>
      <c r="W110" s="17">
        <f>IF('Advanced Entry'!W110="","",IFERROR(MAX(0,MIN(10,ROUND(IF('Advanced Entry'!W$8="Decrease Risk",10-10*((IF('Advanced Entry'!W$5="Logarithm",LN(0.001+'Advanced Entry'!W110),IF('Advanced Entry'!W$5="Exponential",EXP('Advanced Entry'!W110),'Advanced Entry'!W110)))-'Advanced Entry'!W$6)/('Advanced Entry'!W$7-'Advanced Entry'!W$6),10*((IF('Advanced Entry'!W$5="Logarithm",LN(0.001+'Advanced Entry'!W110),IF('Advanced Entry'!W$5="Exponential",EXP('Advanced Entry'!W110),'Advanced Entry'!W110)))-'Advanced Entry'!W$6)/('Advanced Entry'!W$7-'Advanced Entry'!W$6)),1))),"No data"))</f>
        <v/>
      </c>
      <c r="X110" s="17">
        <f>IF('Advanced Entry'!X110="","",IFERROR(MAX(0,MIN(10,ROUND(IF('Advanced Entry'!X$8="Decrease Risk",10-10*((IF('Advanced Entry'!X$5="Logarithm",LN(0.001+'Advanced Entry'!X110),IF('Advanced Entry'!X$5="Exponential",EXP('Advanced Entry'!X110),'Advanced Entry'!X110)))-'Advanced Entry'!X$6)/('Advanced Entry'!X$7-'Advanced Entry'!X$6),10*((IF('Advanced Entry'!X$5="Logarithm",LN(0.001+'Advanced Entry'!X110),IF('Advanced Entry'!X$5="Exponential",EXP('Advanced Entry'!X110),'Advanced Entry'!X110)))-'Advanced Entry'!X$6)/('Advanced Entry'!X$7-'Advanced Entry'!X$6)),1))),"No data"))</f>
        <v/>
      </c>
      <c r="Y110" s="17">
        <f>IF('Advanced Entry'!Y110="","",IFERROR(MAX(0,MIN(10,ROUND(IF('Advanced Entry'!Y$8="Decrease Risk",10-10*((IF('Advanced Entry'!Y$5="Logarithm",LN(0.001+'Advanced Entry'!Y110),IF('Advanced Entry'!Y$5="Exponential",EXP('Advanced Entry'!Y110),'Advanced Entry'!Y110)))-'Advanced Entry'!Y$6)/('Advanced Entry'!Y$7-'Advanced Entry'!Y$6),10*((IF('Advanced Entry'!Y$5="Logarithm",LN(0.001+'Advanced Entry'!Y110),IF('Advanced Entry'!Y$5="Exponential",EXP('Advanced Entry'!Y110),'Advanced Entry'!Y110)))-'Advanced Entry'!Y$6)/('Advanced Entry'!Y$7-'Advanced Entry'!Y$6)),1))),"No data"))</f>
        <v/>
      </c>
      <c r="Z110" s="17">
        <f>IF('Advanced Entry'!Z110="","",IFERROR(MAX(0,MIN(10,ROUND(IF('Advanced Entry'!Z$8="Decrease Risk",10-10*((IF('Advanced Entry'!Z$5="Logarithm",LN(0.001+'Advanced Entry'!Z110),IF('Advanced Entry'!Z$5="Exponential",EXP('Advanced Entry'!Z110),'Advanced Entry'!Z110)))-'Advanced Entry'!Z$6)/('Advanced Entry'!Z$7-'Advanced Entry'!Z$6),10*((IF('Advanced Entry'!Z$5="Logarithm",LN(0.001+'Advanced Entry'!Z110),IF('Advanced Entry'!Z$5="Exponential",EXP('Advanced Entry'!Z110),'Advanced Entry'!Z110)))-'Advanced Entry'!Z$6)/('Advanced Entry'!Z$7-'Advanced Entry'!Z$6)),1))),"No data"))</f>
        <v/>
      </c>
      <c r="AA110" s="17">
        <f>IF('Advanced Entry'!AA110="","",IFERROR(MAX(0,MIN(10,ROUND(IF('Advanced Entry'!AA$8="Decrease Risk",10-10*((IF('Advanced Entry'!AA$5="Logarithm",LN(0.001+'Advanced Entry'!AA110),IF('Advanced Entry'!AA$5="Exponential",EXP('Advanced Entry'!AA110),'Advanced Entry'!AA110)))-'Advanced Entry'!AA$6)/('Advanced Entry'!AA$7-'Advanced Entry'!AA$6),10*((IF('Advanced Entry'!AA$5="Logarithm",LN(0.001+'Advanced Entry'!AA110),IF('Advanced Entry'!AA$5="Exponential",EXP('Advanced Entry'!AA110),'Advanced Entry'!AA110)))-'Advanced Entry'!AA$6)/('Advanced Entry'!AA$7-'Advanced Entry'!AA$6)),1))),"No data"))</f>
        <v/>
      </c>
      <c r="AB110" s="17">
        <f>IF('Advanced Entry'!AB110="","",IFERROR(MAX(0,MIN(10,ROUND(IF('Advanced Entry'!AB$8="Decrease Risk",10-10*((IF('Advanced Entry'!AB$5="Logarithm",LN(0.001+'Advanced Entry'!AB110),IF('Advanced Entry'!AB$5="Exponential",EXP('Advanced Entry'!AB110),'Advanced Entry'!AB110)))-'Advanced Entry'!AB$6)/('Advanced Entry'!AB$7-'Advanced Entry'!AB$6),10*((IF('Advanced Entry'!AB$5="Logarithm",LN(0.001+'Advanced Entry'!AB110),IF('Advanced Entry'!AB$5="Exponential",EXP('Advanced Entry'!AB110),'Advanced Entry'!AB110)))-'Advanced Entry'!AB$6)/('Advanced Entry'!AB$7-'Advanced Entry'!AB$6)),1))),"No data"))</f>
        <v/>
      </c>
    </row>
    <row r="111">
      <c r="A111" t="inlineStr">
        <is>
          <t>Morogoro</t>
        </is>
      </c>
      <c r="B111" t="inlineStr">
        <is>
          <t>Ifakara Town</t>
        </is>
      </c>
      <c r="C111" t="inlineStr">
        <is>
          <t>C038</t>
        </is>
      </c>
      <c r="D111" s="17">
        <f>IF('Advanced Entry'!D111="","",IFERROR(MAX(0,MIN(10,ROUND(IF('Advanced Entry'!D$8="Decrease Risk",10-10*((IF('Advanced Entry'!D$5="Logarithm",LN(0.001+'Advanced Entry'!D111),IF('Advanced Entry'!D$5="Exponential",EXP('Advanced Entry'!D111),'Advanced Entry'!D111)))-'Advanced Entry'!D$6)/('Advanced Entry'!D$7-'Advanced Entry'!D$6),10*((IF('Advanced Entry'!D$5="Logarithm",LN(0.001+'Advanced Entry'!D111),IF('Advanced Entry'!D$5="Exponential",EXP('Advanced Entry'!D111),'Advanced Entry'!D111)))-'Advanced Entry'!D$6)/('Advanced Entry'!D$7-'Advanced Entry'!D$6)),1))),"No data"))</f>
        <v/>
      </c>
      <c r="E111" s="17">
        <f>IF('Advanced Entry'!E111="","",IFERROR(MAX(0,MIN(10,ROUND(IF('Advanced Entry'!E$8="Decrease Risk",10-10*((IF('Advanced Entry'!E$5="Logarithm",LN(0.001+'Advanced Entry'!E111),IF('Advanced Entry'!E$5="Exponential",EXP('Advanced Entry'!E111),'Advanced Entry'!E111)))-'Advanced Entry'!E$6)/('Advanced Entry'!E$7-'Advanced Entry'!E$6),10*((IF('Advanced Entry'!E$5="Logarithm",LN(0.001+'Advanced Entry'!E111),IF('Advanced Entry'!E$5="Exponential",EXP('Advanced Entry'!E111),'Advanced Entry'!E111)))-'Advanced Entry'!E$6)/('Advanced Entry'!E$7-'Advanced Entry'!E$6)),1))),"No data"))</f>
        <v/>
      </c>
      <c r="F111" s="17">
        <f>IF('Advanced Entry'!F111="","",IFERROR(MAX(0,MIN(10,ROUND(IF('Advanced Entry'!F$8="Decrease Risk",10-10*((IF('Advanced Entry'!F$5="Logarithm",LN(0.001+'Advanced Entry'!F111),IF('Advanced Entry'!F$5="Exponential",EXP('Advanced Entry'!F111),'Advanced Entry'!F111)))-'Advanced Entry'!F$6)/('Advanced Entry'!F$7-'Advanced Entry'!F$6),10*((IF('Advanced Entry'!F$5="Logarithm",LN(0.001+'Advanced Entry'!F111),IF('Advanced Entry'!F$5="Exponential",EXP('Advanced Entry'!F111),'Advanced Entry'!F111)))-'Advanced Entry'!F$6)/('Advanced Entry'!F$7-'Advanced Entry'!F$6)),1))),"No data"))</f>
        <v/>
      </c>
      <c r="G111" s="17">
        <f>IF('Advanced Entry'!G111="","",IFERROR(MAX(0,MIN(10,ROUND(IF('Advanced Entry'!G$8="Decrease Risk",10-10*((IF('Advanced Entry'!G$5="Logarithm",LN(0.001+'Advanced Entry'!G111),IF('Advanced Entry'!G$5="Exponential",EXP('Advanced Entry'!G111),'Advanced Entry'!G111)))-'Advanced Entry'!G$6)/('Advanced Entry'!G$7-'Advanced Entry'!G$6),10*((IF('Advanced Entry'!G$5="Logarithm",LN(0.001+'Advanced Entry'!G111),IF('Advanced Entry'!G$5="Exponential",EXP('Advanced Entry'!G111),'Advanced Entry'!G111)))-'Advanced Entry'!G$6)/('Advanced Entry'!G$7-'Advanced Entry'!G$6)),1))),"No data"))</f>
        <v/>
      </c>
      <c r="H111" s="17">
        <f>IF('Advanced Entry'!H111="","",IFERROR(MAX(0,MIN(10,ROUND(IF('Advanced Entry'!H$8="Decrease Risk",10-10*((IF('Advanced Entry'!H$5="Logarithm",LN(0.001+'Advanced Entry'!H111),IF('Advanced Entry'!H$5="Exponential",EXP('Advanced Entry'!H111),'Advanced Entry'!H111)))-'Advanced Entry'!H$6)/('Advanced Entry'!H$7-'Advanced Entry'!H$6),10*((IF('Advanced Entry'!H$5="Logarithm",LN(0.001+'Advanced Entry'!H111),IF('Advanced Entry'!H$5="Exponential",EXP('Advanced Entry'!H111),'Advanced Entry'!H111)))-'Advanced Entry'!H$6)/('Advanced Entry'!H$7-'Advanced Entry'!H$6)),1))),"No data"))</f>
        <v/>
      </c>
      <c r="I111" s="17">
        <f>IF('Advanced Entry'!I111="","",IFERROR(MAX(0,MIN(10,ROUND(IF('Advanced Entry'!I$8="Decrease Risk",10-10*((IF('Advanced Entry'!I$5="Logarithm",LN(0.001+'Advanced Entry'!I111),IF('Advanced Entry'!I$5="Exponential",EXP('Advanced Entry'!I111),'Advanced Entry'!I111)))-'Advanced Entry'!I$6)/('Advanced Entry'!I$7-'Advanced Entry'!I$6),10*((IF('Advanced Entry'!I$5="Logarithm",LN(0.001+'Advanced Entry'!I111),IF('Advanced Entry'!I$5="Exponential",EXP('Advanced Entry'!I111),'Advanced Entry'!I111)))-'Advanced Entry'!I$6)/('Advanced Entry'!I$7-'Advanced Entry'!I$6)),1))),"No data"))</f>
        <v/>
      </c>
      <c r="J111" s="17">
        <f>IF('Advanced Entry'!J111="","",IFERROR(MAX(0,MIN(10,ROUND(IF('Advanced Entry'!J$8="Decrease Risk",10-10*((IF('Advanced Entry'!J$5="Logarithm",LN(0.001+'Advanced Entry'!J111),IF('Advanced Entry'!J$5="Exponential",EXP('Advanced Entry'!J111),'Advanced Entry'!J111)))-'Advanced Entry'!J$6)/('Advanced Entry'!J$7-'Advanced Entry'!J$6),10*((IF('Advanced Entry'!J$5="Logarithm",LN(0.001+'Advanced Entry'!J111),IF('Advanced Entry'!J$5="Exponential",EXP('Advanced Entry'!J111),'Advanced Entry'!J111)))-'Advanced Entry'!J$6)/('Advanced Entry'!J$7-'Advanced Entry'!J$6)),1))),"No data"))</f>
        <v/>
      </c>
      <c r="K111" s="17">
        <f>IF('Advanced Entry'!K111="","",IFERROR(MAX(0,MIN(10,ROUND(IF('Advanced Entry'!K$8="Decrease Risk",10-10*((IF('Advanced Entry'!K$5="Logarithm",LN(0.001+'Advanced Entry'!K111),IF('Advanced Entry'!K$5="Exponential",EXP('Advanced Entry'!K111),'Advanced Entry'!K111)))-'Advanced Entry'!K$6)/('Advanced Entry'!K$7-'Advanced Entry'!K$6),10*((IF('Advanced Entry'!K$5="Logarithm",LN(0.001+'Advanced Entry'!K111),IF('Advanced Entry'!K$5="Exponential",EXP('Advanced Entry'!K111),'Advanced Entry'!K111)))-'Advanced Entry'!K$6)/('Advanced Entry'!K$7-'Advanced Entry'!K$6)),1))),"No data"))</f>
        <v/>
      </c>
      <c r="L111" s="17">
        <f>IF('Advanced Entry'!L111="","",IFERROR(MAX(0,MIN(10,ROUND(IF('Advanced Entry'!L$8="Decrease Risk",10-10*((IF('Advanced Entry'!L$5="Logarithm",LN(0.001+'Advanced Entry'!L111),IF('Advanced Entry'!L$5="Exponential",EXP('Advanced Entry'!L111),'Advanced Entry'!L111)))-'Advanced Entry'!L$6)/('Advanced Entry'!L$7-'Advanced Entry'!L$6),10*((IF('Advanced Entry'!L$5="Logarithm",LN(0.001+'Advanced Entry'!L111),IF('Advanced Entry'!L$5="Exponential",EXP('Advanced Entry'!L111),'Advanced Entry'!L111)))-'Advanced Entry'!L$6)/('Advanced Entry'!L$7-'Advanced Entry'!L$6)),1))),"No data"))</f>
        <v/>
      </c>
      <c r="M111" s="17">
        <f>IF('Advanced Entry'!M111="","",IFERROR(MAX(0,MIN(10,ROUND(IF('Advanced Entry'!M$8="Decrease Risk",10-10*((IF('Advanced Entry'!M$5="Logarithm",LN(0.001+'Advanced Entry'!M111),IF('Advanced Entry'!M$5="Exponential",EXP('Advanced Entry'!M111),'Advanced Entry'!M111)))-'Advanced Entry'!M$6)/('Advanced Entry'!M$7-'Advanced Entry'!M$6),10*((IF('Advanced Entry'!M$5="Logarithm",LN(0.001+'Advanced Entry'!M111),IF('Advanced Entry'!M$5="Exponential",EXP('Advanced Entry'!M111),'Advanced Entry'!M111)))-'Advanced Entry'!M$6)/('Advanced Entry'!M$7-'Advanced Entry'!M$6)),1))),"No data"))</f>
        <v/>
      </c>
      <c r="N111" s="17">
        <f>IF('Advanced Entry'!N111="","",IFERROR(MAX(0,MIN(10,ROUND(IF('Advanced Entry'!N$8="Decrease Risk",10-10*((IF('Advanced Entry'!N$5="Logarithm",LN(0.001+'Advanced Entry'!N111),IF('Advanced Entry'!N$5="Exponential",EXP('Advanced Entry'!N111),'Advanced Entry'!N111)))-'Advanced Entry'!N$6)/('Advanced Entry'!N$7-'Advanced Entry'!N$6),10*((IF('Advanced Entry'!N$5="Logarithm",LN(0.001+'Advanced Entry'!N111),IF('Advanced Entry'!N$5="Exponential",EXP('Advanced Entry'!N111),'Advanced Entry'!N111)))-'Advanced Entry'!N$6)/('Advanced Entry'!N$7-'Advanced Entry'!N$6)),1))),"No data"))</f>
        <v/>
      </c>
      <c r="O111" s="17">
        <f>IF('Advanced Entry'!O111="","",IFERROR(MAX(0,MIN(10,ROUND(IF('Advanced Entry'!O$8="Decrease Risk",10-10*((IF('Advanced Entry'!O$5="Logarithm",LN(0.001+'Advanced Entry'!O111),IF('Advanced Entry'!O$5="Exponential",EXP('Advanced Entry'!O111),'Advanced Entry'!O111)))-'Advanced Entry'!O$6)/('Advanced Entry'!O$7-'Advanced Entry'!O$6),10*((IF('Advanced Entry'!O$5="Logarithm",LN(0.001+'Advanced Entry'!O111),IF('Advanced Entry'!O$5="Exponential",EXP('Advanced Entry'!O111),'Advanced Entry'!O111)))-'Advanced Entry'!O$6)/('Advanced Entry'!O$7-'Advanced Entry'!O$6)),1))),"No data"))</f>
        <v/>
      </c>
      <c r="P111" s="17">
        <f>IF('Advanced Entry'!P111="","",IFERROR(MAX(0,MIN(10,ROUND(IF('Advanced Entry'!P$8="Decrease Risk",10-10*((IF('Advanced Entry'!P$5="Logarithm",LN(0.001+'Advanced Entry'!P111),IF('Advanced Entry'!P$5="Exponential",EXP('Advanced Entry'!P111),'Advanced Entry'!P111)))-'Advanced Entry'!P$6)/('Advanced Entry'!P$7-'Advanced Entry'!P$6),10*((IF('Advanced Entry'!P$5="Logarithm",LN(0.001+'Advanced Entry'!P111),IF('Advanced Entry'!P$5="Exponential",EXP('Advanced Entry'!P111),'Advanced Entry'!P111)))-'Advanced Entry'!P$6)/('Advanced Entry'!P$7-'Advanced Entry'!P$6)),1))),"No data"))</f>
        <v/>
      </c>
      <c r="Q111" s="17">
        <f>IF('Advanced Entry'!Q111="","",IFERROR(MAX(0,MIN(10,ROUND(IF('Advanced Entry'!Q$8="Decrease Risk",10-10*((IF('Advanced Entry'!Q$5="Logarithm",LN(0.001+'Advanced Entry'!Q111),IF('Advanced Entry'!Q$5="Exponential",EXP('Advanced Entry'!Q111),'Advanced Entry'!Q111)))-'Advanced Entry'!Q$6)/('Advanced Entry'!Q$7-'Advanced Entry'!Q$6),10*((IF('Advanced Entry'!Q$5="Logarithm",LN(0.001+'Advanced Entry'!Q111),IF('Advanced Entry'!Q$5="Exponential",EXP('Advanced Entry'!Q111),'Advanced Entry'!Q111)))-'Advanced Entry'!Q$6)/('Advanced Entry'!Q$7-'Advanced Entry'!Q$6)),1))),"No data"))</f>
        <v/>
      </c>
      <c r="R111" s="17">
        <f>IF('Advanced Entry'!R111="","",IFERROR(MAX(0,MIN(10,ROUND(IF('Advanced Entry'!R$8="Decrease Risk",10-10*((IF('Advanced Entry'!R$5="Logarithm",LN(0.001+'Advanced Entry'!R111),IF('Advanced Entry'!R$5="Exponential",EXP('Advanced Entry'!R111),'Advanced Entry'!R111)))-'Advanced Entry'!R$6)/('Advanced Entry'!R$7-'Advanced Entry'!R$6),10*((IF('Advanced Entry'!R$5="Logarithm",LN(0.001+'Advanced Entry'!R111),IF('Advanced Entry'!R$5="Exponential",EXP('Advanced Entry'!R111),'Advanced Entry'!R111)))-'Advanced Entry'!R$6)/('Advanced Entry'!R$7-'Advanced Entry'!R$6)),1))),"No data"))</f>
        <v/>
      </c>
      <c r="S111" s="17">
        <f>IF('Advanced Entry'!S111="","",IFERROR(MAX(0,MIN(10,ROUND(IF('Advanced Entry'!S$8="Decrease Risk",10-10*((IF('Advanced Entry'!S$5="Logarithm",LN(0.001+'Advanced Entry'!S111),IF('Advanced Entry'!S$5="Exponential",EXP('Advanced Entry'!S111),'Advanced Entry'!S111)))-'Advanced Entry'!S$6)/('Advanced Entry'!S$7-'Advanced Entry'!S$6),10*((IF('Advanced Entry'!S$5="Logarithm",LN(0.001+'Advanced Entry'!S111),IF('Advanced Entry'!S$5="Exponential",EXP('Advanced Entry'!S111),'Advanced Entry'!S111)))-'Advanced Entry'!S$6)/('Advanced Entry'!S$7-'Advanced Entry'!S$6)),1))),"No data"))</f>
        <v/>
      </c>
      <c r="T111" s="17">
        <f>IF('Advanced Entry'!T111="","",IFERROR(MAX(0,MIN(10,ROUND(IF('Advanced Entry'!T$8="Decrease Risk",10-10*((IF('Advanced Entry'!T$5="Logarithm",LN(0.001+'Advanced Entry'!T111),IF('Advanced Entry'!T$5="Exponential",EXP('Advanced Entry'!T111),'Advanced Entry'!T111)))-'Advanced Entry'!T$6)/('Advanced Entry'!T$7-'Advanced Entry'!T$6),10*((IF('Advanced Entry'!T$5="Logarithm",LN(0.001+'Advanced Entry'!T111),IF('Advanced Entry'!T$5="Exponential",EXP('Advanced Entry'!T111),'Advanced Entry'!T111)))-'Advanced Entry'!T$6)/('Advanced Entry'!T$7-'Advanced Entry'!T$6)),1))),"No data"))</f>
        <v/>
      </c>
      <c r="U111" s="17">
        <f>IF('Advanced Entry'!U111="","",IFERROR(MAX(0,MIN(10,ROUND(IF('Advanced Entry'!U$8="Decrease Risk",10-10*((IF('Advanced Entry'!U$5="Logarithm",LN(0.001+'Advanced Entry'!U111),IF('Advanced Entry'!U$5="Exponential",EXP('Advanced Entry'!U111),'Advanced Entry'!U111)))-'Advanced Entry'!U$6)/('Advanced Entry'!U$7-'Advanced Entry'!U$6),10*((IF('Advanced Entry'!U$5="Logarithm",LN(0.001+'Advanced Entry'!U111),IF('Advanced Entry'!U$5="Exponential",EXP('Advanced Entry'!U111),'Advanced Entry'!U111)))-'Advanced Entry'!U$6)/('Advanced Entry'!U$7-'Advanced Entry'!U$6)),1))),"No data"))</f>
        <v/>
      </c>
      <c r="V111" s="17">
        <f>IF('Advanced Entry'!V111="","",IFERROR(MAX(0,MIN(10,ROUND(IF('Advanced Entry'!V$8="Decrease Risk",10-10*((IF('Advanced Entry'!V$5="Logarithm",LN(0.001+'Advanced Entry'!V111),IF('Advanced Entry'!V$5="Exponential",EXP('Advanced Entry'!V111),'Advanced Entry'!V111)))-'Advanced Entry'!V$6)/('Advanced Entry'!V$7-'Advanced Entry'!V$6),10*((IF('Advanced Entry'!V$5="Logarithm",LN(0.001+'Advanced Entry'!V111),IF('Advanced Entry'!V$5="Exponential",EXP('Advanced Entry'!V111),'Advanced Entry'!V111)))-'Advanced Entry'!V$6)/('Advanced Entry'!V$7-'Advanced Entry'!V$6)),1))),"No data"))</f>
        <v/>
      </c>
      <c r="W111" s="17">
        <f>IF('Advanced Entry'!W111="","",IFERROR(MAX(0,MIN(10,ROUND(IF('Advanced Entry'!W$8="Decrease Risk",10-10*((IF('Advanced Entry'!W$5="Logarithm",LN(0.001+'Advanced Entry'!W111),IF('Advanced Entry'!W$5="Exponential",EXP('Advanced Entry'!W111),'Advanced Entry'!W111)))-'Advanced Entry'!W$6)/('Advanced Entry'!W$7-'Advanced Entry'!W$6),10*((IF('Advanced Entry'!W$5="Logarithm",LN(0.001+'Advanced Entry'!W111),IF('Advanced Entry'!W$5="Exponential",EXP('Advanced Entry'!W111),'Advanced Entry'!W111)))-'Advanced Entry'!W$6)/('Advanced Entry'!W$7-'Advanced Entry'!W$6)),1))),"No data"))</f>
        <v/>
      </c>
      <c r="X111" s="17">
        <f>IF('Advanced Entry'!X111="","",IFERROR(MAX(0,MIN(10,ROUND(IF('Advanced Entry'!X$8="Decrease Risk",10-10*((IF('Advanced Entry'!X$5="Logarithm",LN(0.001+'Advanced Entry'!X111),IF('Advanced Entry'!X$5="Exponential",EXP('Advanced Entry'!X111),'Advanced Entry'!X111)))-'Advanced Entry'!X$6)/('Advanced Entry'!X$7-'Advanced Entry'!X$6),10*((IF('Advanced Entry'!X$5="Logarithm",LN(0.001+'Advanced Entry'!X111),IF('Advanced Entry'!X$5="Exponential",EXP('Advanced Entry'!X111),'Advanced Entry'!X111)))-'Advanced Entry'!X$6)/('Advanced Entry'!X$7-'Advanced Entry'!X$6)),1))),"No data"))</f>
        <v/>
      </c>
      <c r="Y111" s="17">
        <f>IF('Advanced Entry'!Y111="","",IFERROR(MAX(0,MIN(10,ROUND(IF('Advanced Entry'!Y$8="Decrease Risk",10-10*((IF('Advanced Entry'!Y$5="Logarithm",LN(0.001+'Advanced Entry'!Y111),IF('Advanced Entry'!Y$5="Exponential",EXP('Advanced Entry'!Y111),'Advanced Entry'!Y111)))-'Advanced Entry'!Y$6)/('Advanced Entry'!Y$7-'Advanced Entry'!Y$6),10*((IF('Advanced Entry'!Y$5="Logarithm",LN(0.001+'Advanced Entry'!Y111),IF('Advanced Entry'!Y$5="Exponential",EXP('Advanced Entry'!Y111),'Advanced Entry'!Y111)))-'Advanced Entry'!Y$6)/('Advanced Entry'!Y$7-'Advanced Entry'!Y$6)),1))),"No data"))</f>
        <v/>
      </c>
      <c r="Z111" s="17">
        <f>IF('Advanced Entry'!Z111="","",IFERROR(MAX(0,MIN(10,ROUND(IF('Advanced Entry'!Z$8="Decrease Risk",10-10*((IF('Advanced Entry'!Z$5="Logarithm",LN(0.001+'Advanced Entry'!Z111),IF('Advanced Entry'!Z$5="Exponential",EXP('Advanced Entry'!Z111),'Advanced Entry'!Z111)))-'Advanced Entry'!Z$6)/('Advanced Entry'!Z$7-'Advanced Entry'!Z$6),10*((IF('Advanced Entry'!Z$5="Logarithm",LN(0.001+'Advanced Entry'!Z111),IF('Advanced Entry'!Z$5="Exponential",EXP('Advanced Entry'!Z111),'Advanced Entry'!Z111)))-'Advanced Entry'!Z$6)/('Advanced Entry'!Z$7-'Advanced Entry'!Z$6)),1))),"No data"))</f>
        <v/>
      </c>
      <c r="AA111" s="17">
        <f>IF('Advanced Entry'!AA111="","",IFERROR(MAX(0,MIN(10,ROUND(IF('Advanced Entry'!AA$8="Decrease Risk",10-10*((IF('Advanced Entry'!AA$5="Logarithm",LN(0.001+'Advanced Entry'!AA111),IF('Advanced Entry'!AA$5="Exponential",EXP('Advanced Entry'!AA111),'Advanced Entry'!AA111)))-'Advanced Entry'!AA$6)/('Advanced Entry'!AA$7-'Advanced Entry'!AA$6),10*((IF('Advanced Entry'!AA$5="Logarithm",LN(0.001+'Advanced Entry'!AA111),IF('Advanced Entry'!AA$5="Exponential",EXP('Advanced Entry'!AA111),'Advanced Entry'!AA111)))-'Advanced Entry'!AA$6)/('Advanced Entry'!AA$7-'Advanced Entry'!AA$6)),1))),"No data"))</f>
        <v/>
      </c>
      <c r="AB111" s="17">
        <f>IF('Advanced Entry'!AB111="","",IFERROR(MAX(0,MIN(10,ROUND(IF('Advanced Entry'!AB$8="Decrease Risk",10-10*((IF('Advanced Entry'!AB$5="Logarithm",LN(0.001+'Advanced Entry'!AB111),IF('Advanced Entry'!AB$5="Exponential",EXP('Advanced Entry'!AB111),'Advanced Entry'!AB111)))-'Advanced Entry'!AB$6)/('Advanced Entry'!AB$7-'Advanced Entry'!AB$6),10*((IF('Advanced Entry'!AB$5="Logarithm",LN(0.001+'Advanced Entry'!AB111),IF('Advanced Entry'!AB$5="Exponential",EXP('Advanced Entry'!AB111),'Advanced Entry'!AB111)))-'Advanced Entry'!AB$6)/('Advanced Entry'!AB$7-'Advanced Entry'!AB$6)),1))),"No data"))</f>
        <v/>
      </c>
    </row>
    <row r="112">
      <c r="A112" t="inlineStr">
        <is>
          <t>Morogoro</t>
        </is>
      </c>
      <c r="B112" t="inlineStr">
        <is>
          <t>Kilosa District</t>
        </is>
      </c>
      <c r="C112" t="inlineStr">
        <is>
          <t>C034</t>
        </is>
      </c>
      <c r="D112" s="17">
        <f>IF('Advanced Entry'!D112="","",IFERROR(MAX(0,MIN(10,ROUND(IF('Advanced Entry'!D$8="Decrease Risk",10-10*((IF('Advanced Entry'!D$5="Logarithm",LN(0.001+'Advanced Entry'!D112),IF('Advanced Entry'!D$5="Exponential",EXP('Advanced Entry'!D112),'Advanced Entry'!D112)))-'Advanced Entry'!D$6)/('Advanced Entry'!D$7-'Advanced Entry'!D$6),10*((IF('Advanced Entry'!D$5="Logarithm",LN(0.001+'Advanced Entry'!D112),IF('Advanced Entry'!D$5="Exponential",EXP('Advanced Entry'!D112),'Advanced Entry'!D112)))-'Advanced Entry'!D$6)/('Advanced Entry'!D$7-'Advanced Entry'!D$6)),1))),"No data"))</f>
        <v/>
      </c>
      <c r="E112" s="17">
        <f>IF('Advanced Entry'!E112="","",IFERROR(MAX(0,MIN(10,ROUND(IF('Advanced Entry'!E$8="Decrease Risk",10-10*((IF('Advanced Entry'!E$5="Logarithm",LN(0.001+'Advanced Entry'!E112),IF('Advanced Entry'!E$5="Exponential",EXP('Advanced Entry'!E112),'Advanced Entry'!E112)))-'Advanced Entry'!E$6)/('Advanced Entry'!E$7-'Advanced Entry'!E$6),10*((IF('Advanced Entry'!E$5="Logarithm",LN(0.001+'Advanced Entry'!E112),IF('Advanced Entry'!E$5="Exponential",EXP('Advanced Entry'!E112),'Advanced Entry'!E112)))-'Advanced Entry'!E$6)/('Advanced Entry'!E$7-'Advanced Entry'!E$6)),1))),"No data"))</f>
        <v/>
      </c>
      <c r="F112" s="17">
        <f>IF('Advanced Entry'!F112="","",IFERROR(MAX(0,MIN(10,ROUND(IF('Advanced Entry'!F$8="Decrease Risk",10-10*((IF('Advanced Entry'!F$5="Logarithm",LN(0.001+'Advanced Entry'!F112),IF('Advanced Entry'!F$5="Exponential",EXP('Advanced Entry'!F112),'Advanced Entry'!F112)))-'Advanced Entry'!F$6)/('Advanced Entry'!F$7-'Advanced Entry'!F$6),10*((IF('Advanced Entry'!F$5="Logarithm",LN(0.001+'Advanced Entry'!F112),IF('Advanced Entry'!F$5="Exponential",EXP('Advanced Entry'!F112),'Advanced Entry'!F112)))-'Advanced Entry'!F$6)/('Advanced Entry'!F$7-'Advanced Entry'!F$6)),1))),"No data"))</f>
        <v/>
      </c>
      <c r="G112" s="17">
        <f>IF('Advanced Entry'!G112="","",IFERROR(MAX(0,MIN(10,ROUND(IF('Advanced Entry'!G$8="Decrease Risk",10-10*((IF('Advanced Entry'!G$5="Logarithm",LN(0.001+'Advanced Entry'!G112),IF('Advanced Entry'!G$5="Exponential",EXP('Advanced Entry'!G112),'Advanced Entry'!G112)))-'Advanced Entry'!G$6)/('Advanced Entry'!G$7-'Advanced Entry'!G$6),10*((IF('Advanced Entry'!G$5="Logarithm",LN(0.001+'Advanced Entry'!G112),IF('Advanced Entry'!G$5="Exponential",EXP('Advanced Entry'!G112),'Advanced Entry'!G112)))-'Advanced Entry'!G$6)/('Advanced Entry'!G$7-'Advanced Entry'!G$6)),1))),"No data"))</f>
        <v/>
      </c>
      <c r="H112" s="17">
        <f>IF('Advanced Entry'!H112="","",IFERROR(MAX(0,MIN(10,ROUND(IF('Advanced Entry'!H$8="Decrease Risk",10-10*((IF('Advanced Entry'!H$5="Logarithm",LN(0.001+'Advanced Entry'!H112),IF('Advanced Entry'!H$5="Exponential",EXP('Advanced Entry'!H112),'Advanced Entry'!H112)))-'Advanced Entry'!H$6)/('Advanced Entry'!H$7-'Advanced Entry'!H$6),10*((IF('Advanced Entry'!H$5="Logarithm",LN(0.001+'Advanced Entry'!H112),IF('Advanced Entry'!H$5="Exponential",EXP('Advanced Entry'!H112),'Advanced Entry'!H112)))-'Advanced Entry'!H$6)/('Advanced Entry'!H$7-'Advanced Entry'!H$6)),1))),"No data"))</f>
        <v/>
      </c>
      <c r="I112" s="17">
        <f>IF('Advanced Entry'!I112="","",IFERROR(MAX(0,MIN(10,ROUND(IF('Advanced Entry'!I$8="Decrease Risk",10-10*((IF('Advanced Entry'!I$5="Logarithm",LN(0.001+'Advanced Entry'!I112),IF('Advanced Entry'!I$5="Exponential",EXP('Advanced Entry'!I112),'Advanced Entry'!I112)))-'Advanced Entry'!I$6)/('Advanced Entry'!I$7-'Advanced Entry'!I$6),10*((IF('Advanced Entry'!I$5="Logarithm",LN(0.001+'Advanced Entry'!I112),IF('Advanced Entry'!I$5="Exponential",EXP('Advanced Entry'!I112),'Advanced Entry'!I112)))-'Advanced Entry'!I$6)/('Advanced Entry'!I$7-'Advanced Entry'!I$6)),1))),"No data"))</f>
        <v/>
      </c>
      <c r="J112" s="17">
        <f>IF('Advanced Entry'!J112="","",IFERROR(MAX(0,MIN(10,ROUND(IF('Advanced Entry'!J$8="Decrease Risk",10-10*((IF('Advanced Entry'!J$5="Logarithm",LN(0.001+'Advanced Entry'!J112),IF('Advanced Entry'!J$5="Exponential",EXP('Advanced Entry'!J112),'Advanced Entry'!J112)))-'Advanced Entry'!J$6)/('Advanced Entry'!J$7-'Advanced Entry'!J$6),10*((IF('Advanced Entry'!J$5="Logarithm",LN(0.001+'Advanced Entry'!J112),IF('Advanced Entry'!J$5="Exponential",EXP('Advanced Entry'!J112),'Advanced Entry'!J112)))-'Advanced Entry'!J$6)/('Advanced Entry'!J$7-'Advanced Entry'!J$6)),1))),"No data"))</f>
        <v/>
      </c>
      <c r="K112" s="17">
        <f>IF('Advanced Entry'!K112="","",IFERROR(MAX(0,MIN(10,ROUND(IF('Advanced Entry'!K$8="Decrease Risk",10-10*((IF('Advanced Entry'!K$5="Logarithm",LN(0.001+'Advanced Entry'!K112),IF('Advanced Entry'!K$5="Exponential",EXP('Advanced Entry'!K112),'Advanced Entry'!K112)))-'Advanced Entry'!K$6)/('Advanced Entry'!K$7-'Advanced Entry'!K$6),10*((IF('Advanced Entry'!K$5="Logarithm",LN(0.001+'Advanced Entry'!K112),IF('Advanced Entry'!K$5="Exponential",EXP('Advanced Entry'!K112),'Advanced Entry'!K112)))-'Advanced Entry'!K$6)/('Advanced Entry'!K$7-'Advanced Entry'!K$6)),1))),"No data"))</f>
        <v/>
      </c>
      <c r="L112" s="17">
        <f>IF('Advanced Entry'!L112="","",IFERROR(MAX(0,MIN(10,ROUND(IF('Advanced Entry'!L$8="Decrease Risk",10-10*((IF('Advanced Entry'!L$5="Logarithm",LN(0.001+'Advanced Entry'!L112),IF('Advanced Entry'!L$5="Exponential",EXP('Advanced Entry'!L112),'Advanced Entry'!L112)))-'Advanced Entry'!L$6)/('Advanced Entry'!L$7-'Advanced Entry'!L$6),10*((IF('Advanced Entry'!L$5="Logarithm",LN(0.001+'Advanced Entry'!L112),IF('Advanced Entry'!L$5="Exponential",EXP('Advanced Entry'!L112),'Advanced Entry'!L112)))-'Advanced Entry'!L$6)/('Advanced Entry'!L$7-'Advanced Entry'!L$6)),1))),"No data"))</f>
        <v/>
      </c>
      <c r="M112" s="17">
        <f>IF('Advanced Entry'!M112="","",IFERROR(MAX(0,MIN(10,ROUND(IF('Advanced Entry'!M$8="Decrease Risk",10-10*((IF('Advanced Entry'!M$5="Logarithm",LN(0.001+'Advanced Entry'!M112),IF('Advanced Entry'!M$5="Exponential",EXP('Advanced Entry'!M112),'Advanced Entry'!M112)))-'Advanced Entry'!M$6)/('Advanced Entry'!M$7-'Advanced Entry'!M$6),10*((IF('Advanced Entry'!M$5="Logarithm",LN(0.001+'Advanced Entry'!M112),IF('Advanced Entry'!M$5="Exponential",EXP('Advanced Entry'!M112),'Advanced Entry'!M112)))-'Advanced Entry'!M$6)/('Advanced Entry'!M$7-'Advanced Entry'!M$6)),1))),"No data"))</f>
        <v/>
      </c>
      <c r="N112" s="17">
        <f>IF('Advanced Entry'!N112="","",IFERROR(MAX(0,MIN(10,ROUND(IF('Advanced Entry'!N$8="Decrease Risk",10-10*((IF('Advanced Entry'!N$5="Logarithm",LN(0.001+'Advanced Entry'!N112),IF('Advanced Entry'!N$5="Exponential",EXP('Advanced Entry'!N112),'Advanced Entry'!N112)))-'Advanced Entry'!N$6)/('Advanced Entry'!N$7-'Advanced Entry'!N$6),10*((IF('Advanced Entry'!N$5="Logarithm",LN(0.001+'Advanced Entry'!N112),IF('Advanced Entry'!N$5="Exponential",EXP('Advanced Entry'!N112),'Advanced Entry'!N112)))-'Advanced Entry'!N$6)/('Advanced Entry'!N$7-'Advanced Entry'!N$6)),1))),"No data"))</f>
        <v/>
      </c>
      <c r="O112" s="17">
        <f>IF('Advanced Entry'!O112="","",IFERROR(MAX(0,MIN(10,ROUND(IF('Advanced Entry'!O$8="Decrease Risk",10-10*((IF('Advanced Entry'!O$5="Logarithm",LN(0.001+'Advanced Entry'!O112),IF('Advanced Entry'!O$5="Exponential",EXP('Advanced Entry'!O112),'Advanced Entry'!O112)))-'Advanced Entry'!O$6)/('Advanced Entry'!O$7-'Advanced Entry'!O$6),10*((IF('Advanced Entry'!O$5="Logarithm",LN(0.001+'Advanced Entry'!O112),IF('Advanced Entry'!O$5="Exponential",EXP('Advanced Entry'!O112),'Advanced Entry'!O112)))-'Advanced Entry'!O$6)/('Advanced Entry'!O$7-'Advanced Entry'!O$6)),1))),"No data"))</f>
        <v/>
      </c>
      <c r="P112" s="17">
        <f>IF('Advanced Entry'!P112="","",IFERROR(MAX(0,MIN(10,ROUND(IF('Advanced Entry'!P$8="Decrease Risk",10-10*((IF('Advanced Entry'!P$5="Logarithm",LN(0.001+'Advanced Entry'!P112),IF('Advanced Entry'!P$5="Exponential",EXP('Advanced Entry'!P112),'Advanced Entry'!P112)))-'Advanced Entry'!P$6)/('Advanced Entry'!P$7-'Advanced Entry'!P$6),10*((IF('Advanced Entry'!P$5="Logarithm",LN(0.001+'Advanced Entry'!P112),IF('Advanced Entry'!P$5="Exponential",EXP('Advanced Entry'!P112),'Advanced Entry'!P112)))-'Advanced Entry'!P$6)/('Advanced Entry'!P$7-'Advanced Entry'!P$6)),1))),"No data"))</f>
        <v/>
      </c>
      <c r="Q112" s="17">
        <f>IF('Advanced Entry'!Q112="","",IFERROR(MAX(0,MIN(10,ROUND(IF('Advanced Entry'!Q$8="Decrease Risk",10-10*((IF('Advanced Entry'!Q$5="Logarithm",LN(0.001+'Advanced Entry'!Q112),IF('Advanced Entry'!Q$5="Exponential",EXP('Advanced Entry'!Q112),'Advanced Entry'!Q112)))-'Advanced Entry'!Q$6)/('Advanced Entry'!Q$7-'Advanced Entry'!Q$6),10*((IF('Advanced Entry'!Q$5="Logarithm",LN(0.001+'Advanced Entry'!Q112),IF('Advanced Entry'!Q$5="Exponential",EXP('Advanced Entry'!Q112),'Advanced Entry'!Q112)))-'Advanced Entry'!Q$6)/('Advanced Entry'!Q$7-'Advanced Entry'!Q$6)),1))),"No data"))</f>
        <v/>
      </c>
      <c r="R112" s="17">
        <f>IF('Advanced Entry'!R112="","",IFERROR(MAX(0,MIN(10,ROUND(IF('Advanced Entry'!R$8="Decrease Risk",10-10*((IF('Advanced Entry'!R$5="Logarithm",LN(0.001+'Advanced Entry'!R112),IF('Advanced Entry'!R$5="Exponential",EXP('Advanced Entry'!R112),'Advanced Entry'!R112)))-'Advanced Entry'!R$6)/('Advanced Entry'!R$7-'Advanced Entry'!R$6),10*((IF('Advanced Entry'!R$5="Logarithm",LN(0.001+'Advanced Entry'!R112),IF('Advanced Entry'!R$5="Exponential",EXP('Advanced Entry'!R112),'Advanced Entry'!R112)))-'Advanced Entry'!R$6)/('Advanced Entry'!R$7-'Advanced Entry'!R$6)),1))),"No data"))</f>
        <v/>
      </c>
      <c r="S112" s="17">
        <f>IF('Advanced Entry'!S112="","",IFERROR(MAX(0,MIN(10,ROUND(IF('Advanced Entry'!S$8="Decrease Risk",10-10*((IF('Advanced Entry'!S$5="Logarithm",LN(0.001+'Advanced Entry'!S112),IF('Advanced Entry'!S$5="Exponential",EXP('Advanced Entry'!S112),'Advanced Entry'!S112)))-'Advanced Entry'!S$6)/('Advanced Entry'!S$7-'Advanced Entry'!S$6),10*((IF('Advanced Entry'!S$5="Logarithm",LN(0.001+'Advanced Entry'!S112),IF('Advanced Entry'!S$5="Exponential",EXP('Advanced Entry'!S112),'Advanced Entry'!S112)))-'Advanced Entry'!S$6)/('Advanced Entry'!S$7-'Advanced Entry'!S$6)),1))),"No data"))</f>
        <v/>
      </c>
      <c r="T112" s="17">
        <f>IF('Advanced Entry'!T112="","",IFERROR(MAX(0,MIN(10,ROUND(IF('Advanced Entry'!T$8="Decrease Risk",10-10*((IF('Advanced Entry'!T$5="Logarithm",LN(0.001+'Advanced Entry'!T112),IF('Advanced Entry'!T$5="Exponential",EXP('Advanced Entry'!T112),'Advanced Entry'!T112)))-'Advanced Entry'!T$6)/('Advanced Entry'!T$7-'Advanced Entry'!T$6),10*((IF('Advanced Entry'!T$5="Logarithm",LN(0.001+'Advanced Entry'!T112),IF('Advanced Entry'!T$5="Exponential",EXP('Advanced Entry'!T112),'Advanced Entry'!T112)))-'Advanced Entry'!T$6)/('Advanced Entry'!T$7-'Advanced Entry'!T$6)),1))),"No data"))</f>
        <v/>
      </c>
      <c r="U112" s="17">
        <f>IF('Advanced Entry'!U112="","",IFERROR(MAX(0,MIN(10,ROUND(IF('Advanced Entry'!U$8="Decrease Risk",10-10*((IF('Advanced Entry'!U$5="Logarithm",LN(0.001+'Advanced Entry'!U112),IF('Advanced Entry'!U$5="Exponential",EXP('Advanced Entry'!U112),'Advanced Entry'!U112)))-'Advanced Entry'!U$6)/('Advanced Entry'!U$7-'Advanced Entry'!U$6),10*((IF('Advanced Entry'!U$5="Logarithm",LN(0.001+'Advanced Entry'!U112),IF('Advanced Entry'!U$5="Exponential",EXP('Advanced Entry'!U112),'Advanced Entry'!U112)))-'Advanced Entry'!U$6)/('Advanced Entry'!U$7-'Advanced Entry'!U$6)),1))),"No data"))</f>
        <v/>
      </c>
      <c r="V112" s="17">
        <f>IF('Advanced Entry'!V112="","",IFERROR(MAX(0,MIN(10,ROUND(IF('Advanced Entry'!V$8="Decrease Risk",10-10*((IF('Advanced Entry'!V$5="Logarithm",LN(0.001+'Advanced Entry'!V112),IF('Advanced Entry'!V$5="Exponential",EXP('Advanced Entry'!V112),'Advanced Entry'!V112)))-'Advanced Entry'!V$6)/('Advanced Entry'!V$7-'Advanced Entry'!V$6),10*((IF('Advanced Entry'!V$5="Logarithm",LN(0.001+'Advanced Entry'!V112),IF('Advanced Entry'!V$5="Exponential",EXP('Advanced Entry'!V112),'Advanced Entry'!V112)))-'Advanced Entry'!V$6)/('Advanced Entry'!V$7-'Advanced Entry'!V$6)),1))),"No data"))</f>
        <v/>
      </c>
      <c r="W112" s="17">
        <f>IF('Advanced Entry'!W112="","",IFERROR(MAX(0,MIN(10,ROUND(IF('Advanced Entry'!W$8="Decrease Risk",10-10*((IF('Advanced Entry'!W$5="Logarithm",LN(0.001+'Advanced Entry'!W112),IF('Advanced Entry'!W$5="Exponential",EXP('Advanced Entry'!W112),'Advanced Entry'!W112)))-'Advanced Entry'!W$6)/('Advanced Entry'!W$7-'Advanced Entry'!W$6),10*((IF('Advanced Entry'!W$5="Logarithm",LN(0.001+'Advanced Entry'!W112),IF('Advanced Entry'!W$5="Exponential",EXP('Advanced Entry'!W112),'Advanced Entry'!W112)))-'Advanced Entry'!W$6)/('Advanced Entry'!W$7-'Advanced Entry'!W$6)),1))),"No data"))</f>
        <v/>
      </c>
      <c r="X112" s="17">
        <f>IF('Advanced Entry'!X112="","",IFERROR(MAX(0,MIN(10,ROUND(IF('Advanced Entry'!X$8="Decrease Risk",10-10*((IF('Advanced Entry'!X$5="Logarithm",LN(0.001+'Advanced Entry'!X112),IF('Advanced Entry'!X$5="Exponential",EXP('Advanced Entry'!X112),'Advanced Entry'!X112)))-'Advanced Entry'!X$6)/('Advanced Entry'!X$7-'Advanced Entry'!X$6),10*((IF('Advanced Entry'!X$5="Logarithm",LN(0.001+'Advanced Entry'!X112),IF('Advanced Entry'!X$5="Exponential",EXP('Advanced Entry'!X112),'Advanced Entry'!X112)))-'Advanced Entry'!X$6)/('Advanced Entry'!X$7-'Advanced Entry'!X$6)),1))),"No data"))</f>
        <v/>
      </c>
      <c r="Y112" s="17">
        <f>IF('Advanced Entry'!Y112="","",IFERROR(MAX(0,MIN(10,ROUND(IF('Advanced Entry'!Y$8="Decrease Risk",10-10*((IF('Advanced Entry'!Y$5="Logarithm",LN(0.001+'Advanced Entry'!Y112),IF('Advanced Entry'!Y$5="Exponential",EXP('Advanced Entry'!Y112),'Advanced Entry'!Y112)))-'Advanced Entry'!Y$6)/('Advanced Entry'!Y$7-'Advanced Entry'!Y$6),10*((IF('Advanced Entry'!Y$5="Logarithm",LN(0.001+'Advanced Entry'!Y112),IF('Advanced Entry'!Y$5="Exponential",EXP('Advanced Entry'!Y112),'Advanced Entry'!Y112)))-'Advanced Entry'!Y$6)/('Advanced Entry'!Y$7-'Advanced Entry'!Y$6)),1))),"No data"))</f>
        <v/>
      </c>
      <c r="Z112" s="17">
        <f>IF('Advanced Entry'!Z112="","",IFERROR(MAX(0,MIN(10,ROUND(IF('Advanced Entry'!Z$8="Decrease Risk",10-10*((IF('Advanced Entry'!Z$5="Logarithm",LN(0.001+'Advanced Entry'!Z112),IF('Advanced Entry'!Z$5="Exponential",EXP('Advanced Entry'!Z112),'Advanced Entry'!Z112)))-'Advanced Entry'!Z$6)/('Advanced Entry'!Z$7-'Advanced Entry'!Z$6),10*((IF('Advanced Entry'!Z$5="Logarithm",LN(0.001+'Advanced Entry'!Z112),IF('Advanced Entry'!Z$5="Exponential",EXP('Advanced Entry'!Z112),'Advanced Entry'!Z112)))-'Advanced Entry'!Z$6)/('Advanced Entry'!Z$7-'Advanced Entry'!Z$6)),1))),"No data"))</f>
        <v/>
      </c>
      <c r="AA112" s="17">
        <f>IF('Advanced Entry'!AA112="","",IFERROR(MAX(0,MIN(10,ROUND(IF('Advanced Entry'!AA$8="Decrease Risk",10-10*((IF('Advanced Entry'!AA$5="Logarithm",LN(0.001+'Advanced Entry'!AA112),IF('Advanced Entry'!AA$5="Exponential",EXP('Advanced Entry'!AA112),'Advanced Entry'!AA112)))-'Advanced Entry'!AA$6)/('Advanced Entry'!AA$7-'Advanced Entry'!AA$6),10*((IF('Advanced Entry'!AA$5="Logarithm",LN(0.001+'Advanced Entry'!AA112),IF('Advanced Entry'!AA$5="Exponential",EXP('Advanced Entry'!AA112),'Advanced Entry'!AA112)))-'Advanced Entry'!AA$6)/('Advanced Entry'!AA$7-'Advanced Entry'!AA$6)),1))),"No data"))</f>
        <v/>
      </c>
      <c r="AB112" s="17">
        <f>IF('Advanced Entry'!AB112="","",IFERROR(MAX(0,MIN(10,ROUND(IF('Advanced Entry'!AB$8="Decrease Risk",10-10*((IF('Advanced Entry'!AB$5="Logarithm",LN(0.001+'Advanced Entry'!AB112),IF('Advanced Entry'!AB$5="Exponential",EXP('Advanced Entry'!AB112),'Advanced Entry'!AB112)))-'Advanced Entry'!AB$6)/('Advanced Entry'!AB$7-'Advanced Entry'!AB$6),10*((IF('Advanced Entry'!AB$5="Logarithm",LN(0.001+'Advanced Entry'!AB112),IF('Advanced Entry'!AB$5="Exponential",EXP('Advanced Entry'!AB112),'Advanced Entry'!AB112)))-'Advanced Entry'!AB$6)/('Advanced Entry'!AB$7-'Advanced Entry'!AB$6)),1))),"No data"))</f>
        <v/>
      </c>
    </row>
    <row r="113">
      <c r="A113" t="inlineStr">
        <is>
          <t>Morogoro</t>
        </is>
      </c>
      <c r="B113" t="inlineStr">
        <is>
          <t>Malinyi District</t>
        </is>
      </c>
      <c r="C113" t="inlineStr">
        <is>
          <t>C040</t>
        </is>
      </c>
      <c r="D113" s="17">
        <f>IF('Advanced Entry'!D113="","",IFERROR(MAX(0,MIN(10,ROUND(IF('Advanced Entry'!D$8="Decrease Risk",10-10*((IF('Advanced Entry'!D$5="Logarithm",LN(0.001+'Advanced Entry'!D113),IF('Advanced Entry'!D$5="Exponential",EXP('Advanced Entry'!D113),'Advanced Entry'!D113)))-'Advanced Entry'!D$6)/('Advanced Entry'!D$7-'Advanced Entry'!D$6),10*((IF('Advanced Entry'!D$5="Logarithm",LN(0.001+'Advanced Entry'!D113),IF('Advanced Entry'!D$5="Exponential",EXP('Advanced Entry'!D113),'Advanced Entry'!D113)))-'Advanced Entry'!D$6)/('Advanced Entry'!D$7-'Advanced Entry'!D$6)),1))),"No data"))</f>
        <v/>
      </c>
      <c r="E113" s="17">
        <f>IF('Advanced Entry'!E113="","",IFERROR(MAX(0,MIN(10,ROUND(IF('Advanced Entry'!E$8="Decrease Risk",10-10*((IF('Advanced Entry'!E$5="Logarithm",LN(0.001+'Advanced Entry'!E113),IF('Advanced Entry'!E$5="Exponential",EXP('Advanced Entry'!E113),'Advanced Entry'!E113)))-'Advanced Entry'!E$6)/('Advanced Entry'!E$7-'Advanced Entry'!E$6),10*((IF('Advanced Entry'!E$5="Logarithm",LN(0.001+'Advanced Entry'!E113),IF('Advanced Entry'!E$5="Exponential",EXP('Advanced Entry'!E113),'Advanced Entry'!E113)))-'Advanced Entry'!E$6)/('Advanced Entry'!E$7-'Advanced Entry'!E$6)),1))),"No data"))</f>
        <v/>
      </c>
      <c r="F113" s="17">
        <f>IF('Advanced Entry'!F113="","",IFERROR(MAX(0,MIN(10,ROUND(IF('Advanced Entry'!F$8="Decrease Risk",10-10*((IF('Advanced Entry'!F$5="Logarithm",LN(0.001+'Advanced Entry'!F113),IF('Advanced Entry'!F$5="Exponential",EXP('Advanced Entry'!F113),'Advanced Entry'!F113)))-'Advanced Entry'!F$6)/('Advanced Entry'!F$7-'Advanced Entry'!F$6),10*((IF('Advanced Entry'!F$5="Logarithm",LN(0.001+'Advanced Entry'!F113),IF('Advanced Entry'!F$5="Exponential",EXP('Advanced Entry'!F113),'Advanced Entry'!F113)))-'Advanced Entry'!F$6)/('Advanced Entry'!F$7-'Advanced Entry'!F$6)),1))),"No data"))</f>
        <v/>
      </c>
      <c r="G113" s="17">
        <f>IF('Advanced Entry'!G113="","",IFERROR(MAX(0,MIN(10,ROUND(IF('Advanced Entry'!G$8="Decrease Risk",10-10*((IF('Advanced Entry'!G$5="Logarithm",LN(0.001+'Advanced Entry'!G113),IF('Advanced Entry'!G$5="Exponential",EXP('Advanced Entry'!G113),'Advanced Entry'!G113)))-'Advanced Entry'!G$6)/('Advanced Entry'!G$7-'Advanced Entry'!G$6),10*((IF('Advanced Entry'!G$5="Logarithm",LN(0.001+'Advanced Entry'!G113),IF('Advanced Entry'!G$5="Exponential",EXP('Advanced Entry'!G113),'Advanced Entry'!G113)))-'Advanced Entry'!G$6)/('Advanced Entry'!G$7-'Advanced Entry'!G$6)),1))),"No data"))</f>
        <v/>
      </c>
      <c r="H113" s="17">
        <f>IF('Advanced Entry'!H113="","",IFERROR(MAX(0,MIN(10,ROUND(IF('Advanced Entry'!H$8="Decrease Risk",10-10*((IF('Advanced Entry'!H$5="Logarithm",LN(0.001+'Advanced Entry'!H113),IF('Advanced Entry'!H$5="Exponential",EXP('Advanced Entry'!H113),'Advanced Entry'!H113)))-'Advanced Entry'!H$6)/('Advanced Entry'!H$7-'Advanced Entry'!H$6),10*((IF('Advanced Entry'!H$5="Logarithm",LN(0.001+'Advanced Entry'!H113),IF('Advanced Entry'!H$5="Exponential",EXP('Advanced Entry'!H113),'Advanced Entry'!H113)))-'Advanced Entry'!H$6)/('Advanced Entry'!H$7-'Advanced Entry'!H$6)),1))),"No data"))</f>
        <v/>
      </c>
      <c r="I113" s="17">
        <f>IF('Advanced Entry'!I113="","",IFERROR(MAX(0,MIN(10,ROUND(IF('Advanced Entry'!I$8="Decrease Risk",10-10*((IF('Advanced Entry'!I$5="Logarithm",LN(0.001+'Advanced Entry'!I113),IF('Advanced Entry'!I$5="Exponential",EXP('Advanced Entry'!I113),'Advanced Entry'!I113)))-'Advanced Entry'!I$6)/('Advanced Entry'!I$7-'Advanced Entry'!I$6),10*((IF('Advanced Entry'!I$5="Logarithm",LN(0.001+'Advanced Entry'!I113),IF('Advanced Entry'!I$5="Exponential",EXP('Advanced Entry'!I113),'Advanced Entry'!I113)))-'Advanced Entry'!I$6)/('Advanced Entry'!I$7-'Advanced Entry'!I$6)),1))),"No data"))</f>
        <v/>
      </c>
      <c r="J113" s="17">
        <f>IF('Advanced Entry'!J113="","",IFERROR(MAX(0,MIN(10,ROUND(IF('Advanced Entry'!J$8="Decrease Risk",10-10*((IF('Advanced Entry'!J$5="Logarithm",LN(0.001+'Advanced Entry'!J113),IF('Advanced Entry'!J$5="Exponential",EXP('Advanced Entry'!J113),'Advanced Entry'!J113)))-'Advanced Entry'!J$6)/('Advanced Entry'!J$7-'Advanced Entry'!J$6),10*((IF('Advanced Entry'!J$5="Logarithm",LN(0.001+'Advanced Entry'!J113),IF('Advanced Entry'!J$5="Exponential",EXP('Advanced Entry'!J113),'Advanced Entry'!J113)))-'Advanced Entry'!J$6)/('Advanced Entry'!J$7-'Advanced Entry'!J$6)),1))),"No data"))</f>
        <v/>
      </c>
      <c r="K113" s="17">
        <f>IF('Advanced Entry'!K113="","",IFERROR(MAX(0,MIN(10,ROUND(IF('Advanced Entry'!K$8="Decrease Risk",10-10*((IF('Advanced Entry'!K$5="Logarithm",LN(0.001+'Advanced Entry'!K113),IF('Advanced Entry'!K$5="Exponential",EXP('Advanced Entry'!K113),'Advanced Entry'!K113)))-'Advanced Entry'!K$6)/('Advanced Entry'!K$7-'Advanced Entry'!K$6),10*((IF('Advanced Entry'!K$5="Logarithm",LN(0.001+'Advanced Entry'!K113),IF('Advanced Entry'!K$5="Exponential",EXP('Advanced Entry'!K113),'Advanced Entry'!K113)))-'Advanced Entry'!K$6)/('Advanced Entry'!K$7-'Advanced Entry'!K$6)),1))),"No data"))</f>
        <v/>
      </c>
      <c r="L113" s="17">
        <f>IF('Advanced Entry'!L113="","",IFERROR(MAX(0,MIN(10,ROUND(IF('Advanced Entry'!L$8="Decrease Risk",10-10*((IF('Advanced Entry'!L$5="Logarithm",LN(0.001+'Advanced Entry'!L113),IF('Advanced Entry'!L$5="Exponential",EXP('Advanced Entry'!L113),'Advanced Entry'!L113)))-'Advanced Entry'!L$6)/('Advanced Entry'!L$7-'Advanced Entry'!L$6),10*((IF('Advanced Entry'!L$5="Logarithm",LN(0.001+'Advanced Entry'!L113),IF('Advanced Entry'!L$5="Exponential",EXP('Advanced Entry'!L113),'Advanced Entry'!L113)))-'Advanced Entry'!L$6)/('Advanced Entry'!L$7-'Advanced Entry'!L$6)),1))),"No data"))</f>
        <v/>
      </c>
      <c r="M113" s="17">
        <f>IF('Advanced Entry'!M113="","",IFERROR(MAX(0,MIN(10,ROUND(IF('Advanced Entry'!M$8="Decrease Risk",10-10*((IF('Advanced Entry'!M$5="Logarithm",LN(0.001+'Advanced Entry'!M113),IF('Advanced Entry'!M$5="Exponential",EXP('Advanced Entry'!M113),'Advanced Entry'!M113)))-'Advanced Entry'!M$6)/('Advanced Entry'!M$7-'Advanced Entry'!M$6),10*((IF('Advanced Entry'!M$5="Logarithm",LN(0.001+'Advanced Entry'!M113),IF('Advanced Entry'!M$5="Exponential",EXP('Advanced Entry'!M113),'Advanced Entry'!M113)))-'Advanced Entry'!M$6)/('Advanced Entry'!M$7-'Advanced Entry'!M$6)),1))),"No data"))</f>
        <v/>
      </c>
      <c r="N113" s="17">
        <f>IF('Advanced Entry'!N113="","",IFERROR(MAX(0,MIN(10,ROUND(IF('Advanced Entry'!N$8="Decrease Risk",10-10*((IF('Advanced Entry'!N$5="Logarithm",LN(0.001+'Advanced Entry'!N113),IF('Advanced Entry'!N$5="Exponential",EXP('Advanced Entry'!N113),'Advanced Entry'!N113)))-'Advanced Entry'!N$6)/('Advanced Entry'!N$7-'Advanced Entry'!N$6),10*((IF('Advanced Entry'!N$5="Logarithm",LN(0.001+'Advanced Entry'!N113),IF('Advanced Entry'!N$5="Exponential",EXP('Advanced Entry'!N113),'Advanced Entry'!N113)))-'Advanced Entry'!N$6)/('Advanced Entry'!N$7-'Advanced Entry'!N$6)),1))),"No data"))</f>
        <v/>
      </c>
      <c r="O113" s="17">
        <f>IF('Advanced Entry'!O113="","",IFERROR(MAX(0,MIN(10,ROUND(IF('Advanced Entry'!O$8="Decrease Risk",10-10*((IF('Advanced Entry'!O$5="Logarithm",LN(0.001+'Advanced Entry'!O113),IF('Advanced Entry'!O$5="Exponential",EXP('Advanced Entry'!O113),'Advanced Entry'!O113)))-'Advanced Entry'!O$6)/('Advanced Entry'!O$7-'Advanced Entry'!O$6),10*((IF('Advanced Entry'!O$5="Logarithm",LN(0.001+'Advanced Entry'!O113),IF('Advanced Entry'!O$5="Exponential",EXP('Advanced Entry'!O113),'Advanced Entry'!O113)))-'Advanced Entry'!O$6)/('Advanced Entry'!O$7-'Advanced Entry'!O$6)),1))),"No data"))</f>
        <v/>
      </c>
      <c r="P113" s="17">
        <f>IF('Advanced Entry'!P113="","",IFERROR(MAX(0,MIN(10,ROUND(IF('Advanced Entry'!P$8="Decrease Risk",10-10*((IF('Advanced Entry'!P$5="Logarithm",LN(0.001+'Advanced Entry'!P113),IF('Advanced Entry'!P$5="Exponential",EXP('Advanced Entry'!P113),'Advanced Entry'!P113)))-'Advanced Entry'!P$6)/('Advanced Entry'!P$7-'Advanced Entry'!P$6),10*((IF('Advanced Entry'!P$5="Logarithm",LN(0.001+'Advanced Entry'!P113),IF('Advanced Entry'!P$5="Exponential",EXP('Advanced Entry'!P113),'Advanced Entry'!P113)))-'Advanced Entry'!P$6)/('Advanced Entry'!P$7-'Advanced Entry'!P$6)),1))),"No data"))</f>
        <v/>
      </c>
      <c r="Q113" s="17">
        <f>IF('Advanced Entry'!Q113="","",IFERROR(MAX(0,MIN(10,ROUND(IF('Advanced Entry'!Q$8="Decrease Risk",10-10*((IF('Advanced Entry'!Q$5="Logarithm",LN(0.001+'Advanced Entry'!Q113),IF('Advanced Entry'!Q$5="Exponential",EXP('Advanced Entry'!Q113),'Advanced Entry'!Q113)))-'Advanced Entry'!Q$6)/('Advanced Entry'!Q$7-'Advanced Entry'!Q$6),10*((IF('Advanced Entry'!Q$5="Logarithm",LN(0.001+'Advanced Entry'!Q113),IF('Advanced Entry'!Q$5="Exponential",EXP('Advanced Entry'!Q113),'Advanced Entry'!Q113)))-'Advanced Entry'!Q$6)/('Advanced Entry'!Q$7-'Advanced Entry'!Q$6)),1))),"No data"))</f>
        <v/>
      </c>
      <c r="R113" s="17">
        <f>IF('Advanced Entry'!R113="","",IFERROR(MAX(0,MIN(10,ROUND(IF('Advanced Entry'!R$8="Decrease Risk",10-10*((IF('Advanced Entry'!R$5="Logarithm",LN(0.001+'Advanced Entry'!R113),IF('Advanced Entry'!R$5="Exponential",EXP('Advanced Entry'!R113),'Advanced Entry'!R113)))-'Advanced Entry'!R$6)/('Advanced Entry'!R$7-'Advanced Entry'!R$6),10*((IF('Advanced Entry'!R$5="Logarithm",LN(0.001+'Advanced Entry'!R113),IF('Advanced Entry'!R$5="Exponential",EXP('Advanced Entry'!R113),'Advanced Entry'!R113)))-'Advanced Entry'!R$6)/('Advanced Entry'!R$7-'Advanced Entry'!R$6)),1))),"No data"))</f>
        <v/>
      </c>
      <c r="S113" s="17">
        <f>IF('Advanced Entry'!S113="","",IFERROR(MAX(0,MIN(10,ROUND(IF('Advanced Entry'!S$8="Decrease Risk",10-10*((IF('Advanced Entry'!S$5="Logarithm",LN(0.001+'Advanced Entry'!S113),IF('Advanced Entry'!S$5="Exponential",EXP('Advanced Entry'!S113),'Advanced Entry'!S113)))-'Advanced Entry'!S$6)/('Advanced Entry'!S$7-'Advanced Entry'!S$6),10*((IF('Advanced Entry'!S$5="Logarithm",LN(0.001+'Advanced Entry'!S113),IF('Advanced Entry'!S$5="Exponential",EXP('Advanced Entry'!S113),'Advanced Entry'!S113)))-'Advanced Entry'!S$6)/('Advanced Entry'!S$7-'Advanced Entry'!S$6)),1))),"No data"))</f>
        <v/>
      </c>
      <c r="T113" s="17">
        <f>IF('Advanced Entry'!T113="","",IFERROR(MAX(0,MIN(10,ROUND(IF('Advanced Entry'!T$8="Decrease Risk",10-10*((IF('Advanced Entry'!T$5="Logarithm",LN(0.001+'Advanced Entry'!T113),IF('Advanced Entry'!T$5="Exponential",EXP('Advanced Entry'!T113),'Advanced Entry'!T113)))-'Advanced Entry'!T$6)/('Advanced Entry'!T$7-'Advanced Entry'!T$6),10*((IF('Advanced Entry'!T$5="Logarithm",LN(0.001+'Advanced Entry'!T113),IF('Advanced Entry'!T$5="Exponential",EXP('Advanced Entry'!T113),'Advanced Entry'!T113)))-'Advanced Entry'!T$6)/('Advanced Entry'!T$7-'Advanced Entry'!T$6)),1))),"No data"))</f>
        <v/>
      </c>
      <c r="U113" s="17">
        <f>IF('Advanced Entry'!U113="","",IFERROR(MAX(0,MIN(10,ROUND(IF('Advanced Entry'!U$8="Decrease Risk",10-10*((IF('Advanced Entry'!U$5="Logarithm",LN(0.001+'Advanced Entry'!U113),IF('Advanced Entry'!U$5="Exponential",EXP('Advanced Entry'!U113),'Advanced Entry'!U113)))-'Advanced Entry'!U$6)/('Advanced Entry'!U$7-'Advanced Entry'!U$6),10*((IF('Advanced Entry'!U$5="Logarithm",LN(0.001+'Advanced Entry'!U113),IF('Advanced Entry'!U$5="Exponential",EXP('Advanced Entry'!U113),'Advanced Entry'!U113)))-'Advanced Entry'!U$6)/('Advanced Entry'!U$7-'Advanced Entry'!U$6)),1))),"No data"))</f>
        <v/>
      </c>
      <c r="V113" s="17">
        <f>IF('Advanced Entry'!V113="","",IFERROR(MAX(0,MIN(10,ROUND(IF('Advanced Entry'!V$8="Decrease Risk",10-10*((IF('Advanced Entry'!V$5="Logarithm",LN(0.001+'Advanced Entry'!V113),IF('Advanced Entry'!V$5="Exponential",EXP('Advanced Entry'!V113),'Advanced Entry'!V113)))-'Advanced Entry'!V$6)/('Advanced Entry'!V$7-'Advanced Entry'!V$6),10*((IF('Advanced Entry'!V$5="Logarithm",LN(0.001+'Advanced Entry'!V113),IF('Advanced Entry'!V$5="Exponential",EXP('Advanced Entry'!V113),'Advanced Entry'!V113)))-'Advanced Entry'!V$6)/('Advanced Entry'!V$7-'Advanced Entry'!V$6)),1))),"No data"))</f>
        <v/>
      </c>
      <c r="W113" s="17">
        <f>IF('Advanced Entry'!W113="","",IFERROR(MAX(0,MIN(10,ROUND(IF('Advanced Entry'!W$8="Decrease Risk",10-10*((IF('Advanced Entry'!W$5="Logarithm",LN(0.001+'Advanced Entry'!W113),IF('Advanced Entry'!W$5="Exponential",EXP('Advanced Entry'!W113),'Advanced Entry'!W113)))-'Advanced Entry'!W$6)/('Advanced Entry'!W$7-'Advanced Entry'!W$6),10*((IF('Advanced Entry'!W$5="Logarithm",LN(0.001+'Advanced Entry'!W113),IF('Advanced Entry'!W$5="Exponential",EXP('Advanced Entry'!W113),'Advanced Entry'!W113)))-'Advanced Entry'!W$6)/('Advanced Entry'!W$7-'Advanced Entry'!W$6)),1))),"No data"))</f>
        <v/>
      </c>
      <c r="X113" s="17">
        <f>IF('Advanced Entry'!X113="","",IFERROR(MAX(0,MIN(10,ROUND(IF('Advanced Entry'!X$8="Decrease Risk",10-10*((IF('Advanced Entry'!X$5="Logarithm",LN(0.001+'Advanced Entry'!X113),IF('Advanced Entry'!X$5="Exponential",EXP('Advanced Entry'!X113),'Advanced Entry'!X113)))-'Advanced Entry'!X$6)/('Advanced Entry'!X$7-'Advanced Entry'!X$6),10*((IF('Advanced Entry'!X$5="Logarithm",LN(0.001+'Advanced Entry'!X113),IF('Advanced Entry'!X$5="Exponential",EXP('Advanced Entry'!X113),'Advanced Entry'!X113)))-'Advanced Entry'!X$6)/('Advanced Entry'!X$7-'Advanced Entry'!X$6)),1))),"No data"))</f>
        <v/>
      </c>
      <c r="Y113" s="17">
        <f>IF('Advanced Entry'!Y113="","",IFERROR(MAX(0,MIN(10,ROUND(IF('Advanced Entry'!Y$8="Decrease Risk",10-10*((IF('Advanced Entry'!Y$5="Logarithm",LN(0.001+'Advanced Entry'!Y113),IF('Advanced Entry'!Y$5="Exponential",EXP('Advanced Entry'!Y113),'Advanced Entry'!Y113)))-'Advanced Entry'!Y$6)/('Advanced Entry'!Y$7-'Advanced Entry'!Y$6),10*((IF('Advanced Entry'!Y$5="Logarithm",LN(0.001+'Advanced Entry'!Y113),IF('Advanced Entry'!Y$5="Exponential",EXP('Advanced Entry'!Y113),'Advanced Entry'!Y113)))-'Advanced Entry'!Y$6)/('Advanced Entry'!Y$7-'Advanced Entry'!Y$6)),1))),"No data"))</f>
        <v/>
      </c>
      <c r="Z113" s="17">
        <f>IF('Advanced Entry'!Z113="","",IFERROR(MAX(0,MIN(10,ROUND(IF('Advanced Entry'!Z$8="Decrease Risk",10-10*((IF('Advanced Entry'!Z$5="Logarithm",LN(0.001+'Advanced Entry'!Z113),IF('Advanced Entry'!Z$5="Exponential",EXP('Advanced Entry'!Z113),'Advanced Entry'!Z113)))-'Advanced Entry'!Z$6)/('Advanced Entry'!Z$7-'Advanced Entry'!Z$6),10*((IF('Advanced Entry'!Z$5="Logarithm",LN(0.001+'Advanced Entry'!Z113),IF('Advanced Entry'!Z$5="Exponential",EXP('Advanced Entry'!Z113),'Advanced Entry'!Z113)))-'Advanced Entry'!Z$6)/('Advanced Entry'!Z$7-'Advanced Entry'!Z$6)),1))),"No data"))</f>
        <v/>
      </c>
      <c r="AA113" s="17">
        <f>IF('Advanced Entry'!AA113="","",IFERROR(MAX(0,MIN(10,ROUND(IF('Advanced Entry'!AA$8="Decrease Risk",10-10*((IF('Advanced Entry'!AA$5="Logarithm",LN(0.001+'Advanced Entry'!AA113),IF('Advanced Entry'!AA$5="Exponential",EXP('Advanced Entry'!AA113),'Advanced Entry'!AA113)))-'Advanced Entry'!AA$6)/('Advanced Entry'!AA$7-'Advanced Entry'!AA$6),10*((IF('Advanced Entry'!AA$5="Logarithm",LN(0.001+'Advanced Entry'!AA113),IF('Advanced Entry'!AA$5="Exponential",EXP('Advanced Entry'!AA113),'Advanced Entry'!AA113)))-'Advanced Entry'!AA$6)/('Advanced Entry'!AA$7-'Advanced Entry'!AA$6)),1))),"No data"))</f>
        <v/>
      </c>
      <c r="AB113" s="17">
        <f>IF('Advanced Entry'!AB113="","",IFERROR(MAX(0,MIN(10,ROUND(IF('Advanced Entry'!AB$8="Decrease Risk",10-10*((IF('Advanced Entry'!AB$5="Logarithm",LN(0.001+'Advanced Entry'!AB113),IF('Advanced Entry'!AB$5="Exponential",EXP('Advanced Entry'!AB113),'Advanced Entry'!AB113)))-'Advanced Entry'!AB$6)/('Advanced Entry'!AB$7-'Advanced Entry'!AB$6),10*((IF('Advanced Entry'!AB$5="Logarithm",LN(0.001+'Advanced Entry'!AB113),IF('Advanced Entry'!AB$5="Exponential",EXP('Advanced Entry'!AB113),'Advanced Entry'!AB113)))-'Advanced Entry'!AB$6)/('Advanced Entry'!AB$7-'Advanced Entry'!AB$6)),1))),"No data"))</f>
        <v/>
      </c>
    </row>
    <row r="114">
      <c r="A114" t="inlineStr">
        <is>
          <t>Morogoro</t>
        </is>
      </c>
      <c r="B114" t="inlineStr">
        <is>
          <t>Mlimba District</t>
        </is>
      </c>
      <c r="C114" t="inlineStr">
        <is>
          <t>C037</t>
        </is>
      </c>
      <c r="D114" s="17">
        <f>IF('Advanced Entry'!D114="","",IFERROR(MAX(0,MIN(10,ROUND(IF('Advanced Entry'!D$8="Decrease Risk",10-10*((IF('Advanced Entry'!D$5="Logarithm",LN(0.001+'Advanced Entry'!D114),IF('Advanced Entry'!D$5="Exponential",EXP('Advanced Entry'!D114),'Advanced Entry'!D114)))-'Advanced Entry'!D$6)/('Advanced Entry'!D$7-'Advanced Entry'!D$6),10*((IF('Advanced Entry'!D$5="Logarithm",LN(0.001+'Advanced Entry'!D114),IF('Advanced Entry'!D$5="Exponential",EXP('Advanced Entry'!D114),'Advanced Entry'!D114)))-'Advanced Entry'!D$6)/('Advanced Entry'!D$7-'Advanced Entry'!D$6)),1))),"No data"))</f>
        <v/>
      </c>
      <c r="E114" s="17">
        <f>IF('Advanced Entry'!E114="","",IFERROR(MAX(0,MIN(10,ROUND(IF('Advanced Entry'!E$8="Decrease Risk",10-10*((IF('Advanced Entry'!E$5="Logarithm",LN(0.001+'Advanced Entry'!E114),IF('Advanced Entry'!E$5="Exponential",EXP('Advanced Entry'!E114),'Advanced Entry'!E114)))-'Advanced Entry'!E$6)/('Advanced Entry'!E$7-'Advanced Entry'!E$6),10*((IF('Advanced Entry'!E$5="Logarithm",LN(0.001+'Advanced Entry'!E114),IF('Advanced Entry'!E$5="Exponential",EXP('Advanced Entry'!E114),'Advanced Entry'!E114)))-'Advanced Entry'!E$6)/('Advanced Entry'!E$7-'Advanced Entry'!E$6)),1))),"No data"))</f>
        <v/>
      </c>
      <c r="F114" s="17">
        <f>IF('Advanced Entry'!F114="","",IFERROR(MAX(0,MIN(10,ROUND(IF('Advanced Entry'!F$8="Decrease Risk",10-10*((IF('Advanced Entry'!F$5="Logarithm",LN(0.001+'Advanced Entry'!F114),IF('Advanced Entry'!F$5="Exponential",EXP('Advanced Entry'!F114),'Advanced Entry'!F114)))-'Advanced Entry'!F$6)/('Advanced Entry'!F$7-'Advanced Entry'!F$6),10*((IF('Advanced Entry'!F$5="Logarithm",LN(0.001+'Advanced Entry'!F114),IF('Advanced Entry'!F$5="Exponential",EXP('Advanced Entry'!F114),'Advanced Entry'!F114)))-'Advanced Entry'!F$6)/('Advanced Entry'!F$7-'Advanced Entry'!F$6)),1))),"No data"))</f>
        <v/>
      </c>
      <c r="G114" s="17">
        <f>IF('Advanced Entry'!G114="","",IFERROR(MAX(0,MIN(10,ROUND(IF('Advanced Entry'!G$8="Decrease Risk",10-10*((IF('Advanced Entry'!G$5="Logarithm",LN(0.001+'Advanced Entry'!G114),IF('Advanced Entry'!G$5="Exponential",EXP('Advanced Entry'!G114),'Advanced Entry'!G114)))-'Advanced Entry'!G$6)/('Advanced Entry'!G$7-'Advanced Entry'!G$6),10*((IF('Advanced Entry'!G$5="Logarithm",LN(0.001+'Advanced Entry'!G114),IF('Advanced Entry'!G$5="Exponential",EXP('Advanced Entry'!G114),'Advanced Entry'!G114)))-'Advanced Entry'!G$6)/('Advanced Entry'!G$7-'Advanced Entry'!G$6)),1))),"No data"))</f>
        <v/>
      </c>
      <c r="H114" s="17">
        <f>IF('Advanced Entry'!H114="","",IFERROR(MAX(0,MIN(10,ROUND(IF('Advanced Entry'!H$8="Decrease Risk",10-10*((IF('Advanced Entry'!H$5="Logarithm",LN(0.001+'Advanced Entry'!H114),IF('Advanced Entry'!H$5="Exponential",EXP('Advanced Entry'!H114),'Advanced Entry'!H114)))-'Advanced Entry'!H$6)/('Advanced Entry'!H$7-'Advanced Entry'!H$6),10*((IF('Advanced Entry'!H$5="Logarithm",LN(0.001+'Advanced Entry'!H114),IF('Advanced Entry'!H$5="Exponential",EXP('Advanced Entry'!H114),'Advanced Entry'!H114)))-'Advanced Entry'!H$6)/('Advanced Entry'!H$7-'Advanced Entry'!H$6)),1))),"No data"))</f>
        <v/>
      </c>
      <c r="I114" s="17">
        <f>IF('Advanced Entry'!I114="","",IFERROR(MAX(0,MIN(10,ROUND(IF('Advanced Entry'!I$8="Decrease Risk",10-10*((IF('Advanced Entry'!I$5="Logarithm",LN(0.001+'Advanced Entry'!I114),IF('Advanced Entry'!I$5="Exponential",EXP('Advanced Entry'!I114),'Advanced Entry'!I114)))-'Advanced Entry'!I$6)/('Advanced Entry'!I$7-'Advanced Entry'!I$6),10*((IF('Advanced Entry'!I$5="Logarithm",LN(0.001+'Advanced Entry'!I114),IF('Advanced Entry'!I$5="Exponential",EXP('Advanced Entry'!I114),'Advanced Entry'!I114)))-'Advanced Entry'!I$6)/('Advanced Entry'!I$7-'Advanced Entry'!I$6)),1))),"No data"))</f>
        <v/>
      </c>
      <c r="J114" s="17">
        <f>IF('Advanced Entry'!J114="","",IFERROR(MAX(0,MIN(10,ROUND(IF('Advanced Entry'!J$8="Decrease Risk",10-10*((IF('Advanced Entry'!J$5="Logarithm",LN(0.001+'Advanced Entry'!J114),IF('Advanced Entry'!J$5="Exponential",EXP('Advanced Entry'!J114),'Advanced Entry'!J114)))-'Advanced Entry'!J$6)/('Advanced Entry'!J$7-'Advanced Entry'!J$6),10*((IF('Advanced Entry'!J$5="Logarithm",LN(0.001+'Advanced Entry'!J114),IF('Advanced Entry'!J$5="Exponential",EXP('Advanced Entry'!J114),'Advanced Entry'!J114)))-'Advanced Entry'!J$6)/('Advanced Entry'!J$7-'Advanced Entry'!J$6)),1))),"No data"))</f>
        <v/>
      </c>
      <c r="K114" s="17">
        <f>IF('Advanced Entry'!K114="","",IFERROR(MAX(0,MIN(10,ROUND(IF('Advanced Entry'!K$8="Decrease Risk",10-10*((IF('Advanced Entry'!K$5="Logarithm",LN(0.001+'Advanced Entry'!K114),IF('Advanced Entry'!K$5="Exponential",EXP('Advanced Entry'!K114),'Advanced Entry'!K114)))-'Advanced Entry'!K$6)/('Advanced Entry'!K$7-'Advanced Entry'!K$6),10*((IF('Advanced Entry'!K$5="Logarithm",LN(0.001+'Advanced Entry'!K114),IF('Advanced Entry'!K$5="Exponential",EXP('Advanced Entry'!K114),'Advanced Entry'!K114)))-'Advanced Entry'!K$6)/('Advanced Entry'!K$7-'Advanced Entry'!K$6)),1))),"No data"))</f>
        <v/>
      </c>
      <c r="L114" s="17">
        <f>IF('Advanced Entry'!L114="","",IFERROR(MAX(0,MIN(10,ROUND(IF('Advanced Entry'!L$8="Decrease Risk",10-10*((IF('Advanced Entry'!L$5="Logarithm",LN(0.001+'Advanced Entry'!L114),IF('Advanced Entry'!L$5="Exponential",EXP('Advanced Entry'!L114),'Advanced Entry'!L114)))-'Advanced Entry'!L$6)/('Advanced Entry'!L$7-'Advanced Entry'!L$6),10*((IF('Advanced Entry'!L$5="Logarithm",LN(0.001+'Advanced Entry'!L114),IF('Advanced Entry'!L$5="Exponential",EXP('Advanced Entry'!L114),'Advanced Entry'!L114)))-'Advanced Entry'!L$6)/('Advanced Entry'!L$7-'Advanced Entry'!L$6)),1))),"No data"))</f>
        <v/>
      </c>
      <c r="M114" s="17">
        <f>IF('Advanced Entry'!M114="","",IFERROR(MAX(0,MIN(10,ROUND(IF('Advanced Entry'!M$8="Decrease Risk",10-10*((IF('Advanced Entry'!M$5="Logarithm",LN(0.001+'Advanced Entry'!M114),IF('Advanced Entry'!M$5="Exponential",EXP('Advanced Entry'!M114),'Advanced Entry'!M114)))-'Advanced Entry'!M$6)/('Advanced Entry'!M$7-'Advanced Entry'!M$6),10*((IF('Advanced Entry'!M$5="Logarithm",LN(0.001+'Advanced Entry'!M114),IF('Advanced Entry'!M$5="Exponential",EXP('Advanced Entry'!M114),'Advanced Entry'!M114)))-'Advanced Entry'!M$6)/('Advanced Entry'!M$7-'Advanced Entry'!M$6)),1))),"No data"))</f>
        <v/>
      </c>
      <c r="N114" s="17">
        <f>IF('Advanced Entry'!N114="","",IFERROR(MAX(0,MIN(10,ROUND(IF('Advanced Entry'!N$8="Decrease Risk",10-10*((IF('Advanced Entry'!N$5="Logarithm",LN(0.001+'Advanced Entry'!N114),IF('Advanced Entry'!N$5="Exponential",EXP('Advanced Entry'!N114),'Advanced Entry'!N114)))-'Advanced Entry'!N$6)/('Advanced Entry'!N$7-'Advanced Entry'!N$6),10*((IF('Advanced Entry'!N$5="Logarithm",LN(0.001+'Advanced Entry'!N114),IF('Advanced Entry'!N$5="Exponential",EXP('Advanced Entry'!N114),'Advanced Entry'!N114)))-'Advanced Entry'!N$6)/('Advanced Entry'!N$7-'Advanced Entry'!N$6)),1))),"No data"))</f>
        <v/>
      </c>
      <c r="O114" s="17">
        <f>IF('Advanced Entry'!O114="","",IFERROR(MAX(0,MIN(10,ROUND(IF('Advanced Entry'!O$8="Decrease Risk",10-10*((IF('Advanced Entry'!O$5="Logarithm",LN(0.001+'Advanced Entry'!O114),IF('Advanced Entry'!O$5="Exponential",EXP('Advanced Entry'!O114),'Advanced Entry'!O114)))-'Advanced Entry'!O$6)/('Advanced Entry'!O$7-'Advanced Entry'!O$6),10*((IF('Advanced Entry'!O$5="Logarithm",LN(0.001+'Advanced Entry'!O114),IF('Advanced Entry'!O$5="Exponential",EXP('Advanced Entry'!O114),'Advanced Entry'!O114)))-'Advanced Entry'!O$6)/('Advanced Entry'!O$7-'Advanced Entry'!O$6)),1))),"No data"))</f>
        <v/>
      </c>
      <c r="P114" s="17">
        <f>IF('Advanced Entry'!P114="","",IFERROR(MAX(0,MIN(10,ROUND(IF('Advanced Entry'!P$8="Decrease Risk",10-10*((IF('Advanced Entry'!P$5="Logarithm",LN(0.001+'Advanced Entry'!P114),IF('Advanced Entry'!P$5="Exponential",EXP('Advanced Entry'!P114),'Advanced Entry'!P114)))-'Advanced Entry'!P$6)/('Advanced Entry'!P$7-'Advanced Entry'!P$6),10*((IF('Advanced Entry'!P$5="Logarithm",LN(0.001+'Advanced Entry'!P114),IF('Advanced Entry'!P$5="Exponential",EXP('Advanced Entry'!P114),'Advanced Entry'!P114)))-'Advanced Entry'!P$6)/('Advanced Entry'!P$7-'Advanced Entry'!P$6)),1))),"No data"))</f>
        <v/>
      </c>
      <c r="Q114" s="17">
        <f>IF('Advanced Entry'!Q114="","",IFERROR(MAX(0,MIN(10,ROUND(IF('Advanced Entry'!Q$8="Decrease Risk",10-10*((IF('Advanced Entry'!Q$5="Logarithm",LN(0.001+'Advanced Entry'!Q114),IF('Advanced Entry'!Q$5="Exponential",EXP('Advanced Entry'!Q114),'Advanced Entry'!Q114)))-'Advanced Entry'!Q$6)/('Advanced Entry'!Q$7-'Advanced Entry'!Q$6),10*((IF('Advanced Entry'!Q$5="Logarithm",LN(0.001+'Advanced Entry'!Q114),IF('Advanced Entry'!Q$5="Exponential",EXP('Advanced Entry'!Q114),'Advanced Entry'!Q114)))-'Advanced Entry'!Q$6)/('Advanced Entry'!Q$7-'Advanced Entry'!Q$6)),1))),"No data"))</f>
        <v/>
      </c>
      <c r="R114" s="17">
        <f>IF('Advanced Entry'!R114="","",IFERROR(MAX(0,MIN(10,ROUND(IF('Advanced Entry'!R$8="Decrease Risk",10-10*((IF('Advanced Entry'!R$5="Logarithm",LN(0.001+'Advanced Entry'!R114),IF('Advanced Entry'!R$5="Exponential",EXP('Advanced Entry'!R114),'Advanced Entry'!R114)))-'Advanced Entry'!R$6)/('Advanced Entry'!R$7-'Advanced Entry'!R$6),10*((IF('Advanced Entry'!R$5="Logarithm",LN(0.001+'Advanced Entry'!R114),IF('Advanced Entry'!R$5="Exponential",EXP('Advanced Entry'!R114),'Advanced Entry'!R114)))-'Advanced Entry'!R$6)/('Advanced Entry'!R$7-'Advanced Entry'!R$6)),1))),"No data"))</f>
        <v/>
      </c>
      <c r="S114" s="17">
        <f>IF('Advanced Entry'!S114="","",IFERROR(MAX(0,MIN(10,ROUND(IF('Advanced Entry'!S$8="Decrease Risk",10-10*((IF('Advanced Entry'!S$5="Logarithm",LN(0.001+'Advanced Entry'!S114),IF('Advanced Entry'!S$5="Exponential",EXP('Advanced Entry'!S114),'Advanced Entry'!S114)))-'Advanced Entry'!S$6)/('Advanced Entry'!S$7-'Advanced Entry'!S$6),10*((IF('Advanced Entry'!S$5="Logarithm",LN(0.001+'Advanced Entry'!S114),IF('Advanced Entry'!S$5="Exponential",EXP('Advanced Entry'!S114),'Advanced Entry'!S114)))-'Advanced Entry'!S$6)/('Advanced Entry'!S$7-'Advanced Entry'!S$6)),1))),"No data"))</f>
        <v/>
      </c>
      <c r="T114" s="17">
        <f>IF('Advanced Entry'!T114="","",IFERROR(MAX(0,MIN(10,ROUND(IF('Advanced Entry'!T$8="Decrease Risk",10-10*((IF('Advanced Entry'!T$5="Logarithm",LN(0.001+'Advanced Entry'!T114),IF('Advanced Entry'!T$5="Exponential",EXP('Advanced Entry'!T114),'Advanced Entry'!T114)))-'Advanced Entry'!T$6)/('Advanced Entry'!T$7-'Advanced Entry'!T$6),10*((IF('Advanced Entry'!T$5="Logarithm",LN(0.001+'Advanced Entry'!T114),IF('Advanced Entry'!T$5="Exponential",EXP('Advanced Entry'!T114),'Advanced Entry'!T114)))-'Advanced Entry'!T$6)/('Advanced Entry'!T$7-'Advanced Entry'!T$6)),1))),"No data"))</f>
        <v/>
      </c>
      <c r="U114" s="17">
        <f>IF('Advanced Entry'!U114="","",IFERROR(MAX(0,MIN(10,ROUND(IF('Advanced Entry'!U$8="Decrease Risk",10-10*((IF('Advanced Entry'!U$5="Logarithm",LN(0.001+'Advanced Entry'!U114),IF('Advanced Entry'!U$5="Exponential",EXP('Advanced Entry'!U114),'Advanced Entry'!U114)))-'Advanced Entry'!U$6)/('Advanced Entry'!U$7-'Advanced Entry'!U$6),10*((IF('Advanced Entry'!U$5="Logarithm",LN(0.001+'Advanced Entry'!U114),IF('Advanced Entry'!U$5="Exponential",EXP('Advanced Entry'!U114),'Advanced Entry'!U114)))-'Advanced Entry'!U$6)/('Advanced Entry'!U$7-'Advanced Entry'!U$6)),1))),"No data"))</f>
        <v/>
      </c>
      <c r="V114" s="17">
        <f>IF('Advanced Entry'!V114="","",IFERROR(MAX(0,MIN(10,ROUND(IF('Advanced Entry'!V$8="Decrease Risk",10-10*((IF('Advanced Entry'!V$5="Logarithm",LN(0.001+'Advanced Entry'!V114),IF('Advanced Entry'!V$5="Exponential",EXP('Advanced Entry'!V114),'Advanced Entry'!V114)))-'Advanced Entry'!V$6)/('Advanced Entry'!V$7-'Advanced Entry'!V$6),10*((IF('Advanced Entry'!V$5="Logarithm",LN(0.001+'Advanced Entry'!V114),IF('Advanced Entry'!V$5="Exponential",EXP('Advanced Entry'!V114),'Advanced Entry'!V114)))-'Advanced Entry'!V$6)/('Advanced Entry'!V$7-'Advanced Entry'!V$6)),1))),"No data"))</f>
        <v/>
      </c>
      <c r="W114" s="17">
        <f>IF('Advanced Entry'!W114="","",IFERROR(MAX(0,MIN(10,ROUND(IF('Advanced Entry'!W$8="Decrease Risk",10-10*((IF('Advanced Entry'!W$5="Logarithm",LN(0.001+'Advanced Entry'!W114),IF('Advanced Entry'!W$5="Exponential",EXP('Advanced Entry'!W114),'Advanced Entry'!W114)))-'Advanced Entry'!W$6)/('Advanced Entry'!W$7-'Advanced Entry'!W$6),10*((IF('Advanced Entry'!W$5="Logarithm",LN(0.001+'Advanced Entry'!W114),IF('Advanced Entry'!W$5="Exponential",EXP('Advanced Entry'!W114),'Advanced Entry'!W114)))-'Advanced Entry'!W$6)/('Advanced Entry'!W$7-'Advanced Entry'!W$6)),1))),"No data"))</f>
        <v/>
      </c>
      <c r="X114" s="17">
        <f>IF('Advanced Entry'!X114="","",IFERROR(MAX(0,MIN(10,ROUND(IF('Advanced Entry'!X$8="Decrease Risk",10-10*((IF('Advanced Entry'!X$5="Logarithm",LN(0.001+'Advanced Entry'!X114),IF('Advanced Entry'!X$5="Exponential",EXP('Advanced Entry'!X114),'Advanced Entry'!X114)))-'Advanced Entry'!X$6)/('Advanced Entry'!X$7-'Advanced Entry'!X$6),10*((IF('Advanced Entry'!X$5="Logarithm",LN(0.001+'Advanced Entry'!X114),IF('Advanced Entry'!X$5="Exponential",EXP('Advanced Entry'!X114),'Advanced Entry'!X114)))-'Advanced Entry'!X$6)/('Advanced Entry'!X$7-'Advanced Entry'!X$6)),1))),"No data"))</f>
        <v/>
      </c>
      <c r="Y114" s="17">
        <f>IF('Advanced Entry'!Y114="","",IFERROR(MAX(0,MIN(10,ROUND(IF('Advanced Entry'!Y$8="Decrease Risk",10-10*((IF('Advanced Entry'!Y$5="Logarithm",LN(0.001+'Advanced Entry'!Y114),IF('Advanced Entry'!Y$5="Exponential",EXP('Advanced Entry'!Y114),'Advanced Entry'!Y114)))-'Advanced Entry'!Y$6)/('Advanced Entry'!Y$7-'Advanced Entry'!Y$6),10*((IF('Advanced Entry'!Y$5="Logarithm",LN(0.001+'Advanced Entry'!Y114),IF('Advanced Entry'!Y$5="Exponential",EXP('Advanced Entry'!Y114),'Advanced Entry'!Y114)))-'Advanced Entry'!Y$6)/('Advanced Entry'!Y$7-'Advanced Entry'!Y$6)),1))),"No data"))</f>
        <v/>
      </c>
      <c r="Z114" s="17">
        <f>IF('Advanced Entry'!Z114="","",IFERROR(MAX(0,MIN(10,ROUND(IF('Advanced Entry'!Z$8="Decrease Risk",10-10*((IF('Advanced Entry'!Z$5="Logarithm",LN(0.001+'Advanced Entry'!Z114),IF('Advanced Entry'!Z$5="Exponential",EXP('Advanced Entry'!Z114),'Advanced Entry'!Z114)))-'Advanced Entry'!Z$6)/('Advanced Entry'!Z$7-'Advanced Entry'!Z$6),10*((IF('Advanced Entry'!Z$5="Logarithm",LN(0.001+'Advanced Entry'!Z114),IF('Advanced Entry'!Z$5="Exponential",EXP('Advanced Entry'!Z114),'Advanced Entry'!Z114)))-'Advanced Entry'!Z$6)/('Advanced Entry'!Z$7-'Advanced Entry'!Z$6)),1))),"No data"))</f>
        <v/>
      </c>
      <c r="AA114" s="17">
        <f>IF('Advanced Entry'!AA114="","",IFERROR(MAX(0,MIN(10,ROUND(IF('Advanced Entry'!AA$8="Decrease Risk",10-10*((IF('Advanced Entry'!AA$5="Logarithm",LN(0.001+'Advanced Entry'!AA114),IF('Advanced Entry'!AA$5="Exponential",EXP('Advanced Entry'!AA114),'Advanced Entry'!AA114)))-'Advanced Entry'!AA$6)/('Advanced Entry'!AA$7-'Advanced Entry'!AA$6),10*((IF('Advanced Entry'!AA$5="Logarithm",LN(0.001+'Advanced Entry'!AA114),IF('Advanced Entry'!AA$5="Exponential",EXP('Advanced Entry'!AA114),'Advanced Entry'!AA114)))-'Advanced Entry'!AA$6)/('Advanced Entry'!AA$7-'Advanced Entry'!AA$6)),1))),"No data"))</f>
        <v/>
      </c>
      <c r="AB114" s="17">
        <f>IF('Advanced Entry'!AB114="","",IFERROR(MAX(0,MIN(10,ROUND(IF('Advanced Entry'!AB$8="Decrease Risk",10-10*((IF('Advanced Entry'!AB$5="Logarithm",LN(0.001+'Advanced Entry'!AB114),IF('Advanced Entry'!AB$5="Exponential",EXP('Advanced Entry'!AB114),'Advanced Entry'!AB114)))-'Advanced Entry'!AB$6)/('Advanced Entry'!AB$7-'Advanced Entry'!AB$6),10*((IF('Advanced Entry'!AB$5="Logarithm",LN(0.001+'Advanced Entry'!AB114),IF('Advanced Entry'!AB$5="Exponential",EXP('Advanced Entry'!AB114),'Advanced Entry'!AB114)))-'Advanced Entry'!AB$6)/('Advanced Entry'!AB$7-'Advanced Entry'!AB$6)),1))),"No data"))</f>
        <v/>
      </c>
    </row>
    <row r="115">
      <c r="A115" t="inlineStr">
        <is>
          <t>Morogoro</t>
        </is>
      </c>
      <c r="B115" t="inlineStr">
        <is>
          <t>Morogoro District</t>
        </is>
      </c>
      <c r="C115" t="inlineStr">
        <is>
          <t>C035</t>
        </is>
      </c>
      <c r="D115" s="17">
        <f>IF('Advanced Entry'!D115="","",IFERROR(MAX(0,MIN(10,ROUND(IF('Advanced Entry'!D$8="Decrease Risk",10-10*((IF('Advanced Entry'!D$5="Logarithm",LN(0.001+'Advanced Entry'!D115),IF('Advanced Entry'!D$5="Exponential",EXP('Advanced Entry'!D115),'Advanced Entry'!D115)))-'Advanced Entry'!D$6)/('Advanced Entry'!D$7-'Advanced Entry'!D$6),10*((IF('Advanced Entry'!D$5="Logarithm",LN(0.001+'Advanced Entry'!D115),IF('Advanced Entry'!D$5="Exponential",EXP('Advanced Entry'!D115),'Advanced Entry'!D115)))-'Advanced Entry'!D$6)/('Advanced Entry'!D$7-'Advanced Entry'!D$6)),1))),"No data"))</f>
        <v/>
      </c>
      <c r="E115" s="17">
        <f>IF('Advanced Entry'!E115="","",IFERROR(MAX(0,MIN(10,ROUND(IF('Advanced Entry'!E$8="Decrease Risk",10-10*((IF('Advanced Entry'!E$5="Logarithm",LN(0.001+'Advanced Entry'!E115),IF('Advanced Entry'!E$5="Exponential",EXP('Advanced Entry'!E115),'Advanced Entry'!E115)))-'Advanced Entry'!E$6)/('Advanced Entry'!E$7-'Advanced Entry'!E$6),10*((IF('Advanced Entry'!E$5="Logarithm",LN(0.001+'Advanced Entry'!E115),IF('Advanced Entry'!E$5="Exponential",EXP('Advanced Entry'!E115),'Advanced Entry'!E115)))-'Advanced Entry'!E$6)/('Advanced Entry'!E$7-'Advanced Entry'!E$6)),1))),"No data"))</f>
        <v/>
      </c>
      <c r="F115" s="17">
        <f>IF('Advanced Entry'!F115="","",IFERROR(MAX(0,MIN(10,ROUND(IF('Advanced Entry'!F$8="Decrease Risk",10-10*((IF('Advanced Entry'!F$5="Logarithm",LN(0.001+'Advanced Entry'!F115),IF('Advanced Entry'!F$5="Exponential",EXP('Advanced Entry'!F115),'Advanced Entry'!F115)))-'Advanced Entry'!F$6)/('Advanced Entry'!F$7-'Advanced Entry'!F$6),10*((IF('Advanced Entry'!F$5="Logarithm",LN(0.001+'Advanced Entry'!F115),IF('Advanced Entry'!F$5="Exponential",EXP('Advanced Entry'!F115),'Advanced Entry'!F115)))-'Advanced Entry'!F$6)/('Advanced Entry'!F$7-'Advanced Entry'!F$6)),1))),"No data"))</f>
        <v/>
      </c>
      <c r="G115" s="17">
        <f>IF('Advanced Entry'!G115="","",IFERROR(MAX(0,MIN(10,ROUND(IF('Advanced Entry'!G$8="Decrease Risk",10-10*((IF('Advanced Entry'!G$5="Logarithm",LN(0.001+'Advanced Entry'!G115),IF('Advanced Entry'!G$5="Exponential",EXP('Advanced Entry'!G115),'Advanced Entry'!G115)))-'Advanced Entry'!G$6)/('Advanced Entry'!G$7-'Advanced Entry'!G$6),10*((IF('Advanced Entry'!G$5="Logarithm",LN(0.001+'Advanced Entry'!G115),IF('Advanced Entry'!G$5="Exponential",EXP('Advanced Entry'!G115),'Advanced Entry'!G115)))-'Advanced Entry'!G$6)/('Advanced Entry'!G$7-'Advanced Entry'!G$6)),1))),"No data"))</f>
        <v/>
      </c>
      <c r="H115" s="17">
        <f>IF('Advanced Entry'!H115="","",IFERROR(MAX(0,MIN(10,ROUND(IF('Advanced Entry'!H$8="Decrease Risk",10-10*((IF('Advanced Entry'!H$5="Logarithm",LN(0.001+'Advanced Entry'!H115),IF('Advanced Entry'!H$5="Exponential",EXP('Advanced Entry'!H115),'Advanced Entry'!H115)))-'Advanced Entry'!H$6)/('Advanced Entry'!H$7-'Advanced Entry'!H$6),10*((IF('Advanced Entry'!H$5="Logarithm",LN(0.001+'Advanced Entry'!H115),IF('Advanced Entry'!H$5="Exponential",EXP('Advanced Entry'!H115),'Advanced Entry'!H115)))-'Advanced Entry'!H$6)/('Advanced Entry'!H$7-'Advanced Entry'!H$6)),1))),"No data"))</f>
        <v/>
      </c>
      <c r="I115" s="17">
        <f>IF('Advanced Entry'!I115="","",IFERROR(MAX(0,MIN(10,ROUND(IF('Advanced Entry'!I$8="Decrease Risk",10-10*((IF('Advanced Entry'!I$5="Logarithm",LN(0.001+'Advanced Entry'!I115),IF('Advanced Entry'!I$5="Exponential",EXP('Advanced Entry'!I115),'Advanced Entry'!I115)))-'Advanced Entry'!I$6)/('Advanced Entry'!I$7-'Advanced Entry'!I$6),10*((IF('Advanced Entry'!I$5="Logarithm",LN(0.001+'Advanced Entry'!I115),IF('Advanced Entry'!I$5="Exponential",EXP('Advanced Entry'!I115),'Advanced Entry'!I115)))-'Advanced Entry'!I$6)/('Advanced Entry'!I$7-'Advanced Entry'!I$6)),1))),"No data"))</f>
        <v/>
      </c>
      <c r="J115" s="17">
        <f>IF('Advanced Entry'!J115="","",IFERROR(MAX(0,MIN(10,ROUND(IF('Advanced Entry'!J$8="Decrease Risk",10-10*((IF('Advanced Entry'!J$5="Logarithm",LN(0.001+'Advanced Entry'!J115),IF('Advanced Entry'!J$5="Exponential",EXP('Advanced Entry'!J115),'Advanced Entry'!J115)))-'Advanced Entry'!J$6)/('Advanced Entry'!J$7-'Advanced Entry'!J$6),10*((IF('Advanced Entry'!J$5="Logarithm",LN(0.001+'Advanced Entry'!J115),IF('Advanced Entry'!J$5="Exponential",EXP('Advanced Entry'!J115),'Advanced Entry'!J115)))-'Advanced Entry'!J$6)/('Advanced Entry'!J$7-'Advanced Entry'!J$6)),1))),"No data"))</f>
        <v/>
      </c>
      <c r="K115" s="17">
        <f>IF('Advanced Entry'!K115="","",IFERROR(MAX(0,MIN(10,ROUND(IF('Advanced Entry'!K$8="Decrease Risk",10-10*((IF('Advanced Entry'!K$5="Logarithm",LN(0.001+'Advanced Entry'!K115),IF('Advanced Entry'!K$5="Exponential",EXP('Advanced Entry'!K115),'Advanced Entry'!K115)))-'Advanced Entry'!K$6)/('Advanced Entry'!K$7-'Advanced Entry'!K$6),10*((IF('Advanced Entry'!K$5="Logarithm",LN(0.001+'Advanced Entry'!K115),IF('Advanced Entry'!K$5="Exponential",EXP('Advanced Entry'!K115),'Advanced Entry'!K115)))-'Advanced Entry'!K$6)/('Advanced Entry'!K$7-'Advanced Entry'!K$6)),1))),"No data"))</f>
        <v/>
      </c>
      <c r="L115" s="17">
        <f>IF('Advanced Entry'!L115="","",IFERROR(MAX(0,MIN(10,ROUND(IF('Advanced Entry'!L$8="Decrease Risk",10-10*((IF('Advanced Entry'!L$5="Logarithm",LN(0.001+'Advanced Entry'!L115),IF('Advanced Entry'!L$5="Exponential",EXP('Advanced Entry'!L115),'Advanced Entry'!L115)))-'Advanced Entry'!L$6)/('Advanced Entry'!L$7-'Advanced Entry'!L$6),10*((IF('Advanced Entry'!L$5="Logarithm",LN(0.001+'Advanced Entry'!L115),IF('Advanced Entry'!L$5="Exponential",EXP('Advanced Entry'!L115),'Advanced Entry'!L115)))-'Advanced Entry'!L$6)/('Advanced Entry'!L$7-'Advanced Entry'!L$6)),1))),"No data"))</f>
        <v/>
      </c>
      <c r="M115" s="17">
        <f>IF('Advanced Entry'!M115="","",IFERROR(MAX(0,MIN(10,ROUND(IF('Advanced Entry'!M$8="Decrease Risk",10-10*((IF('Advanced Entry'!M$5="Logarithm",LN(0.001+'Advanced Entry'!M115),IF('Advanced Entry'!M$5="Exponential",EXP('Advanced Entry'!M115),'Advanced Entry'!M115)))-'Advanced Entry'!M$6)/('Advanced Entry'!M$7-'Advanced Entry'!M$6),10*((IF('Advanced Entry'!M$5="Logarithm",LN(0.001+'Advanced Entry'!M115),IF('Advanced Entry'!M$5="Exponential",EXP('Advanced Entry'!M115),'Advanced Entry'!M115)))-'Advanced Entry'!M$6)/('Advanced Entry'!M$7-'Advanced Entry'!M$6)),1))),"No data"))</f>
        <v/>
      </c>
      <c r="N115" s="17">
        <f>IF('Advanced Entry'!N115="","",IFERROR(MAX(0,MIN(10,ROUND(IF('Advanced Entry'!N$8="Decrease Risk",10-10*((IF('Advanced Entry'!N$5="Logarithm",LN(0.001+'Advanced Entry'!N115),IF('Advanced Entry'!N$5="Exponential",EXP('Advanced Entry'!N115),'Advanced Entry'!N115)))-'Advanced Entry'!N$6)/('Advanced Entry'!N$7-'Advanced Entry'!N$6),10*((IF('Advanced Entry'!N$5="Logarithm",LN(0.001+'Advanced Entry'!N115),IF('Advanced Entry'!N$5="Exponential",EXP('Advanced Entry'!N115),'Advanced Entry'!N115)))-'Advanced Entry'!N$6)/('Advanced Entry'!N$7-'Advanced Entry'!N$6)),1))),"No data"))</f>
        <v/>
      </c>
      <c r="O115" s="17">
        <f>IF('Advanced Entry'!O115="","",IFERROR(MAX(0,MIN(10,ROUND(IF('Advanced Entry'!O$8="Decrease Risk",10-10*((IF('Advanced Entry'!O$5="Logarithm",LN(0.001+'Advanced Entry'!O115),IF('Advanced Entry'!O$5="Exponential",EXP('Advanced Entry'!O115),'Advanced Entry'!O115)))-'Advanced Entry'!O$6)/('Advanced Entry'!O$7-'Advanced Entry'!O$6),10*((IF('Advanced Entry'!O$5="Logarithm",LN(0.001+'Advanced Entry'!O115),IF('Advanced Entry'!O$5="Exponential",EXP('Advanced Entry'!O115),'Advanced Entry'!O115)))-'Advanced Entry'!O$6)/('Advanced Entry'!O$7-'Advanced Entry'!O$6)),1))),"No data"))</f>
        <v/>
      </c>
      <c r="P115" s="17">
        <f>IF('Advanced Entry'!P115="","",IFERROR(MAX(0,MIN(10,ROUND(IF('Advanced Entry'!P$8="Decrease Risk",10-10*((IF('Advanced Entry'!P$5="Logarithm",LN(0.001+'Advanced Entry'!P115),IF('Advanced Entry'!P$5="Exponential",EXP('Advanced Entry'!P115),'Advanced Entry'!P115)))-'Advanced Entry'!P$6)/('Advanced Entry'!P$7-'Advanced Entry'!P$6),10*((IF('Advanced Entry'!P$5="Logarithm",LN(0.001+'Advanced Entry'!P115),IF('Advanced Entry'!P$5="Exponential",EXP('Advanced Entry'!P115),'Advanced Entry'!P115)))-'Advanced Entry'!P$6)/('Advanced Entry'!P$7-'Advanced Entry'!P$6)),1))),"No data"))</f>
        <v/>
      </c>
      <c r="Q115" s="17">
        <f>IF('Advanced Entry'!Q115="","",IFERROR(MAX(0,MIN(10,ROUND(IF('Advanced Entry'!Q$8="Decrease Risk",10-10*((IF('Advanced Entry'!Q$5="Logarithm",LN(0.001+'Advanced Entry'!Q115),IF('Advanced Entry'!Q$5="Exponential",EXP('Advanced Entry'!Q115),'Advanced Entry'!Q115)))-'Advanced Entry'!Q$6)/('Advanced Entry'!Q$7-'Advanced Entry'!Q$6),10*((IF('Advanced Entry'!Q$5="Logarithm",LN(0.001+'Advanced Entry'!Q115),IF('Advanced Entry'!Q$5="Exponential",EXP('Advanced Entry'!Q115),'Advanced Entry'!Q115)))-'Advanced Entry'!Q$6)/('Advanced Entry'!Q$7-'Advanced Entry'!Q$6)),1))),"No data"))</f>
        <v/>
      </c>
      <c r="R115" s="17">
        <f>IF('Advanced Entry'!R115="","",IFERROR(MAX(0,MIN(10,ROUND(IF('Advanced Entry'!R$8="Decrease Risk",10-10*((IF('Advanced Entry'!R$5="Logarithm",LN(0.001+'Advanced Entry'!R115),IF('Advanced Entry'!R$5="Exponential",EXP('Advanced Entry'!R115),'Advanced Entry'!R115)))-'Advanced Entry'!R$6)/('Advanced Entry'!R$7-'Advanced Entry'!R$6),10*((IF('Advanced Entry'!R$5="Logarithm",LN(0.001+'Advanced Entry'!R115),IF('Advanced Entry'!R$5="Exponential",EXP('Advanced Entry'!R115),'Advanced Entry'!R115)))-'Advanced Entry'!R$6)/('Advanced Entry'!R$7-'Advanced Entry'!R$6)),1))),"No data"))</f>
        <v/>
      </c>
      <c r="S115" s="17">
        <f>IF('Advanced Entry'!S115="","",IFERROR(MAX(0,MIN(10,ROUND(IF('Advanced Entry'!S$8="Decrease Risk",10-10*((IF('Advanced Entry'!S$5="Logarithm",LN(0.001+'Advanced Entry'!S115),IF('Advanced Entry'!S$5="Exponential",EXP('Advanced Entry'!S115),'Advanced Entry'!S115)))-'Advanced Entry'!S$6)/('Advanced Entry'!S$7-'Advanced Entry'!S$6),10*((IF('Advanced Entry'!S$5="Logarithm",LN(0.001+'Advanced Entry'!S115),IF('Advanced Entry'!S$5="Exponential",EXP('Advanced Entry'!S115),'Advanced Entry'!S115)))-'Advanced Entry'!S$6)/('Advanced Entry'!S$7-'Advanced Entry'!S$6)),1))),"No data"))</f>
        <v/>
      </c>
      <c r="T115" s="17">
        <f>IF('Advanced Entry'!T115="","",IFERROR(MAX(0,MIN(10,ROUND(IF('Advanced Entry'!T$8="Decrease Risk",10-10*((IF('Advanced Entry'!T$5="Logarithm",LN(0.001+'Advanced Entry'!T115),IF('Advanced Entry'!T$5="Exponential",EXP('Advanced Entry'!T115),'Advanced Entry'!T115)))-'Advanced Entry'!T$6)/('Advanced Entry'!T$7-'Advanced Entry'!T$6),10*((IF('Advanced Entry'!T$5="Logarithm",LN(0.001+'Advanced Entry'!T115),IF('Advanced Entry'!T$5="Exponential",EXP('Advanced Entry'!T115),'Advanced Entry'!T115)))-'Advanced Entry'!T$6)/('Advanced Entry'!T$7-'Advanced Entry'!T$6)),1))),"No data"))</f>
        <v/>
      </c>
      <c r="U115" s="17">
        <f>IF('Advanced Entry'!U115="","",IFERROR(MAX(0,MIN(10,ROUND(IF('Advanced Entry'!U$8="Decrease Risk",10-10*((IF('Advanced Entry'!U$5="Logarithm",LN(0.001+'Advanced Entry'!U115),IF('Advanced Entry'!U$5="Exponential",EXP('Advanced Entry'!U115),'Advanced Entry'!U115)))-'Advanced Entry'!U$6)/('Advanced Entry'!U$7-'Advanced Entry'!U$6),10*((IF('Advanced Entry'!U$5="Logarithm",LN(0.001+'Advanced Entry'!U115),IF('Advanced Entry'!U$5="Exponential",EXP('Advanced Entry'!U115),'Advanced Entry'!U115)))-'Advanced Entry'!U$6)/('Advanced Entry'!U$7-'Advanced Entry'!U$6)),1))),"No data"))</f>
        <v/>
      </c>
      <c r="V115" s="17">
        <f>IF('Advanced Entry'!V115="","",IFERROR(MAX(0,MIN(10,ROUND(IF('Advanced Entry'!V$8="Decrease Risk",10-10*((IF('Advanced Entry'!V$5="Logarithm",LN(0.001+'Advanced Entry'!V115),IF('Advanced Entry'!V$5="Exponential",EXP('Advanced Entry'!V115),'Advanced Entry'!V115)))-'Advanced Entry'!V$6)/('Advanced Entry'!V$7-'Advanced Entry'!V$6),10*((IF('Advanced Entry'!V$5="Logarithm",LN(0.001+'Advanced Entry'!V115),IF('Advanced Entry'!V$5="Exponential",EXP('Advanced Entry'!V115),'Advanced Entry'!V115)))-'Advanced Entry'!V$6)/('Advanced Entry'!V$7-'Advanced Entry'!V$6)),1))),"No data"))</f>
        <v/>
      </c>
      <c r="W115" s="17">
        <f>IF('Advanced Entry'!W115="","",IFERROR(MAX(0,MIN(10,ROUND(IF('Advanced Entry'!W$8="Decrease Risk",10-10*((IF('Advanced Entry'!W$5="Logarithm",LN(0.001+'Advanced Entry'!W115),IF('Advanced Entry'!W$5="Exponential",EXP('Advanced Entry'!W115),'Advanced Entry'!W115)))-'Advanced Entry'!W$6)/('Advanced Entry'!W$7-'Advanced Entry'!W$6),10*((IF('Advanced Entry'!W$5="Logarithm",LN(0.001+'Advanced Entry'!W115),IF('Advanced Entry'!W$5="Exponential",EXP('Advanced Entry'!W115),'Advanced Entry'!W115)))-'Advanced Entry'!W$6)/('Advanced Entry'!W$7-'Advanced Entry'!W$6)),1))),"No data"))</f>
        <v/>
      </c>
      <c r="X115" s="17">
        <f>IF('Advanced Entry'!X115="","",IFERROR(MAX(0,MIN(10,ROUND(IF('Advanced Entry'!X$8="Decrease Risk",10-10*((IF('Advanced Entry'!X$5="Logarithm",LN(0.001+'Advanced Entry'!X115),IF('Advanced Entry'!X$5="Exponential",EXP('Advanced Entry'!X115),'Advanced Entry'!X115)))-'Advanced Entry'!X$6)/('Advanced Entry'!X$7-'Advanced Entry'!X$6),10*((IF('Advanced Entry'!X$5="Logarithm",LN(0.001+'Advanced Entry'!X115),IF('Advanced Entry'!X$5="Exponential",EXP('Advanced Entry'!X115),'Advanced Entry'!X115)))-'Advanced Entry'!X$6)/('Advanced Entry'!X$7-'Advanced Entry'!X$6)),1))),"No data"))</f>
        <v/>
      </c>
      <c r="Y115" s="17">
        <f>IF('Advanced Entry'!Y115="","",IFERROR(MAX(0,MIN(10,ROUND(IF('Advanced Entry'!Y$8="Decrease Risk",10-10*((IF('Advanced Entry'!Y$5="Logarithm",LN(0.001+'Advanced Entry'!Y115),IF('Advanced Entry'!Y$5="Exponential",EXP('Advanced Entry'!Y115),'Advanced Entry'!Y115)))-'Advanced Entry'!Y$6)/('Advanced Entry'!Y$7-'Advanced Entry'!Y$6),10*((IF('Advanced Entry'!Y$5="Logarithm",LN(0.001+'Advanced Entry'!Y115),IF('Advanced Entry'!Y$5="Exponential",EXP('Advanced Entry'!Y115),'Advanced Entry'!Y115)))-'Advanced Entry'!Y$6)/('Advanced Entry'!Y$7-'Advanced Entry'!Y$6)),1))),"No data"))</f>
        <v/>
      </c>
      <c r="Z115" s="17">
        <f>IF('Advanced Entry'!Z115="","",IFERROR(MAX(0,MIN(10,ROUND(IF('Advanced Entry'!Z$8="Decrease Risk",10-10*((IF('Advanced Entry'!Z$5="Logarithm",LN(0.001+'Advanced Entry'!Z115),IF('Advanced Entry'!Z$5="Exponential",EXP('Advanced Entry'!Z115),'Advanced Entry'!Z115)))-'Advanced Entry'!Z$6)/('Advanced Entry'!Z$7-'Advanced Entry'!Z$6),10*((IF('Advanced Entry'!Z$5="Logarithm",LN(0.001+'Advanced Entry'!Z115),IF('Advanced Entry'!Z$5="Exponential",EXP('Advanced Entry'!Z115),'Advanced Entry'!Z115)))-'Advanced Entry'!Z$6)/('Advanced Entry'!Z$7-'Advanced Entry'!Z$6)),1))),"No data"))</f>
        <v/>
      </c>
      <c r="AA115" s="17">
        <f>IF('Advanced Entry'!AA115="","",IFERROR(MAX(0,MIN(10,ROUND(IF('Advanced Entry'!AA$8="Decrease Risk",10-10*((IF('Advanced Entry'!AA$5="Logarithm",LN(0.001+'Advanced Entry'!AA115),IF('Advanced Entry'!AA$5="Exponential",EXP('Advanced Entry'!AA115),'Advanced Entry'!AA115)))-'Advanced Entry'!AA$6)/('Advanced Entry'!AA$7-'Advanced Entry'!AA$6),10*((IF('Advanced Entry'!AA$5="Logarithm",LN(0.001+'Advanced Entry'!AA115),IF('Advanced Entry'!AA$5="Exponential",EXP('Advanced Entry'!AA115),'Advanced Entry'!AA115)))-'Advanced Entry'!AA$6)/('Advanced Entry'!AA$7-'Advanced Entry'!AA$6)),1))),"No data"))</f>
        <v/>
      </c>
      <c r="AB115" s="17">
        <f>IF('Advanced Entry'!AB115="","",IFERROR(MAX(0,MIN(10,ROUND(IF('Advanced Entry'!AB$8="Decrease Risk",10-10*((IF('Advanced Entry'!AB$5="Logarithm",LN(0.001+'Advanced Entry'!AB115),IF('Advanced Entry'!AB$5="Exponential",EXP('Advanced Entry'!AB115),'Advanced Entry'!AB115)))-'Advanced Entry'!AB$6)/('Advanced Entry'!AB$7-'Advanced Entry'!AB$6),10*((IF('Advanced Entry'!AB$5="Logarithm",LN(0.001+'Advanced Entry'!AB115),IF('Advanced Entry'!AB$5="Exponential",EXP('Advanced Entry'!AB115),'Advanced Entry'!AB115)))-'Advanced Entry'!AB$6)/('Advanced Entry'!AB$7-'Advanced Entry'!AB$6)),1))),"No data"))</f>
        <v/>
      </c>
    </row>
    <row r="116">
      <c r="A116" t="inlineStr">
        <is>
          <t>Morogoro</t>
        </is>
      </c>
      <c r="B116" t="inlineStr">
        <is>
          <t>Morogoro Municipal</t>
        </is>
      </c>
      <c r="C116" t="inlineStr">
        <is>
          <t>C036</t>
        </is>
      </c>
      <c r="D116" s="17">
        <f>IF('Advanced Entry'!D116="","",IFERROR(MAX(0,MIN(10,ROUND(IF('Advanced Entry'!D$8="Decrease Risk",10-10*((IF('Advanced Entry'!D$5="Logarithm",LN(0.001+'Advanced Entry'!D116),IF('Advanced Entry'!D$5="Exponential",EXP('Advanced Entry'!D116),'Advanced Entry'!D116)))-'Advanced Entry'!D$6)/('Advanced Entry'!D$7-'Advanced Entry'!D$6),10*((IF('Advanced Entry'!D$5="Logarithm",LN(0.001+'Advanced Entry'!D116),IF('Advanced Entry'!D$5="Exponential",EXP('Advanced Entry'!D116),'Advanced Entry'!D116)))-'Advanced Entry'!D$6)/('Advanced Entry'!D$7-'Advanced Entry'!D$6)),1))),"No data"))</f>
        <v/>
      </c>
      <c r="E116" s="17">
        <f>IF('Advanced Entry'!E116="","",IFERROR(MAX(0,MIN(10,ROUND(IF('Advanced Entry'!E$8="Decrease Risk",10-10*((IF('Advanced Entry'!E$5="Logarithm",LN(0.001+'Advanced Entry'!E116),IF('Advanced Entry'!E$5="Exponential",EXP('Advanced Entry'!E116),'Advanced Entry'!E116)))-'Advanced Entry'!E$6)/('Advanced Entry'!E$7-'Advanced Entry'!E$6),10*((IF('Advanced Entry'!E$5="Logarithm",LN(0.001+'Advanced Entry'!E116),IF('Advanced Entry'!E$5="Exponential",EXP('Advanced Entry'!E116),'Advanced Entry'!E116)))-'Advanced Entry'!E$6)/('Advanced Entry'!E$7-'Advanced Entry'!E$6)),1))),"No data"))</f>
        <v/>
      </c>
      <c r="F116" s="17">
        <f>IF('Advanced Entry'!F116="","",IFERROR(MAX(0,MIN(10,ROUND(IF('Advanced Entry'!F$8="Decrease Risk",10-10*((IF('Advanced Entry'!F$5="Logarithm",LN(0.001+'Advanced Entry'!F116),IF('Advanced Entry'!F$5="Exponential",EXP('Advanced Entry'!F116),'Advanced Entry'!F116)))-'Advanced Entry'!F$6)/('Advanced Entry'!F$7-'Advanced Entry'!F$6),10*((IF('Advanced Entry'!F$5="Logarithm",LN(0.001+'Advanced Entry'!F116),IF('Advanced Entry'!F$5="Exponential",EXP('Advanced Entry'!F116),'Advanced Entry'!F116)))-'Advanced Entry'!F$6)/('Advanced Entry'!F$7-'Advanced Entry'!F$6)),1))),"No data"))</f>
        <v/>
      </c>
      <c r="G116" s="17">
        <f>IF('Advanced Entry'!G116="","",IFERROR(MAX(0,MIN(10,ROUND(IF('Advanced Entry'!G$8="Decrease Risk",10-10*((IF('Advanced Entry'!G$5="Logarithm",LN(0.001+'Advanced Entry'!G116),IF('Advanced Entry'!G$5="Exponential",EXP('Advanced Entry'!G116),'Advanced Entry'!G116)))-'Advanced Entry'!G$6)/('Advanced Entry'!G$7-'Advanced Entry'!G$6),10*((IF('Advanced Entry'!G$5="Logarithm",LN(0.001+'Advanced Entry'!G116),IF('Advanced Entry'!G$5="Exponential",EXP('Advanced Entry'!G116),'Advanced Entry'!G116)))-'Advanced Entry'!G$6)/('Advanced Entry'!G$7-'Advanced Entry'!G$6)),1))),"No data"))</f>
        <v/>
      </c>
      <c r="H116" s="17">
        <f>IF('Advanced Entry'!H116="","",IFERROR(MAX(0,MIN(10,ROUND(IF('Advanced Entry'!H$8="Decrease Risk",10-10*((IF('Advanced Entry'!H$5="Logarithm",LN(0.001+'Advanced Entry'!H116),IF('Advanced Entry'!H$5="Exponential",EXP('Advanced Entry'!H116),'Advanced Entry'!H116)))-'Advanced Entry'!H$6)/('Advanced Entry'!H$7-'Advanced Entry'!H$6),10*((IF('Advanced Entry'!H$5="Logarithm",LN(0.001+'Advanced Entry'!H116),IF('Advanced Entry'!H$5="Exponential",EXP('Advanced Entry'!H116),'Advanced Entry'!H116)))-'Advanced Entry'!H$6)/('Advanced Entry'!H$7-'Advanced Entry'!H$6)),1))),"No data"))</f>
        <v/>
      </c>
      <c r="I116" s="17">
        <f>IF('Advanced Entry'!I116="","",IFERROR(MAX(0,MIN(10,ROUND(IF('Advanced Entry'!I$8="Decrease Risk",10-10*((IF('Advanced Entry'!I$5="Logarithm",LN(0.001+'Advanced Entry'!I116),IF('Advanced Entry'!I$5="Exponential",EXP('Advanced Entry'!I116),'Advanced Entry'!I116)))-'Advanced Entry'!I$6)/('Advanced Entry'!I$7-'Advanced Entry'!I$6),10*((IF('Advanced Entry'!I$5="Logarithm",LN(0.001+'Advanced Entry'!I116),IF('Advanced Entry'!I$5="Exponential",EXP('Advanced Entry'!I116),'Advanced Entry'!I116)))-'Advanced Entry'!I$6)/('Advanced Entry'!I$7-'Advanced Entry'!I$6)),1))),"No data"))</f>
        <v/>
      </c>
      <c r="J116" s="17">
        <f>IF('Advanced Entry'!J116="","",IFERROR(MAX(0,MIN(10,ROUND(IF('Advanced Entry'!J$8="Decrease Risk",10-10*((IF('Advanced Entry'!J$5="Logarithm",LN(0.001+'Advanced Entry'!J116),IF('Advanced Entry'!J$5="Exponential",EXP('Advanced Entry'!J116),'Advanced Entry'!J116)))-'Advanced Entry'!J$6)/('Advanced Entry'!J$7-'Advanced Entry'!J$6),10*((IF('Advanced Entry'!J$5="Logarithm",LN(0.001+'Advanced Entry'!J116),IF('Advanced Entry'!J$5="Exponential",EXP('Advanced Entry'!J116),'Advanced Entry'!J116)))-'Advanced Entry'!J$6)/('Advanced Entry'!J$7-'Advanced Entry'!J$6)),1))),"No data"))</f>
        <v/>
      </c>
      <c r="K116" s="17">
        <f>IF('Advanced Entry'!K116="","",IFERROR(MAX(0,MIN(10,ROUND(IF('Advanced Entry'!K$8="Decrease Risk",10-10*((IF('Advanced Entry'!K$5="Logarithm",LN(0.001+'Advanced Entry'!K116),IF('Advanced Entry'!K$5="Exponential",EXP('Advanced Entry'!K116),'Advanced Entry'!K116)))-'Advanced Entry'!K$6)/('Advanced Entry'!K$7-'Advanced Entry'!K$6),10*((IF('Advanced Entry'!K$5="Logarithm",LN(0.001+'Advanced Entry'!K116),IF('Advanced Entry'!K$5="Exponential",EXP('Advanced Entry'!K116),'Advanced Entry'!K116)))-'Advanced Entry'!K$6)/('Advanced Entry'!K$7-'Advanced Entry'!K$6)),1))),"No data"))</f>
        <v/>
      </c>
      <c r="L116" s="17">
        <f>IF('Advanced Entry'!L116="","",IFERROR(MAX(0,MIN(10,ROUND(IF('Advanced Entry'!L$8="Decrease Risk",10-10*((IF('Advanced Entry'!L$5="Logarithm",LN(0.001+'Advanced Entry'!L116),IF('Advanced Entry'!L$5="Exponential",EXP('Advanced Entry'!L116),'Advanced Entry'!L116)))-'Advanced Entry'!L$6)/('Advanced Entry'!L$7-'Advanced Entry'!L$6),10*((IF('Advanced Entry'!L$5="Logarithm",LN(0.001+'Advanced Entry'!L116),IF('Advanced Entry'!L$5="Exponential",EXP('Advanced Entry'!L116),'Advanced Entry'!L116)))-'Advanced Entry'!L$6)/('Advanced Entry'!L$7-'Advanced Entry'!L$6)),1))),"No data"))</f>
        <v/>
      </c>
      <c r="M116" s="17">
        <f>IF('Advanced Entry'!M116="","",IFERROR(MAX(0,MIN(10,ROUND(IF('Advanced Entry'!M$8="Decrease Risk",10-10*((IF('Advanced Entry'!M$5="Logarithm",LN(0.001+'Advanced Entry'!M116),IF('Advanced Entry'!M$5="Exponential",EXP('Advanced Entry'!M116),'Advanced Entry'!M116)))-'Advanced Entry'!M$6)/('Advanced Entry'!M$7-'Advanced Entry'!M$6),10*((IF('Advanced Entry'!M$5="Logarithm",LN(0.001+'Advanced Entry'!M116),IF('Advanced Entry'!M$5="Exponential",EXP('Advanced Entry'!M116),'Advanced Entry'!M116)))-'Advanced Entry'!M$6)/('Advanced Entry'!M$7-'Advanced Entry'!M$6)),1))),"No data"))</f>
        <v/>
      </c>
      <c r="N116" s="17">
        <f>IF('Advanced Entry'!N116="","",IFERROR(MAX(0,MIN(10,ROUND(IF('Advanced Entry'!N$8="Decrease Risk",10-10*((IF('Advanced Entry'!N$5="Logarithm",LN(0.001+'Advanced Entry'!N116),IF('Advanced Entry'!N$5="Exponential",EXP('Advanced Entry'!N116),'Advanced Entry'!N116)))-'Advanced Entry'!N$6)/('Advanced Entry'!N$7-'Advanced Entry'!N$6),10*((IF('Advanced Entry'!N$5="Logarithm",LN(0.001+'Advanced Entry'!N116),IF('Advanced Entry'!N$5="Exponential",EXP('Advanced Entry'!N116),'Advanced Entry'!N116)))-'Advanced Entry'!N$6)/('Advanced Entry'!N$7-'Advanced Entry'!N$6)),1))),"No data"))</f>
        <v/>
      </c>
      <c r="O116" s="17">
        <f>IF('Advanced Entry'!O116="","",IFERROR(MAX(0,MIN(10,ROUND(IF('Advanced Entry'!O$8="Decrease Risk",10-10*((IF('Advanced Entry'!O$5="Logarithm",LN(0.001+'Advanced Entry'!O116),IF('Advanced Entry'!O$5="Exponential",EXP('Advanced Entry'!O116),'Advanced Entry'!O116)))-'Advanced Entry'!O$6)/('Advanced Entry'!O$7-'Advanced Entry'!O$6),10*((IF('Advanced Entry'!O$5="Logarithm",LN(0.001+'Advanced Entry'!O116),IF('Advanced Entry'!O$5="Exponential",EXP('Advanced Entry'!O116),'Advanced Entry'!O116)))-'Advanced Entry'!O$6)/('Advanced Entry'!O$7-'Advanced Entry'!O$6)),1))),"No data"))</f>
        <v/>
      </c>
      <c r="P116" s="17">
        <f>IF('Advanced Entry'!P116="","",IFERROR(MAX(0,MIN(10,ROUND(IF('Advanced Entry'!P$8="Decrease Risk",10-10*((IF('Advanced Entry'!P$5="Logarithm",LN(0.001+'Advanced Entry'!P116),IF('Advanced Entry'!P$5="Exponential",EXP('Advanced Entry'!P116),'Advanced Entry'!P116)))-'Advanced Entry'!P$6)/('Advanced Entry'!P$7-'Advanced Entry'!P$6),10*((IF('Advanced Entry'!P$5="Logarithm",LN(0.001+'Advanced Entry'!P116),IF('Advanced Entry'!P$5="Exponential",EXP('Advanced Entry'!P116),'Advanced Entry'!P116)))-'Advanced Entry'!P$6)/('Advanced Entry'!P$7-'Advanced Entry'!P$6)),1))),"No data"))</f>
        <v/>
      </c>
      <c r="Q116" s="17">
        <f>IF('Advanced Entry'!Q116="","",IFERROR(MAX(0,MIN(10,ROUND(IF('Advanced Entry'!Q$8="Decrease Risk",10-10*((IF('Advanced Entry'!Q$5="Logarithm",LN(0.001+'Advanced Entry'!Q116),IF('Advanced Entry'!Q$5="Exponential",EXP('Advanced Entry'!Q116),'Advanced Entry'!Q116)))-'Advanced Entry'!Q$6)/('Advanced Entry'!Q$7-'Advanced Entry'!Q$6),10*((IF('Advanced Entry'!Q$5="Logarithm",LN(0.001+'Advanced Entry'!Q116),IF('Advanced Entry'!Q$5="Exponential",EXP('Advanced Entry'!Q116),'Advanced Entry'!Q116)))-'Advanced Entry'!Q$6)/('Advanced Entry'!Q$7-'Advanced Entry'!Q$6)),1))),"No data"))</f>
        <v/>
      </c>
      <c r="R116" s="17">
        <f>IF('Advanced Entry'!R116="","",IFERROR(MAX(0,MIN(10,ROUND(IF('Advanced Entry'!R$8="Decrease Risk",10-10*((IF('Advanced Entry'!R$5="Logarithm",LN(0.001+'Advanced Entry'!R116),IF('Advanced Entry'!R$5="Exponential",EXP('Advanced Entry'!R116),'Advanced Entry'!R116)))-'Advanced Entry'!R$6)/('Advanced Entry'!R$7-'Advanced Entry'!R$6),10*((IF('Advanced Entry'!R$5="Logarithm",LN(0.001+'Advanced Entry'!R116),IF('Advanced Entry'!R$5="Exponential",EXP('Advanced Entry'!R116),'Advanced Entry'!R116)))-'Advanced Entry'!R$6)/('Advanced Entry'!R$7-'Advanced Entry'!R$6)),1))),"No data"))</f>
        <v/>
      </c>
      <c r="S116" s="17">
        <f>IF('Advanced Entry'!S116="","",IFERROR(MAX(0,MIN(10,ROUND(IF('Advanced Entry'!S$8="Decrease Risk",10-10*((IF('Advanced Entry'!S$5="Logarithm",LN(0.001+'Advanced Entry'!S116),IF('Advanced Entry'!S$5="Exponential",EXP('Advanced Entry'!S116),'Advanced Entry'!S116)))-'Advanced Entry'!S$6)/('Advanced Entry'!S$7-'Advanced Entry'!S$6),10*((IF('Advanced Entry'!S$5="Logarithm",LN(0.001+'Advanced Entry'!S116),IF('Advanced Entry'!S$5="Exponential",EXP('Advanced Entry'!S116),'Advanced Entry'!S116)))-'Advanced Entry'!S$6)/('Advanced Entry'!S$7-'Advanced Entry'!S$6)),1))),"No data"))</f>
        <v/>
      </c>
      <c r="T116" s="17">
        <f>IF('Advanced Entry'!T116="","",IFERROR(MAX(0,MIN(10,ROUND(IF('Advanced Entry'!T$8="Decrease Risk",10-10*((IF('Advanced Entry'!T$5="Logarithm",LN(0.001+'Advanced Entry'!T116),IF('Advanced Entry'!T$5="Exponential",EXP('Advanced Entry'!T116),'Advanced Entry'!T116)))-'Advanced Entry'!T$6)/('Advanced Entry'!T$7-'Advanced Entry'!T$6),10*((IF('Advanced Entry'!T$5="Logarithm",LN(0.001+'Advanced Entry'!T116),IF('Advanced Entry'!T$5="Exponential",EXP('Advanced Entry'!T116),'Advanced Entry'!T116)))-'Advanced Entry'!T$6)/('Advanced Entry'!T$7-'Advanced Entry'!T$6)),1))),"No data"))</f>
        <v/>
      </c>
      <c r="U116" s="17">
        <f>IF('Advanced Entry'!U116="","",IFERROR(MAX(0,MIN(10,ROUND(IF('Advanced Entry'!U$8="Decrease Risk",10-10*((IF('Advanced Entry'!U$5="Logarithm",LN(0.001+'Advanced Entry'!U116),IF('Advanced Entry'!U$5="Exponential",EXP('Advanced Entry'!U116),'Advanced Entry'!U116)))-'Advanced Entry'!U$6)/('Advanced Entry'!U$7-'Advanced Entry'!U$6),10*((IF('Advanced Entry'!U$5="Logarithm",LN(0.001+'Advanced Entry'!U116),IF('Advanced Entry'!U$5="Exponential",EXP('Advanced Entry'!U116),'Advanced Entry'!U116)))-'Advanced Entry'!U$6)/('Advanced Entry'!U$7-'Advanced Entry'!U$6)),1))),"No data"))</f>
        <v/>
      </c>
      <c r="V116" s="17">
        <f>IF('Advanced Entry'!V116="","",IFERROR(MAX(0,MIN(10,ROUND(IF('Advanced Entry'!V$8="Decrease Risk",10-10*((IF('Advanced Entry'!V$5="Logarithm",LN(0.001+'Advanced Entry'!V116),IF('Advanced Entry'!V$5="Exponential",EXP('Advanced Entry'!V116),'Advanced Entry'!V116)))-'Advanced Entry'!V$6)/('Advanced Entry'!V$7-'Advanced Entry'!V$6),10*((IF('Advanced Entry'!V$5="Logarithm",LN(0.001+'Advanced Entry'!V116),IF('Advanced Entry'!V$5="Exponential",EXP('Advanced Entry'!V116),'Advanced Entry'!V116)))-'Advanced Entry'!V$6)/('Advanced Entry'!V$7-'Advanced Entry'!V$6)),1))),"No data"))</f>
        <v/>
      </c>
      <c r="W116" s="17">
        <f>IF('Advanced Entry'!W116="","",IFERROR(MAX(0,MIN(10,ROUND(IF('Advanced Entry'!W$8="Decrease Risk",10-10*((IF('Advanced Entry'!W$5="Logarithm",LN(0.001+'Advanced Entry'!W116),IF('Advanced Entry'!W$5="Exponential",EXP('Advanced Entry'!W116),'Advanced Entry'!W116)))-'Advanced Entry'!W$6)/('Advanced Entry'!W$7-'Advanced Entry'!W$6),10*((IF('Advanced Entry'!W$5="Logarithm",LN(0.001+'Advanced Entry'!W116),IF('Advanced Entry'!W$5="Exponential",EXP('Advanced Entry'!W116),'Advanced Entry'!W116)))-'Advanced Entry'!W$6)/('Advanced Entry'!W$7-'Advanced Entry'!W$6)),1))),"No data"))</f>
        <v/>
      </c>
      <c r="X116" s="17">
        <f>IF('Advanced Entry'!X116="","",IFERROR(MAX(0,MIN(10,ROUND(IF('Advanced Entry'!X$8="Decrease Risk",10-10*((IF('Advanced Entry'!X$5="Logarithm",LN(0.001+'Advanced Entry'!X116),IF('Advanced Entry'!X$5="Exponential",EXP('Advanced Entry'!X116),'Advanced Entry'!X116)))-'Advanced Entry'!X$6)/('Advanced Entry'!X$7-'Advanced Entry'!X$6),10*((IF('Advanced Entry'!X$5="Logarithm",LN(0.001+'Advanced Entry'!X116),IF('Advanced Entry'!X$5="Exponential",EXP('Advanced Entry'!X116),'Advanced Entry'!X116)))-'Advanced Entry'!X$6)/('Advanced Entry'!X$7-'Advanced Entry'!X$6)),1))),"No data"))</f>
        <v/>
      </c>
      <c r="Y116" s="17">
        <f>IF('Advanced Entry'!Y116="","",IFERROR(MAX(0,MIN(10,ROUND(IF('Advanced Entry'!Y$8="Decrease Risk",10-10*((IF('Advanced Entry'!Y$5="Logarithm",LN(0.001+'Advanced Entry'!Y116),IF('Advanced Entry'!Y$5="Exponential",EXP('Advanced Entry'!Y116),'Advanced Entry'!Y116)))-'Advanced Entry'!Y$6)/('Advanced Entry'!Y$7-'Advanced Entry'!Y$6),10*((IF('Advanced Entry'!Y$5="Logarithm",LN(0.001+'Advanced Entry'!Y116),IF('Advanced Entry'!Y$5="Exponential",EXP('Advanced Entry'!Y116),'Advanced Entry'!Y116)))-'Advanced Entry'!Y$6)/('Advanced Entry'!Y$7-'Advanced Entry'!Y$6)),1))),"No data"))</f>
        <v/>
      </c>
      <c r="Z116" s="17">
        <f>IF('Advanced Entry'!Z116="","",IFERROR(MAX(0,MIN(10,ROUND(IF('Advanced Entry'!Z$8="Decrease Risk",10-10*((IF('Advanced Entry'!Z$5="Logarithm",LN(0.001+'Advanced Entry'!Z116),IF('Advanced Entry'!Z$5="Exponential",EXP('Advanced Entry'!Z116),'Advanced Entry'!Z116)))-'Advanced Entry'!Z$6)/('Advanced Entry'!Z$7-'Advanced Entry'!Z$6),10*((IF('Advanced Entry'!Z$5="Logarithm",LN(0.001+'Advanced Entry'!Z116),IF('Advanced Entry'!Z$5="Exponential",EXP('Advanced Entry'!Z116),'Advanced Entry'!Z116)))-'Advanced Entry'!Z$6)/('Advanced Entry'!Z$7-'Advanced Entry'!Z$6)),1))),"No data"))</f>
        <v/>
      </c>
      <c r="AA116" s="17">
        <f>IF('Advanced Entry'!AA116="","",IFERROR(MAX(0,MIN(10,ROUND(IF('Advanced Entry'!AA$8="Decrease Risk",10-10*((IF('Advanced Entry'!AA$5="Logarithm",LN(0.001+'Advanced Entry'!AA116),IF('Advanced Entry'!AA$5="Exponential",EXP('Advanced Entry'!AA116),'Advanced Entry'!AA116)))-'Advanced Entry'!AA$6)/('Advanced Entry'!AA$7-'Advanced Entry'!AA$6),10*((IF('Advanced Entry'!AA$5="Logarithm",LN(0.001+'Advanced Entry'!AA116),IF('Advanced Entry'!AA$5="Exponential",EXP('Advanced Entry'!AA116),'Advanced Entry'!AA116)))-'Advanced Entry'!AA$6)/('Advanced Entry'!AA$7-'Advanced Entry'!AA$6)),1))),"No data"))</f>
        <v/>
      </c>
      <c r="AB116" s="17">
        <f>IF('Advanced Entry'!AB116="","",IFERROR(MAX(0,MIN(10,ROUND(IF('Advanced Entry'!AB$8="Decrease Risk",10-10*((IF('Advanced Entry'!AB$5="Logarithm",LN(0.001+'Advanced Entry'!AB116),IF('Advanced Entry'!AB$5="Exponential",EXP('Advanced Entry'!AB116),'Advanced Entry'!AB116)))-'Advanced Entry'!AB$6)/('Advanced Entry'!AB$7-'Advanced Entry'!AB$6),10*((IF('Advanced Entry'!AB$5="Logarithm",LN(0.001+'Advanced Entry'!AB116),IF('Advanced Entry'!AB$5="Exponential",EXP('Advanced Entry'!AB116),'Advanced Entry'!AB116)))-'Advanced Entry'!AB$6)/('Advanced Entry'!AB$7-'Advanced Entry'!AB$6)),1))),"No data"))</f>
        <v/>
      </c>
    </row>
    <row r="117">
      <c r="A117" t="inlineStr">
        <is>
          <t>Morogoro</t>
        </is>
      </c>
      <c r="B117" t="inlineStr">
        <is>
          <t>Mvomero District</t>
        </is>
      </c>
      <c r="C117" t="inlineStr">
        <is>
          <t>C041</t>
        </is>
      </c>
      <c r="D117" s="17">
        <f>IF('Advanced Entry'!D117="","",IFERROR(MAX(0,MIN(10,ROUND(IF('Advanced Entry'!D$8="Decrease Risk",10-10*((IF('Advanced Entry'!D$5="Logarithm",LN(0.001+'Advanced Entry'!D117),IF('Advanced Entry'!D$5="Exponential",EXP('Advanced Entry'!D117),'Advanced Entry'!D117)))-'Advanced Entry'!D$6)/('Advanced Entry'!D$7-'Advanced Entry'!D$6),10*((IF('Advanced Entry'!D$5="Logarithm",LN(0.001+'Advanced Entry'!D117),IF('Advanced Entry'!D$5="Exponential",EXP('Advanced Entry'!D117),'Advanced Entry'!D117)))-'Advanced Entry'!D$6)/('Advanced Entry'!D$7-'Advanced Entry'!D$6)),1))),"No data"))</f>
        <v/>
      </c>
      <c r="E117" s="17">
        <f>IF('Advanced Entry'!E117="","",IFERROR(MAX(0,MIN(10,ROUND(IF('Advanced Entry'!E$8="Decrease Risk",10-10*((IF('Advanced Entry'!E$5="Logarithm",LN(0.001+'Advanced Entry'!E117),IF('Advanced Entry'!E$5="Exponential",EXP('Advanced Entry'!E117),'Advanced Entry'!E117)))-'Advanced Entry'!E$6)/('Advanced Entry'!E$7-'Advanced Entry'!E$6),10*((IF('Advanced Entry'!E$5="Logarithm",LN(0.001+'Advanced Entry'!E117),IF('Advanced Entry'!E$5="Exponential",EXP('Advanced Entry'!E117),'Advanced Entry'!E117)))-'Advanced Entry'!E$6)/('Advanced Entry'!E$7-'Advanced Entry'!E$6)),1))),"No data"))</f>
        <v/>
      </c>
      <c r="F117" s="17">
        <f>IF('Advanced Entry'!F117="","",IFERROR(MAX(0,MIN(10,ROUND(IF('Advanced Entry'!F$8="Decrease Risk",10-10*((IF('Advanced Entry'!F$5="Logarithm",LN(0.001+'Advanced Entry'!F117),IF('Advanced Entry'!F$5="Exponential",EXP('Advanced Entry'!F117),'Advanced Entry'!F117)))-'Advanced Entry'!F$6)/('Advanced Entry'!F$7-'Advanced Entry'!F$6),10*((IF('Advanced Entry'!F$5="Logarithm",LN(0.001+'Advanced Entry'!F117),IF('Advanced Entry'!F$5="Exponential",EXP('Advanced Entry'!F117),'Advanced Entry'!F117)))-'Advanced Entry'!F$6)/('Advanced Entry'!F$7-'Advanced Entry'!F$6)),1))),"No data"))</f>
        <v/>
      </c>
      <c r="G117" s="17">
        <f>IF('Advanced Entry'!G117="","",IFERROR(MAX(0,MIN(10,ROUND(IF('Advanced Entry'!G$8="Decrease Risk",10-10*((IF('Advanced Entry'!G$5="Logarithm",LN(0.001+'Advanced Entry'!G117),IF('Advanced Entry'!G$5="Exponential",EXP('Advanced Entry'!G117),'Advanced Entry'!G117)))-'Advanced Entry'!G$6)/('Advanced Entry'!G$7-'Advanced Entry'!G$6),10*((IF('Advanced Entry'!G$5="Logarithm",LN(0.001+'Advanced Entry'!G117),IF('Advanced Entry'!G$5="Exponential",EXP('Advanced Entry'!G117),'Advanced Entry'!G117)))-'Advanced Entry'!G$6)/('Advanced Entry'!G$7-'Advanced Entry'!G$6)),1))),"No data"))</f>
        <v/>
      </c>
      <c r="H117" s="17">
        <f>IF('Advanced Entry'!H117="","",IFERROR(MAX(0,MIN(10,ROUND(IF('Advanced Entry'!H$8="Decrease Risk",10-10*((IF('Advanced Entry'!H$5="Logarithm",LN(0.001+'Advanced Entry'!H117),IF('Advanced Entry'!H$5="Exponential",EXP('Advanced Entry'!H117),'Advanced Entry'!H117)))-'Advanced Entry'!H$6)/('Advanced Entry'!H$7-'Advanced Entry'!H$6),10*((IF('Advanced Entry'!H$5="Logarithm",LN(0.001+'Advanced Entry'!H117),IF('Advanced Entry'!H$5="Exponential",EXP('Advanced Entry'!H117),'Advanced Entry'!H117)))-'Advanced Entry'!H$6)/('Advanced Entry'!H$7-'Advanced Entry'!H$6)),1))),"No data"))</f>
        <v/>
      </c>
      <c r="I117" s="17">
        <f>IF('Advanced Entry'!I117="","",IFERROR(MAX(0,MIN(10,ROUND(IF('Advanced Entry'!I$8="Decrease Risk",10-10*((IF('Advanced Entry'!I$5="Logarithm",LN(0.001+'Advanced Entry'!I117),IF('Advanced Entry'!I$5="Exponential",EXP('Advanced Entry'!I117),'Advanced Entry'!I117)))-'Advanced Entry'!I$6)/('Advanced Entry'!I$7-'Advanced Entry'!I$6),10*((IF('Advanced Entry'!I$5="Logarithm",LN(0.001+'Advanced Entry'!I117),IF('Advanced Entry'!I$5="Exponential",EXP('Advanced Entry'!I117),'Advanced Entry'!I117)))-'Advanced Entry'!I$6)/('Advanced Entry'!I$7-'Advanced Entry'!I$6)),1))),"No data"))</f>
        <v/>
      </c>
      <c r="J117" s="17">
        <f>IF('Advanced Entry'!J117="","",IFERROR(MAX(0,MIN(10,ROUND(IF('Advanced Entry'!J$8="Decrease Risk",10-10*((IF('Advanced Entry'!J$5="Logarithm",LN(0.001+'Advanced Entry'!J117),IF('Advanced Entry'!J$5="Exponential",EXP('Advanced Entry'!J117),'Advanced Entry'!J117)))-'Advanced Entry'!J$6)/('Advanced Entry'!J$7-'Advanced Entry'!J$6),10*((IF('Advanced Entry'!J$5="Logarithm",LN(0.001+'Advanced Entry'!J117),IF('Advanced Entry'!J$5="Exponential",EXP('Advanced Entry'!J117),'Advanced Entry'!J117)))-'Advanced Entry'!J$6)/('Advanced Entry'!J$7-'Advanced Entry'!J$6)),1))),"No data"))</f>
        <v/>
      </c>
      <c r="K117" s="17">
        <f>IF('Advanced Entry'!K117="","",IFERROR(MAX(0,MIN(10,ROUND(IF('Advanced Entry'!K$8="Decrease Risk",10-10*((IF('Advanced Entry'!K$5="Logarithm",LN(0.001+'Advanced Entry'!K117),IF('Advanced Entry'!K$5="Exponential",EXP('Advanced Entry'!K117),'Advanced Entry'!K117)))-'Advanced Entry'!K$6)/('Advanced Entry'!K$7-'Advanced Entry'!K$6),10*((IF('Advanced Entry'!K$5="Logarithm",LN(0.001+'Advanced Entry'!K117),IF('Advanced Entry'!K$5="Exponential",EXP('Advanced Entry'!K117),'Advanced Entry'!K117)))-'Advanced Entry'!K$6)/('Advanced Entry'!K$7-'Advanced Entry'!K$6)),1))),"No data"))</f>
        <v/>
      </c>
      <c r="L117" s="17">
        <f>IF('Advanced Entry'!L117="","",IFERROR(MAX(0,MIN(10,ROUND(IF('Advanced Entry'!L$8="Decrease Risk",10-10*((IF('Advanced Entry'!L$5="Logarithm",LN(0.001+'Advanced Entry'!L117),IF('Advanced Entry'!L$5="Exponential",EXP('Advanced Entry'!L117),'Advanced Entry'!L117)))-'Advanced Entry'!L$6)/('Advanced Entry'!L$7-'Advanced Entry'!L$6),10*((IF('Advanced Entry'!L$5="Logarithm",LN(0.001+'Advanced Entry'!L117),IF('Advanced Entry'!L$5="Exponential",EXP('Advanced Entry'!L117),'Advanced Entry'!L117)))-'Advanced Entry'!L$6)/('Advanced Entry'!L$7-'Advanced Entry'!L$6)),1))),"No data"))</f>
        <v/>
      </c>
      <c r="M117" s="17">
        <f>IF('Advanced Entry'!M117="","",IFERROR(MAX(0,MIN(10,ROUND(IF('Advanced Entry'!M$8="Decrease Risk",10-10*((IF('Advanced Entry'!M$5="Logarithm",LN(0.001+'Advanced Entry'!M117),IF('Advanced Entry'!M$5="Exponential",EXP('Advanced Entry'!M117),'Advanced Entry'!M117)))-'Advanced Entry'!M$6)/('Advanced Entry'!M$7-'Advanced Entry'!M$6),10*((IF('Advanced Entry'!M$5="Logarithm",LN(0.001+'Advanced Entry'!M117),IF('Advanced Entry'!M$5="Exponential",EXP('Advanced Entry'!M117),'Advanced Entry'!M117)))-'Advanced Entry'!M$6)/('Advanced Entry'!M$7-'Advanced Entry'!M$6)),1))),"No data"))</f>
        <v/>
      </c>
      <c r="N117" s="17">
        <f>IF('Advanced Entry'!N117="","",IFERROR(MAX(0,MIN(10,ROUND(IF('Advanced Entry'!N$8="Decrease Risk",10-10*((IF('Advanced Entry'!N$5="Logarithm",LN(0.001+'Advanced Entry'!N117),IF('Advanced Entry'!N$5="Exponential",EXP('Advanced Entry'!N117),'Advanced Entry'!N117)))-'Advanced Entry'!N$6)/('Advanced Entry'!N$7-'Advanced Entry'!N$6),10*((IF('Advanced Entry'!N$5="Logarithm",LN(0.001+'Advanced Entry'!N117),IF('Advanced Entry'!N$5="Exponential",EXP('Advanced Entry'!N117),'Advanced Entry'!N117)))-'Advanced Entry'!N$6)/('Advanced Entry'!N$7-'Advanced Entry'!N$6)),1))),"No data"))</f>
        <v/>
      </c>
      <c r="O117" s="17">
        <f>IF('Advanced Entry'!O117="","",IFERROR(MAX(0,MIN(10,ROUND(IF('Advanced Entry'!O$8="Decrease Risk",10-10*((IF('Advanced Entry'!O$5="Logarithm",LN(0.001+'Advanced Entry'!O117),IF('Advanced Entry'!O$5="Exponential",EXP('Advanced Entry'!O117),'Advanced Entry'!O117)))-'Advanced Entry'!O$6)/('Advanced Entry'!O$7-'Advanced Entry'!O$6),10*((IF('Advanced Entry'!O$5="Logarithm",LN(0.001+'Advanced Entry'!O117),IF('Advanced Entry'!O$5="Exponential",EXP('Advanced Entry'!O117),'Advanced Entry'!O117)))-'Advanced Entry'!O$6)/('Advanced Entry'!O$7-'Advanced Entry'!O$6)),1))),"No data"))</f>
        <v/>
      </c>
      <c r="P117" s="17">
        <f>IF('Advanced Entry'!P117="","",IFERROR(MAX(0,MIN(10,ROUND(IF('Advanced Entry'!P$8="Decrease Risk",10-10*((IF('Advanced Entry'!P$5="Logarithm",LN(0.001+'Advanced Entry'!P117),IF('Advanced Entry'!P$5="Exponential",EXP('Advanced Entry'!P117),'Advanced Entry'!P117)))-'Advanced Entry'!P$6)/('Advanced Entry'!P$7-'Advanced Entry'!P$6),10*((IF('Advanced Entry'!P$5="Logarithm",LN(0.001+'Advanced Entry'!P117),IF('Advanced Entry'!P$5="Exponential",EXP('Advanced Entry'!P117),'Advanced Entry'!P117)))-'Advanced Entry'!P$6)/('Advanced Entry'!P$7-'Advanced Entry'!P$6)),1))),"No data"))</f>
        <v/>
      </c>
      <c r="Q117" s="17">
        <f>IF('Advanced Entry'!Q117="","",IFERROR(MAX(0,MIN(10,ROUND(IF('Advanced Entry'!Q$8="Decrease Risk",10-10*((IF('Advanced Entry'!Q$5="Logarithm",LN(0.001+'Advanced Entry'!Q117),IF('Advanced Entry'!Q$5="Exponential",EXP('Advanced Entry'!Q117),'Advanced Entry'!Q117)))-'Advanced Entry'!Q$6)/('Advanced Entry'!Q$7-'Advanced Entry'!Q$6),10*((IF('Advanced Entry'!Q$5="Logarithm",LN(0.001+'Advanced Entry'!Q117),IF('Advanced Entry'!Q$5="Exponential",EXP('Advanced Entry'!Q117),'Advanced Entry'!Q117)))-'Advanced Entry'!Q$6)/('Advanced Entry'!Q$7-'Advanced Entry'!Q$6)),1))),"No data"))</f>
        <v/>
      </c>
      <c r="R117" s="17">
        <f>IF('Advanced Entry'!R117="","",IFERROR(MAX(0,MIN(10,ROUND(IF('Advanced Entry'!R$8="Decrease Risk",10-10*((IF('Advanced Entry'!R$5="Logarithm",LN(0.001+'Advanced Entry'!R117),IF('Advanced Entry'!R$5="Exponential",EXP('Advanced Entry'!R117),'Advanced Entry'!R117)))-'Advanced Entry'!R$6)/('Advanced Entry'!R$7-'Advanced Entry'!R$6),10*((IF('Advanced Entry'!R$5="Logarithm",LN(0.001+'Advanced Entry'!R117),IF('Advanced Entry'!R$5="Exponential",EXP('Advanced Entry'!R117),'Advanced Entry'!R117)))-'Advanced Entry'!R$6)/('Advanced Entry'!R$7-'Advanced Entry'!R$6)),1))),"No data"))</f>
        <v/>
      </c>
      <c r="S117" s="17">
        <f>IF('Advanced Entry'!S117="","",IFERROR(MAX(0,MIN(10,ROUND(IF('Advanced Entry'!S$8="Decrease Risk",10-10*((IF('Advanced Entry'!S$5="Logarithm",LN(0.001+'Advanced Entry'!S117),IF('Advanced Entry'!S$5="Exponential",EXP('Advanced Entry'!S117),'Advanced Entry'!S117)))-'Advanced Entry'!S$6)/('Advanced Entry'!S$7-'Advanced Entry'!S$6),10*((IF('Advanced Entry'!S$5="Logarithm",LN(0.001+'Advanced Entry'!S117),IF('Advanced Entry'!S$5="Exponential",EXP('Advanced Entry'!S117),'Advanced Entry'!S117)))-'Advanced Entry'!S$6)/('Advanced Entry'!S$7-'Advanced Entry'!S$6)),1))),"No data"))</f>
        <v/>
      </c>
      <c r="T117" s="17">
        <f>IF('Advanced Entry'!T117="","",IFERROR(MAX(0,MIN(10,ROUND(IF('Advanced Entry'!T$8="Decrease Risk",10-10*((IF('Advanced Entry'!T$5="Logarithm",LN(0.001+'Advanced Entry'!T117),IF('Advanced Entry'!T$5="Exponential",EXP('Advanced Entry'!T117),'Advanced Entry'!T117)))-'Advanced Entry'!T$6)/('Advanced Entry'!T$7-'Advanced Entry'!T$6),10*((IF('Advanced Entry'!T$5="Logarithm",LN(0.001+'Advanced Entry'!T117),IF('Advanced Entry'!T$5="Exponential",EXP('Advanced Entry'!T117),'Advanced Entry'!T117)))-'Advanced Entry'!T$6)/('Advanced Entry'!T$7-'Advanced Entry'!T$6)),1))),"No data"))</f>
        <v/>
      </c>
      <c r="U117" s="17">
        <f>IF('Advanced Entry'!U117="","",IFERROR(MAX(0,MIN(10,ROUND(IF('Advanced Entry'!U$8="Decrease Risk",10-10*((IF('Advanced Entry'!U$5="Logarithm",LN(0.001+'Advanced Entry'!U117),IF('Advanced Entry'!U$5="Exponential",EXP('Advanced Entry'!U117),'Advanced Entry'!U117)))-'Advanced Entry'!U$6)/('Advanced Entry'!U$7-'Advanced Entry'!U$6),10*((IF('Advanced Entry'!U$5="Logarithm",LN(0.001+'Advanced Entry'!U117),IF('Advanced Entry'!U$5="Exponential",EXP('Advanced Entry'!U117),'Advanced Entry'!U117)))-'Advanced Entry'!U$6)/('Advanced Entry'!U$7-'Advanced Entry'!U$6)),1))),"No data"))</f>
        <v/>
      </c>
      <c r="V117" s="17">
        <f>IF('Advanced Entry'!V117="","",IFERROR(MAX(0,MIN(10,ROUND(IF('Advanced Entry'!V$8="Decrease Risk",10-10*((IF('Advanced Entry'!V$5="Logarithm",LN(0.001+'Advanced Entry'!V117),IF('Advanced Entry'!V$5="Exponential",EXP('Advanced Entry'!V117),'Advanced Entry'!V117)))-'Advanced Entry'!V$6)/('Advanced Entry'!V$7-'Advanced Entry'!V$6),10*((IF('Advanced Entry'!V$5="Logarithm",LN(0.001+'Advanced Entry'!V117),IF('Advanced Entry'!V$5="Exponential",EXP('Advanced Entry'!V117),'Advanced Entry'!V117)))-'Advanced Entry'!V$6)/('Advanced Entry'!V$7-'Advanced Entry'!V$6)),1))),"No data"))</f>
        <v/>
      </c>
      <c r="W117" s="17">
        <f>IF('Advanced Entry'!W117="","",IFERROR(MAX(0,MIN(10,ROUND(IF('Advanced Entry'!W$8="Decrease Risk",10-10*((IF('Advanced Entry'!W$5="Logarithm",LN(0.001+'Advanced Entry'!W117),IF('Advanced Entry'!W$5="Exponential",EXP('Advanced Entry'!W117),'Advanced Entry'!W117)))-'Advanced Entry'!W$6)/('Advanced Entry'!W$7-'Advanced Entry'!W$6),10*((IF('Advanced Entry'!W$5="Logarithm",LN(0.001+'Advanced Entry'!W117),IF('Advanced Entry'!W$5="Exponential",EXP('Advanced Entry'!W117),'Advanced Entry'!W117)))-'Advanced Entry'!W$6)/('Advanced Entry'!W$7-'Advanced Entry'!W$6)),1))),"No data"))</f>
        <v/>
      </c>
      <c r="X117" s="17">
        <f>IF('Advanced Entry'!X117="","",IFERROR(MAX(0,MIN(10,ROUND(IF('Advanced Entry'!X$8="Decrease Risk",10-10*((IF('Advanced Entry'!X$5="Logarithm",LN(0.001+'Advanced Entry'!X117),IF('Advanced Entry'!X$5="Exponential",EXP('Advanced Entry'!X117),'Advanced Entry'!X117)))-'Advanced Entry'!X$6)/('Advanced Entry'!X$7-'Advanced Entry'!X$6),10*((IF('Advanced Entry'!X$5="Logarithm",LN(0.001+'Advanced Entry'!X117),IF('Advanced Entry'!X$5="Exponential",EXP('Advanced Entry'!X117),'Advanced Entry'!X117)))-'Advanced Entry'!X$6)/('Advanced Entry'!X$7-'Advanced Entry'!X$6)),1))),"No data"))</f>
        <v/>
      </c>
      <c r="Y117" s="17">
        <f>IF('Advanced Entry'!Y117="","",IFERROR(MAX(0,MIN(10,ROUND(IF('Advanced Entry'!Y$8="Decrease Risk",10-10*((IF('Advanced Entry'!Y$5="Logarithm",LN(0.001+'Advanced Entry'!Y117),IF('Advanced Entry'!Y$5="Exponential",EXP('Advanced Entry'!Y117),'Advanced Entry'!Y117)))-'Advanced Entry'!Y$6)/('Advanced Entry'!Y$7-'Advanced Entry'!Y$6),10*((IF('Advanced Entry'!Y$5="Logarithm",LN(0.001+'Advanced Entry'!Y117),IF('Advanced Entry'!Y$5="Exponential",EXP('Advanced Entry'!Y117),'Advanced Entry'!Y117)))-'Advanced Entry'!Y$6)/('Advanced Entry'!Y$7-'Advanced Entry'!Y$6)),1))),"No data"))</f>
        <v/>
      </c>
      <c r="Z117" s="17">
        <f>IF('Advanced Entry'!Z117="","",IFERROR(MAX(0,MIN(10,ROUND(IF('Advanced Entry'!Z$8="Decrease Risk",10-10*((IF('Advanced Entry'!Z$5="Logarithm",LN(0.001+'Advanced Entry'!Z117),IF('Advanced Entry'!Z$5="Exponential",EXP('Advanced Entry'!Z117),'Advanced Entry'!Z117)))-'Advanced Entry'!Z$6)/('Advanced Entry'!Z$7-'Advanced Entry'!Z$6),10*((IF('Advanced Entry'!Z$5="Logarithm",LN(0.001+'Advanced Entry'!Z117),IF('Advanced Entry'!Z$5="Exponential",EXP('Advanced Entry'!Z117),'Advanced Entry'!Z117)))-'Advanced Entry'!Z$6)/('Advanced Entry'!Z$7-'Advanced Entry'!Z$6)),1))),"No data"))</f>
        <v/>
      </c>
      <c r="AA117" s="17">
        <f>IF('Advanced Entry'!AA117="","",IFERROR(MAX(0,MIN(10,ROUND(IF('Advanced Entry'!AA$8="Decrease Risk",10-10*((IF('Advanced Entry'!AA$5="Logarithm",LN(0.001+'Advanced Entry'!AA117),IF('Advanced Entry'!AA$5="Exponential",EXP('Advanced Entry'!AA117),'Advanced Entry'!AA117)))-'Advanced Entry'!AA$6)/('Advanced Entry'!AA$7-'Advanced Entry'!AA$6),10*((IF('Advanced Entry'!AA$5="Logarithm",LN(0.001+'Advanced Entry'!AA117),IF('Advanced Entry'!AA$5="Exponential",EXP('Advanced Entry'!AA117),'Advanced Entry'!AA117)))-'Advanced Entry'!AA$6)/('Advanced Entry'!AA$7-'Advanced Entry'!AA$6)),1))),"No data"))</f>
        <v/>
      </c>
      <c r="AB117" s="17">
        <f>IF('Advanced Entry'!AB117="","",IFERROR(MAX(0,MIN(10,ROUND(IF('Advanced Entry'!AB$8="Decrease Risk",10-10*((IF('Advanced Entry'!AB$5="Logarithm",LN(0.001+'Advanced Entry'!AB117),IF('Advanced Entry'!AB$5="Exponential",EXP('Advanced Entry'!AB117),'Advanced Entry'!AB117)))-'Advanced Entry'!AB$6)/('Advanced Entry'!AB$7-'Advanced Entry'!AB$6),10*((IF('Advanced Entry'!AB$5="Logarithm",LN(0.001+'Advanced Entry'!AB117),IF('Advanced Entry'!AB$5="Exponential",EXP('Advanced Entry'!AB117),'Advanced Entry'!AB117)))-'Advanced Entry'!AB$6)/('Advanced Entry'!AB$7-'Advanced Entry'!AB$6)),1))),"No data"))</f>
        <v/>
      </c>
    </row>
    <row r="118">
      <c r="A118" t="inlineStr">
        <is>
          <t>Morogoro</t>
        </is>
      </c>
      <c r="B118" t="inlineStr">
        <is>
          <t>Ulanga District</t>
        </is>
      </c>
      <c r="C118" t="inlineStr">
        <is>
          <t>C039</t>
        </is>
      </c>
      <c r="D118" s="17">
        <f>IF('Advanced Entry'!D118="","",IFERROR(MAX(0,MIN(10,ROUND(IF('Advanced Entry'!D$8="Decrease Risk",10-10*((IF('Advanced Entry'!D$5="Logarithm",LN(0.001+'Advanced Entry'!D118),IF('Advanced Entry'!D$5="Exponential",EXP('Advanced Entry'!D118),'Advanced Entry'!D118)))-'Advanced Entry'!D$6)/('Advanced Entry'!D$7-'Advanced Entry'!D$6),10*((IF('Advanced Entry'!D$5="Logarithm",LN(0.001+'Advanced Entry'!D118),IF('Advanced Entry'!D$5="Exponential",EXP('Advanced Entry'!D118),'Advanced Entry'!D118)))-'Advanced Entry'!D$6)/('Advanced Entry'!D$7-'Advanced Entry'!D$6)),1))),"No data"))</f>
        <v/>
      </c>
      <c r="E118" s="17">
        <f>IF('Advanced Entry'!E118="","",IFERROR(MAX(0,MIN(10,ROUND(IF('Advanced Entry'!E$8="Decrease Risk",10-10*((IF('Advanced Entry'!E$5="Logarithm",LN(0.001+'Advanced Entry'!E118),IF('Advanced Entry'!E$5="Exponential",EXP('Advanced Entry'!E118),'Advanced Entry'!E118)))-'Advanced Entry'!E$6)/('Advanced Entry'!E$7-'Advanced Entry'!E$6),10*((IF('Advanced Entry'!E$5="Logarithm",LN(0.001+'Advanced Entry'!E118),IF('Advanced Entry'!E$5="Exponential",EXP('Advanced Entry'!E118),'Advanced Entry'!E118)))-'Advanced Entry'!E$6)/('Advanced Entry'!E$7-'Advanced Entry'!E$6)),1))),"No data"))</f>
        <v/>
      </c>
      <c r="F118" s="17">
        <f>IF('Advanced Entry'!F118="","",IFERROR(MAX(0,MIN(10,ROUND(IF('Advanced Entry'!F$8="Decrease Risk",10-10*((IF('Advanced Entry'!F$5="Logarithm",LN(0.001+'Advanced Entry'!F118),IF('Advanced Entry'!F$5="Exponential",EXP('Advanced Entry'!F118),'Advanced Entry'!F118)))-'Advanced Entry'!F$6)/('Advanced Entry'!F$7-'Advanced Entry'!F$6),10*((IF('Advanced Entry'!F$5="Logarithm",LN(0.001+'Advanced Entry'!F118),IF('Advanced Entry'!F$5="Exponential",EXP('Advanced Entry'!F118),'Advanced Entry'!F118)))-'Advanced Entry'!F$6)/('Advanced Entry'!F$7-'Advanced Entry'!F$6)),1))),"No data"))</f>
        <v/>
      </c>
      <c r="G118" s="17">
        <f>IF('Advanced Entry'!G118="","",IFERROR(MAX(0,MIN(10,ROUND(IF('Advanced Entry'!G$8="Decrease Risk",10-10*((IF('Advanced Entry'!G$5="Logarithm",LN(0.001+'Advanced Entry'!G118),IF('Advanced Entry'!G$5="Exponential",EXP('Advanced Entry'!G118),'Advanced Entry'!G118)))-'Advanced Entry'!G$6)/('Advanced Entry'!G$7-'Advanced Entry'!G$6),10*((IF('Advanced Entry'!G$5="Logarithm",LN(0.001+'Advanced Entry'!G118),IF('Advanced Entry'!G$5="Exponential",EXP('Advanced Entry'!G118),'Advanced Entry'!G118)))-'Advanced Entry'!G$6)/('Advanced Entry'!G$7-'Advanced Entry'!G$6)),1))),"No data"))</f>
        <v/>
      </c>
      <c r="H118" s="17">
        <f>IF('Advanced Entry'!H118="","",IFERROR(MAX(0,MIN(10,ROUND(IF('Advanced Entry'!H$8="Decrease Risk",10-10*((IF('Advanced Entry'!H$5="Logarithm",LN(0.001+'Advanced Entry'!H118),IF('Advanced Entry'!H$5="Exponential",EXP('Advanced Entry'!H118),'Advanced Entry'!H118)))-'Advanced Entry'!H$6)/('Advanced Entry'!H$7-'Advanced Entry'!H$6),10*((IF('Advanced Entry'!H$5="Logarithm",LN(0.001+'Advanced Entry'!H118),IF('Advanced Entry'!H$5="Exponential",EXP('Advanced Entry'!H118),'Advanced Entry'!H118)))-'Advanced Entry'!H$6)/('Advanced Entry'!H$7-'Advanced Entry'!H$6)),1))),"No data"))</f>
        <v/>
      </c>
      <c r="I118" s="17">
        <f>IF('Advanced Entry'!I118="","",IFERROR(MAX(0,MIN(10,ROUND(IF('Advanced Entry'!I$8="Decrease Risk",10-10*((IF('Advanced Entry'!I$5="Logarithm",LN(0.001+'Advanced Entry'!I118),IF('Advanced Entry'!I$5="Exponential",EXP('Advanced Entry'!I118),'Advanced Entry'!I118)))-'Advanced Entry'!I$6)/('Advanced Entry'!I$7-'Advanced Entry'!I$6),10*((IF('Advanced Entry'!I$5="Logarithm",LN(0.001+'Advanced Entry'!I118),IF('Advanced Entry'!I$5="Exponential",EXP('Advanced Entry'!I118),'Advanced Entry'!I118)))-'Advanced Entry'!I$6)/('Advanced Entry'!I$7-'Advanced Entry'!I$6)),1))),"No data"))</f>
        <v/>
      </c>
      <c r="J118" s="17">
        <f>IF('Advanced Entry'!J118="","",IFERROR(MAX(0,MIN(10,ROUND(IF('Advanced Entry'!J$8="Decrease Risk",10-10*((IF('Advanced Entry'!J$5="Logarithm",LN(0.001+'Advanced Entry'!J118),IF('Advanced Entry'!J$5="Exponential",EXP('Advanced Entry'!J118),'Advanced Entry'!J118)))-'Advanced Entry'!J$6)/('Advanced Entry'!J$7-'Advanced Entry'!J$6),10*((IF('Advanced Entry'!J$5="Logarithm",LN(0.001+'Advanced Entry'!J118),IF('Advanced Entry'!J$5="Exponential",EXP('Advanced Entry'!J118),'Advanced Entry'!J118)))-'Advanced Entry'!J$6)/('Advanced Entry'!J$7-'Advanced Entry'!J$6)),1))),"No data"))</f>
        <v/>
      </c>
      <c r="K118" s="17">
        <f>IF('Advanced Entry'!K118="","",IFERROR(MAX(0,MIN(10,ROUND(IF('Advanced Entry'!K$8="Decrease Risk",10-10*((IF('Advanced Entry'!K$5="Logarithm",LN(0.001+'Advanced Entry'!K118),IF('Advanced Entry'!K$5="Exponential",EXP('Advanced Entry'!K118),'Advanced Entry'!K118)))-'Advanced Entry'!K$6)/('Advanced Entry'!K$7-'Advanced Entry'!K$6),10*((IF('Advanced Entry'!K$5="Logarithm",LN(0.001+'Advanced Entry'!K118),IF('Advanced Entry'!K$5="Exponential",EXP('Advanced Entry'!K118),'Advanced Entry'!K118)))-'Advanced Entry'!K$6)/('Advanced Entry'!K$7-'Advanced Entry'!K$6)),1))),"No data"))</f>
        <v/>
      </c>
      <c r="L118" s="17">
        <f>IF('Advanced Entry'!L118="","",IFERROR(MAX(0,MIN(10,ROUND(IF('Advanced Entry'!L$8="Decrease Risk",10-10*((IF('Advanced Entry'!L$5="Logarithm",LN(0.001+'Advanced Entry'!L118),IF('Advanced Entry'!L$5="Exponential",EXP('Advanced Entry'!L118),'Advanced Entry'!L118)))-'Advanced Entry'!L$6)/('Advanced Entry'!L$7-'Advanced Entry'!L$6),10*((IF('Advanced Entry'!L$5="Logarithm",LN(0.001+'Advanced Entry'!L118),IF('Advanced Entry'!L$5="Exponential",EXP('Advanced Entry'!L118),'Advanced Entry'!L118)))-'Advanced Entry'!L$6)/('Advanced Entry'!L$7-'Advanced Entry'!L$6)),1))),"No data"))</f>
        <v/>
      </c>
      <c r="M118" s="17">
        <f>IF('Advanced Entry'!M118="","",IFERROR(MAX(0,MIN(10,ROUND(IF('Advanced Entry'!M$8="Decrease Risk",10-10*((IF('Advanced Entry'!M$5="Logarithm",LN(0.001+'Advanced Entry'!M118),IF('Advanced Entry'!M$5="Exponential",EXP('Advanced Entry'!M118),'Advanced Entry'!M118)))-'Advanced Entry'!M$6)/('Advanced Entry'!M$7-'Advanced Entry'!M$6),10*((IF('Advanced Entry'!M$5="Logarithm",LN(0.001+'Advanced Entry'!M118),IF('Advanced Entry'!M$5="Exponential",EXP('Advanced Entry'!M118),'Advanced Entry'!M118)))-'Advanced Entry'!M$6)/('Advanced Entry'!M$7-'Advanced Entry'!M$6)),1))),"No data"))</f>
        <v/>
      </c>
      <c r="N118" s="17">
        <f>IF('Advanced Entry'!N118="","",IFERROR(MAX(0,MIN(10,ROUND(IF('Advanced Entry'!N$8="Decrease Risk",10-10*((IF('Advanced Entry'!N$5="Logarithm",LN(0.001+'Advanced Entry'!N118),IF('Advanced Entry'!N$5="Exponential",EXP('Advanced Entry'!N118),'Advanced Entry'!N118)))-'Advanced Entry'!N$6)/('Advanced Entry'!N$7-'Advanced Entry'!N$6),10*((IF('Advanced Entry'!N$5="Logarithm",LN(0.001+'Advanced Entry'!N118),IF('Advanced Entry'!N$5="Exponential",EXP('Advanced Entry'!N118),'Advanced Entry'!N118)))-'Advanced Entry'!N$6)/('Advanced Entry'!N$7-'Advanced Entry'!N$6)),1))),"No data"))</f>
        <v/>
      </c>
      <c r="O118" s="17">
        <f>IF('Advanced Entry'!O118="","",IFERROR(MAX(0,MIN(10,ROUND(IF('Advanced Entry'!O$8="Decrease Risk",10-10*((IF('Advanced Entry'!O$5="Logarithm",LN(0.001+'Advanced Entry'!O118),IF('Advanced Entry'!O$5="Exponential",EXP('Advanced Entry'!O118),'Advanced Entry'!O118)))-'Advanced Entry'!O$6)/('Advanced Entry'!O$7-'Advanced Entry'!O$6),10*((IF('Advanced Entry'!O$5="Logarithm",LN(0.001+'Advanced Entry'!O118),IF('Advanced Entry'!O$5="Exponential",EXP('Advanced Entry'!O118),'Advanced Entry'!O118)))-'Advanced Entry'!O$6)/('Advanced Entry'!O$7-'Advanced Entry'!O$6)),1))),"No data"))</f>
        <v/>
      </c>
      <c r="P118" s="17">
        <f>IF('Advanced Entry'!P118="","",IFERROR(MAX(0,MIN(10,ROUND(IF('Advanced Entry'!P$8="Decrease Risk",10-10*((IF('Advanced Entry'!P$5="Logarithm",LN(0.001+'Advanced Entry'!P118),IF('Advanced Entry'!P$5="Exponential",EXP('Advanced Entry'!P118),'Advanced Entry'!P118)))-'Advanced Entry'!P$6)/('Advanced Entry'!P$7-'Advanced Entry'!P$6),10*((IF('Advanced Entry'!P$5="Logarithm",LN(0.001+'Advanced Entry'!P118),IF('Advanced Entry'!P$5="Exponential",EXP('Advanced Entry'!P118),'Advanced Entry'!P118)))-'Advanced Entry'!P$6)/('Advanced Entry'!P$7-'Advanced Entry'!P$6)),1))),"No data"))</f>
        <v/>
      </c>
      <c r="Q118" s="17">
        <f>IF('Advanced Entry'!Q118="","",IFERROR(MAX(0,MIN(10,ROUND(IF('Advanced Entry'!Q$8="Decrease Risk",10-10*((IF('Advanced Entry'!Q$5="Logarithm",LN(0.001+'Advanced Entry'!Q118),IF('Advanced Entry'!Q$5="Exponential",EXP('Advanced Entry'!Q118),'Advanced Entry'!Q118)))-'Advanced Entry'!Q$6)/('Advanced Entry'!Q$7-'Advanced Entry'!Q$6),10*((IF('Advanced Entry'!Q$5="Logarithm",LN(0.001+'Advanced Entry'!Q118),IF('Advanced Entry'!Q$5="Exponential",EXP('Advanced Entry'!Q118),'Advanced Entry'!Q118)))-'Advanced Entry'!Q$6)/('Advanced Entry'!Q$7-'Advanced Entry'!Q$6)),1))),"No data"))</f>
        <v/>
      </c>
      <c r="R118" s="17">
        <f>IF('Advanced Entry'!R118="","",IFERROR(MAX(0,MIN(10,ROUND(IF('Advanced Entry'!R$8="Decrease Risk",10-10*((IF('Advanced Entry'!R$5="Logarithm",LN(0.001+'Advanced Entry'!R118),IF('Advanced Entry'!R$5="Exponential",EXP('Advanced Entry'!R118),'Advanced Entry'!R118)))-'Advanced Entry'!R$6)/('Advanced Entry'!R$7-'Advanced Entry'!R$6),10*((IF('Advanced Entry'!R$5="Logarithm",LN(0.001+'Advanced Entry'!R118),IF('Advanced Entry'!R$5="Exponential",EXP('Advanced Entry'!R118),'Advanced Entry'!R118)))-'Advanced Entry'!R$6)/('Advanced Entry'!R$7-'Advanced Entry'!R$6)),1))),"No data"))</f>
        <v/>
      </c>
      <c r="S118" s="17">
        <f>IF('Advanced Entry'!S118="","",IFERROR(MAX(0,MIN(10,ROUND(IF('Advanced Entry'!S$8="Decrease Risk",10-10*((IF('Advanced Entry'!S$5="Logarithm",LN(0.001+'Advanced Entry'!S118),IF('Advanced Entry'!S$5="Exponential",EXP('Advanced Entry'!S118),'Advanced Entry'!S118)))-'Advanced Entry'!S$6)/('Advanced Entry'!S$7-'Advanced Entry'!S$6),10*((IF('Advanced Entry'!S$5="Logarithm",LN(0.001+'Advanced Entry'!S118),IF('Advanced Entry'!S$5="Exponential",EXP('Advanced Entry'!S118),'Advanced Entry'!S118)))-'Advanced Entry'!S$6)/('Advanced Entry'!S$7-'Advanced Entry'!S$6)),1))),"No data"))</f>
        <v/>
      </c>
      <c r="T118" s="17">
        <f>IF('Advanced Entry'!T118="","",IFERROR(MAX(0,MIN(10,ROUND(IF('Advanced Entry'!T$8="Decrease Risk",10-10*((IF('Advanced Entry'!T$5="Logarithm",LN(0.001+'Advanced Entry'!T118),IF('Advanced Entry'!T$5="Exponential",EXP('Advanced Entry'!T118),'Advanced Entry'!T118)))-'Advanced Entry'!T$6)/('Advanced Entry'!T$7-'Advanced Entry'!T$6),10*((IF('Advanced Entry'!T$5="Logarithm",LN(0.001+'Advanced Entry'!T118),IF('Advanced Entry'!T$5="Exponential",EXP('Advanced Entry'!T118),'Advanced Entry'!T118)))-'Advanced Entry'!T$6)/('Advanced Entry'!T$7-'Advanced Entry'!T$6)),1))),"No data"))</f>
        <v/>
      </c>
      <c r="U118" s="17">
        <f>IF('Advanced Entry'!U118="","",IFERROR(MAX(0,MIN(10,ROUND(IF('Advanced Entry'!U$8="Decrease Risk",10-10*((IF('Advanced Entry'!U$5="Logarithm",LN(0.001+'Advanced Entry'!U118),IF('Advanced Entry'!U$5="Exponential",EXP('Advanced Entry'!U118),'Advanced Entry'!U118)))-'Advanced Entry'!U$6)/('Advanced Entry'!U$7-'Advanced Entry'!U$6),10*((IF('Advanced Entry'!U$5="Logarithm",LN(0.001+'Advanced Entry'!U118),IF('Advanced Entry'!U$5="Exponential",EXP('Advanced Entry'!U118),'Advanced Entry'!U118)))-'Advanced Entry'!U$6)/('Advanced Entry'!U$7-'Advanced Entry'!U$6)),1))),"No data"))</f>
        <v/>
      </c>
      <c r="V118" s="17">
        <f>IF('Advanced Entry'!V118="","",IFERROR(MAX(0,MIN(10,ROUND(IF('Advanced Entry'!V$8="Decrease Risk",10-10*((IF('Advanced Entry'!V$5="Logarithm",LN(0.001+'Advanced Entry'!V118),IF('Advanced Entry'!V$5="Exponential",EXP('Advanced Entry'!V118),'Advanced Entry'!V118)))-'Advanced Entry'!V$6)/('Advanced Entry'!V$7-'Advanced Entry'!V$6),10*((IF('Advanced Entry'!V$5="Logarithm",LN(0.001+'Advanced Entry'!V118),IF('Advanced Entry'!V$5="Exponential",EXP('Advanced Entry'!V118),'Advanced Entry'!V118)))-'Advanced Entry'!V$6)/('Advanced Entry'!V$7-'Advanced Entry'!V$6)),1))),"No data"))</f>
        <v/>
      </c>
      <c r="W118" s="17">
        <f>IF('Advanced Entry'!W118="","",IFERROR(MAX(0,MIN(10,ROUND(IF('Advanced Entry'!W$8="Decrease Risk",10-10*((IF('Advanced Entry'!W$5="Logarithm",LN(0.001+'Advanced Entry'!W118),IF('Advanced Entry'!W$5="Exponential",EXP('Advanced Entry'!W118),'Advanced Entry'!W118)))-'Advanced Entry'!W$6)/('Advanced Entry'!W$7-'Advanced Entry'!W$6),10*((IF('Advanced Entry'!W$5="Logarithm",LN(0.001+'Advanced Entry'!W118),IF('Advanced Entry'!W$5="Exponential",EXP('Advanced Entry'!W118),'Advanced Entry'!W118)))-'Advanced Entry'!W$6)/('Advanced Entry'!W$7-'Advanced Entry'!W$6)),1))),"No data"))</f>
        <v/>
      </c>
      <c r="X118" s="17">
        <f>IF('Advanced Entry'!X118="","",IFERROR(MAX(0,MIN(10,ROUND(IF('Advanced Entry'!X$8="Decrease Risk",10-10*((IF('Advanced Entry'!X$5="Logarithm",LN(0.001+'Advanced Entry'!X118),IF('Advanced Entry'!X$5="Exponential",EXP('Advanced Entry'!X118),'Advanced Entry'!X118)))-'Advanced Entry'!X$6)/('Advanced Entry'!X$7-'Advanced Entry'!X$6),10*((IF('Advanced Entry'!X$5="Logarithm",LN(0.001+'Advanced Entry'!X118),IF('Advanced Entry'!X$5="Exponential",EXP('Advanced Entry'!X118),'Advanced Entry'!X118)))-'Advanced Entry'!X$6)/('Advanced Entry'!X$7-'Advanced Entry'!X$6)),1))),"No data"))</f>
        <v/>
      </c>
      <c r="Y118" s="17">
        <f>IF('Advanced Entry'!Y118="","",IFERROR(MAX(0,MIN(10,ROUND(IF('Advanced Entry'!Y$8="Decrease Risk",10-10*((IF('Advanced Entry'!Y$5="Logarithm",LN(0.001+'Advanced Entry'!Y118),IF('Advanced Entry'!Y$5="Exponential",EXP('Advanced Entry'!Y118),'Advanced Entry'!Y118)))-'Advanced Entry'!Y$6)/('Advanced Entry'!Y$7-'Advanced Entry'!Y$6),10*((IF('Advanced Entry'!Y$5="Logarithm",LN(0.001+'Advanced Entry'!Y118),IF('Advanced Entry'!Y$5="Exponential",EXP('Advanced Entry'!Y118),'Advanced Entry'!Y118)))-'Advanced Entry'!Y$6)/('Advanced Entry'!Y$7-'Advanced Entry'!Y$6)),1))),"No data"))</f>
        <v/>
      </c>
      <c r="Z118" s="17">
        <f>IF('Advanced Entry'!Z118="","",IFERROR(MAX(0,MIN(10,ROUND(IF('Advanced Entry'!Z$8="Decrease Risk",10-10*((IF('Advanced Entry'!Z$5="Logarithm",LN(0.001+'Advanced Entry'!Z118),IF('Advanced Entry'!Z$5="Exponential",EXP('Advanced Entry'!Z118),'Advanced Entry'!Z118)))-'Advanced Entry'!Z$6)/('Advanced Entry'!Z$7-'Advanced Entry'!Z$6),10*((IF('Advanced Entry'!Z$5="Logarithm",LN(0.001+'Advanced Entry'!Z118),IF('Advanced Entry'!Z$5="Exponential",EXP('Advanced Entry'!Z118),'Advanced Entry'!Z118)))-'Advanced Entry'!Z$6)/('Advanced Entry'!Z$7-'Advanced Entry'!Z$6)),1))),"No data"))</f>
        <v/>
      </c>
      <c r="AA118" s="17">
        <f>IF('Advanced Entry'!AA118="","",IFERROR(MAX(0,MIN(10,ROUND(IF('Advanced Entry'!AA$8="Decrease Risk",10-10*((IF('Advanced Entry'!AA$5="Logarithm",LN(0.001+'Advanced Entry'!AA118),IF('Advanced Entry'!AA$5="Exponential",EXP('Advanced Entry'!AA118),'Advanced Entry'!AA118)))-'Advanced Entry'!AA$6)/('Advanced Entry'!AA$7-'Advanced Entry'!AA$6),10*((IF('Advanced Entry'!AA$5="Logarithm",LN(0.001+'Advanced Entry'!AA118),IF('Advanced Entry'!AA$5="Exponential",EXP('Advanced Entry'!AA118),'Advanced Entry'!AA118)))-'Advanced Entry'!AA$6)/('Advanced Entry'!AA$7-'Advanced Entry'!AA$6)),1))),"No data"))</f>
        <v/>
      </c>
      <c r="AB118" s="17">
        <f>IF('Advanced Entry'!AB118="","",IFERROR(MAX(0,MIN(10,ROUND(IF('Advanced Entry'!AB$8="Decrease Risk",10-10*((IF('Advanced Entry'!AB$5="Logarithm",LN(0.001+'Advanced Entry'!AB118),IF('Advanced Entry'!AB$5="Exponential",EXP('Advanced Entry'!AB118),'Advanced Entry'!AB118)))-'Advanced Entry'!AB$6)/('Advanced Entry'!AB$7-'Advanced Entry'!AB$6),10*((IF('Advanced Entry'!AB$5="Logarithm",LN(0.001+'Advanced Entry'!AB118),IF('Advanced Entry'!AB$5="Exponential",EXP('Advanced Entry'!AB118),'Advanced Entry'!AB118)))-'Advanced Entry'!AB$6)/('Advanced Entry'!AB$7-'Advanced Entry'!AB$6)),1))),"No data"))</f>
        <v/>
      </c>
    </row>
    <row r="119">
      <c r="A119" t="inlineStr">
        <is>
          <t>Mtwara</t>
        </is>
      </c>
      <c r="B119" t="inlineStr">
        <is>
          <t>Masasi District</t>
        </is>
      </c>
      <c r="C119" t="inlineStr">
        <is>
          <t>C068</t>
        </is>
      </c>
      <c r="D119" s="17">
        <f>IF('Advanced Entry'!D119="","",IFERROR(MAX(0,MIN(10,ROUND(IF('Advanced Entry'!D$8="Decrease Risk",10-10*((IF('Advanced Entry'!D$5="Logarithm",LN(0.001+'Advanced Entry'!D119),IF('Advanced Entry'!D$5="Exponential",EXP('Advanced Entry'!D119),'Advanced Entry'!D119)))-'Advanced Entry'!D$6)/('Advanced Entry'!D$7-'Advanced Entry'!D$6),10*((IF('Advanced Entry'!D$5="Logarithm",LN(0.001+'Advanced Entry'!D119),IF('Advanced Entry'!D$5="Exponential",EXP('Advanced Entry'!D119),'Advanced Entry'!D119)))-'Advanced Entry'!D$6)/('Advanced Entry'!D$7-'Advanced Entry'!D$6)),1))),"No data"))</f>
        <v/>
      </c>
      <c r="E119" s="17">
        <f>IF('Advanced Entry'!E119="","",IFERROR(MAX(0,MIN(10,ROUND(IF('Advanced Entry'!E$8="Decrease Risk",10-10*((IF('Advanced Entry'!E$5="Logarithm",LN(0.001+'Advanced Entry'!E119),IF('Advanced Entry'!E$5="Exponential",EXP('Advanced Entry'!E119),'Advanced Entry'!E119)))-'Advanced Entry'!E$6)/('Advanced Entry'!E$7-'Advanced Entry'!E$6),10*((IF('Advanced Entry'!E$5="Logarithm",LN(0.001+'Advanced Entry'!E119),IF('Advanced Entry'!E$5="Exponential",EXP('Advanced Entry'!E119),'Advanced Entry'!E119)))-'Advanced Entry'!E$6)/('Advanced Entry'!E$7-'Advanced Entry'!E$6)),1))),"No data"))</f>
        <v/>
      </c>
      <c r="F119" s="17">
        <f>IF('Advanced Entry'!F119="","",IFERROR(MAX(0,MIN(10,ROUND(IF('Advanced Entry'!F$8="Decrease Risk",10-10*((IF('Advanced Entry'!F$5="Logarithm",LN(0.001+'Advanced Entry'!F119),IF('Advanced Entry'!F$5="Exponential",EXP('Advanced Entry'!F119),'Advanced Entry'!F119)))-'Advanced Entry'!F$6)/('Advanced Entry'!F$7-'Advanced Entry'!F$6),10*((IF('Advanced Entry'!F$5="Logarithm",LN(0.001+'Advanced Entry'!F119),IF('Advanced Entry'!F$5="Exponential",EXP('Advanced Entry'!F119),'Advanced Entry'!F119)))-'Advanced Entry'!F$6)/('Advanced Entry'!F$7-'Advanced Entry'!F$6)),1))),"No data"))</f>
        <v/>
      </c>
      <c r="G119" s="17">
        <f>IF('Advanced Entry'!G119="","",IFERROR(MAX(0,MIN(10,ROUND(IF('Advanced Entry'!G$8="Decrease Risk",10-10*((IF('Advanced Entry'!G$5="Logarithm",LN(0.001+'Advanced Entry'!G119),IF('Advanced Entry'!G$5="Exponential",EXP('Advanced Entry'!G119),'Advanced Entry'!G119)))-'Advanced Entry'!G$6)/('Advanced Entry'!G$7-'Advanced Entry'!G$6),10*((IF('Advanced Entry'!G$5="Logarithm",LN(0.001+'Advanced Entry'!G119),IF('Advanced Entry'!G$5="Exponential",EXP('Advanced Entry'!G119),'Advanced Entry'!G119)))-'Advanced Entry'!G$6)/('Advanced Entry'!G$7-'Advanced Entry'!G$6)),1))),"No data"))</f>
        <v/>
      </c>
      <c r="H119" s="17">
        <f>IF('Advanced Entry'!H119="","",IFERROR(MAX(0,MIN(10,ROUND(IF('Advanced Entry'!H$8="Decrease Risk",10-10*((IF('Advanced Entry'!H$5="Logarithm",LN(0.001+'Advanced Entry'!H119),IF('Advanced Entry'!H$5="Exponential",EXP('Advanced Entry'!H119),'Advanced Entry'!H119)))-'Advanced Entry'!H$6)/('Advanced Entry'!H$7-'Advanced Entry'!H$6),10*((IF('Advanced Entry'!H$5="Logarithm",LN(0.001+'Advanced Entry'!H119),IF('Advanced Entry'!H$5="Exponential",EXP('Advanced Entry'!H119),'Advanced Entry'!H119)))-'Advanced Entry'!H$6)/('Advanced Entry'!H$7-'Advanced Entry'!H$6)),1))),"No data"))</f>
        <v/>
      </c>
      <c r="I119" s="17">
        <f>IF('Advanced Entry'!I119="","",IFERROR(MAX(0,MIN(10,ROUND(IF('Advanced Entry'!I$8="Decrease Risk",10-10*((IF('Advanced Entry'!I$5="Logarithm",LN(0.001+'Advanced Entry'!I119),IF('Advanced Entry'!I$5="Exponential",EXP('Advanced Entry'!I119),'Advanced Entry'!I119)))-'Advanced Entry'!I$6)/('Advanced Entry'!I$7-'Advanced Entry'!I$6),10*((IF('Advanced Entry'!I$5="Logarithm",LN(0.001+'Advanced Entry'!I119),IF('Advanced Entry'!I$5="Exponential",EXP('Advanced Entry'!I119),'Advanced Entry'!I119)))-'Advanced Entry'!I$6)/('Advanced Entry'!I$7-'Advanced Entry'!I$6)),1))),"No data"))</f>
        <v/>
      </c>
      <c r="J119" s="17">
        <f>IF('Advanced Entry'!J119="","",IFERROR(MAX(0,MIN(10,ROUND(IF('Advanced Entry'!J$8="Decrease Risk",10-10*((IF('Advanced Entry'!J$5="Logarithm",LN(0.001+'Advanced Entry'!J119),IF('Advanced Entry'!J$5="Exponential",EXP('Advanced Entry'!J119),'Advanced Entry'!J119)))-'Advanced Entry'!J$6)/('Advanced Entry'!J$7-'Advanced Entry'!J$6),10*((IF('Advanced Entry'!J$5="Logarithm",LN(0.001+'Advanced Entry'!J119),IF('Advanced Entry'!J$5="Exponential",EXP('Advanced Entry'!J119),'Advanced Entry'!J119)))-'Advanced Entry'!J$6)/('Advanced Entry'!J$7-'Advanced Entry'!J$6)),1))),"No data"))</f>
        <v/>
      </c>
      <c r="K119" s="17">
        <f>IF('Advanced Entry'!K119="","",IFERROR(MAX(0,MIN(10,ROUND(IF('Advanced Entry'!K$8="Decrease Risk",10-10*((IF('Advanced Entry'!K$5="Logarithm",LN(0.001+'Advanced Entry'!K119),IF('Advanced Entry'!K$5="Exponential",EXP('Advanced Entry'!K119),'Advanced Entry'!K119)))-'Advanced Entry'!K$6)/('Advanced Entry'!K$7-'Advanced Entry'!K$6),10*((IF('Advanced Entry'!K$5="Logarithm",LN(0.001+'Advanced Entry'!K119),IF('Advanced Entry'!K$5="Exponential",EXP('Advanced Entry'!K119),'Advanced Entry'!K119)))-'Advanced Entry'!K$6)/('Advanced Entry'!K$7-'Advanced Entry'!K$6)),1))),"No data"))</f>
        <v/>
      </c>
      <c r="L119" s="17">
        <f>IF('Advanced Entry'!L119="","",IFERROR(MAX(0,MIN(10,ROUND(IF('Advanced Entry'!L$8="Decrease Risk",10-10*((IF('Advanced Entry'!L$5="Logarithm",LN(0.001+'Advanced Entry'!L119),IF('Advanced Entry'!L$5="Exponential",EXP('Advanced Entry'!L119),'Advanced Entry'!L119)))-'Advanced Entry'!L$6)/('Advanced Entry'!L$7-'Advanced Entry'!L$6),10*((IF('Advanced Entry'!L$5="Logarithm",LN(0.001+'Advanced Entry'!L119),IF('Advanced Entry'!L$5="Exponential",EXP('Advanced Entry'!L119),'Advanced Entry'!L119)))-'Advanced Entry'!L$6)/('Advanced Entry'!L$7-'Advanced Entry'!L$6)),1))),"No data"))</f>
        <v/>
      </c>
      <c r="M119" s="17">
        <f>IF('Advanced Entry'!M119="","",IFERROR(MAX(0,MIN(10,ROUND(IF('Advanced Entry'!M$8="Decrease Risk",10-10*((IF('Advanced Entry'!M$5="Logarithm",LN(0.001+'Advanced Entry'!M119),IF('Advanced Entry'!M$5="Exponential",EXP('Advanced Entry'!M119),'Advanced Entry'!M119)))-'Advanced Entry'!M$6)/('Advanced Entry'!M$7-'Advanced Entry'!M$6),10*((IF('Advanced Entry'!M$5="Logarithm",LN(0.001+'Advanced Entry'!M119),IF('Advanced Entry'!M$5="Exponential",EXP('Advanced Entry'!M119),'Advanced Entry'!M119)))-'Advanced Entry'!M$6)/('Advanced Entry'!M$7-'Advanced Entry'!M$6)),1))),"No data"))</f>
        <v/>
      </c>
      <c r="N119" s="17">
        <f>IF('Advanced Entry'!N119="","",IFERROR(MAX(0,MIN(10,ROUND(IF('Advanced Entry'!N$8="Decrease Risk",10-10*((IF('Advanced Entry'!N$5="Logarithm",LN(0.001+'Advanced Entry'!N119),IF('Advanced Entry'!N$5="Exponential",EXP('Advanced Entry'!N119),'Advanced Entry'!N119)))-'Advanced Entry'!N$6)/('Advanced Entry'!N$7-'Advanced Entry'!N$6),10*((IF('Advanced Entry'!N$5="Logarithm",LN(0.001+'Advanced Entry'!N119),IF('Advanced Entry'!N$5="Exponential",EXP('Advanced Entry'!N119),'Advanced Entry'!N119)))-'Advanced Entry'!N$6)/('Advanced Entry'!N$7-'Advanced Entry'!N$6)),1))),"No data"))</f>
        <v/>
      </c>
      <c r="O119" s="17">
        <f>IF('Advanced Entry'!O119="","",IFERROR(MAX(0,MIN(10,ROUND(IF('Advanced Entry'!O$8="Decrease Risk",10-10*((IF('Advanced Entry'!O$5="Logarithm",LN(0.001+'Advanced Entry'!O119),IF('Advanced Entry'!O$5="Exponential",EXP('Advanced Entry'!O119),'Advanced Entry'!O119)))-'Advanced Entry'!O$6)/('Advanced Entry'!O$7-'Advanced Entry'!O$6),10*((IF('Advanced Entry'!O$5="Logarithm",LN(0.001+'Advanced Entry'!O119),IF('Advanced Entry'!O$5="Exponential",EXP('Advanced Entry'!O119),'Advanced Entry'!O119)))-'Advanced Entry'!O$6)/('Advanced Entry'!O$7-'Advanced Entry'!O$6)),1))),"No data"))</f>
        <v/>
      </c>
      <c r="P119" s="17">
        <f>IF('Advanced Entry'!P119="","",IFERROR(MAX(0,MIN(10,ROUND(IF('Advanced Entry'!P$8="Decrease Risk",10-10*((IF('Advanced Entry'!P$5="Logarithm",LN(0.001+'Advanced Entry'!P119),IF('Advanced Entry'!P$5="Exponential",EXP('Advanced Entry'!P119),'Advanced Entry'!P119)))-'Advanced Entry'!P$6)/('Advanced Entry'!P$7-'Advanced Entry'!P$6),10*((IF('Advanced Entry'!P$5="Logarithm",LN(0.001+'Advanced Entry'!P119),IF('Advanced Entry'!P$5="Exponential",EXP('Advanced Entry'!P119),'Advanced Entry'!P119)))-'Advanced Entry'!P$6)/('Advanced Entry'!P$7-'Advanced Entry'!P$6)),1))),"No data"))</f>
        <v/>
      </c>
      <c r="Q119" s="17">
        <f>IF('Advanced Entry'!Q119="","",IFERROR(MAX(0,MIN(10,ROUND(IF('Advanced Entry'!Q$8="Decrease Risk",10-10*((IF('Advanced Entry'!Q$5="Logarithm",LN(0.001+'Advanced Entry'!Q119),IF('Advanced Entry'!Q$5="Exponential",EXP('Advanced Entry'!Q119),'Advanced Entry'!Q119)))-'Advanced Entry'!Q$6)/('Advanced Entry'!Q$7-'Advanced Entry'!Q$6),10*((IF('Advanced Entry'!Q$5="Logarithm",LN(0.001+'Advanced Entry'!Q119),IF('Advanced Entry'!Q$5="Exponential",EXP('Advanced Entry'!Q119),'Advanced Entry'!Q119)))-'Advanced Entry'!Q$6)/('Advanced Entry'!Q$7-'Advanced Entry'!Q$6)),1))),"No data"))</f>
        <v/>
      </c>
      <c r="R119" s="17">
        <f>IF('Advanced Entry'!R119="","",IFERROR(MAX(0,MIN(10,ROUND(IF('Advanced Entry'!R$8="Decrease Risk",10-10*((IF('Advanced Entry'!R$5="Logarithm",LN(0.001+'Advanced Entry'!R119),IF('Advanced Entry'!R$5="Exponential",EXP('Advanced Entry'!R119),'Advanced Entry'!R119)))-'Advanced Entry'!R$6)/('Advanced Entry'!R$7-'Advanced Entry'!R$6),10*((IF('Advanced Entry'!R$5="Logarithm",LN(0.001+'Advanced Entry'!R119),IF('Advanced Entry'!R$5="Exponential",EXP('Advanced Entry'!R119),'Advanced Entry'!R119)))-'Advanced Entry'!R$6)/('Advanced Entry'!R$7-'Advanced Entry'!R$6)),1))),"No data"))</f>
        <v/>
      </c>
      <c r="S119" s="17">
        <f>IF('Advanced Entry'!S119="","",IFERROR(MAX(0,MIN(10,ROUND(IF('Advanced Entry'!S$8="Decrease Risk",10-10*((IF('Advanced Entry'!S$5="Logarithm",LN(0.001+'Advanced Entry'!S119),IF('Advanced Entry'!S$5="Exponential",EXP('Advanced Entry'!S119),'Advanced Entry'!S119)))-'Advanced Entry'!S$6)/('Advanced Entry'!S$7-'Advanced Entry'!S$6),10*((IF('Advanced Entry'!S$5="Logarithm",LN(0.001+'Advanced Entry'!S119),IF('Advanced Entry'!S$5="Exponential",EXP('Advanced Entry'!S119),'Advanced Entry'!S119)))-'Advanced Entry'!S$6)/('Advanced Entry'!S$7-'Advanced Entry'!S$6)),1))),"No data"))</f>
        <v/>
      </c>
      <c r="T119" s="17">
        <f>IF('Advanced Entry'!T119="","",IFERROR(MAX(0,MIN(10,ROUND(IF('Advanced Entry'!T$8="Decrease Risk",10-10*((IF('Advanced Entry'!T$5="Logarithm",LN(0.001+'Advanced Entry'!T119),IF('Advanced Entry'!T$5="Exponential",EXP('Advanced Entry'!T119),'Advanced Entry'!T119)))-'Advanced Entry'!T$6)/('Advanced Entry'!T$7-'Advanced Entry'!T$6),10*((IF('Advanced Entry'!T$5="Logarithm",LN(0.001+'Advanced Entry'!T119),IF('Advanced Entry'!T$5="Exponential",EXP('Advanced Entry'!T119),'Advanced Entry'!T119)))-'Advanced Entry'!T$6)/('Advanced Entry'!T$7-'Advanced Entry'!T$6)),1))),"No data"))</f>
        <v/>
      </c>
      <c r="U119" s="17">
        <f>IF('Advanced Entry'!U119="","",IFERROR(MAX(0,MIN(10,ROUND(IF('Advanced Entry'!U$8="Decrease Risk",10-10*((IF('Advanced Entry'!U$5="Logarithm",LN(0.001+'Advanced Entry'!U119),IF('Advanced Entry'!U$5="Exponential",EXP('Advanced Entry'!U119),'Advanced Entry'!U119)))-'Advanced Entry'!U$6)/('Advanced Entry'!U$7-'Advanced Entry'!U$6),10*((IF('Advanced Entry'!U$5="Logarithm",LN(0.001+'Advanced Entry'!U119),IF('Advanced Entry'!U$5="Exponential",EXP('Advanced Entry'!U119),'Advanced Entry'!U119)))-'Advanced Entry'!U$6)/('Advanced Entry'!U$7-'Advanced Entry'!U$6)),1))),"No data"))</f>
        <v/>
      </c>
      <c r="V119" s="17">
        <f>IF('Advanced Entry'!V119="","",IFERROR(MAX(0,MIN(10,ROUND(IF('Advanced Entry'!V$8="Decrease Risk",10-10*((IF('Advanced Entry'!V$5="Logarithm",LN(0.001+'Advanced Entry'!V119),IF('Advanced Entry'!V$5="Exponential",EXP('Advanced Entry'!V119),'Advanced Entry'!V119)))-'Advanced Entry'!V$6)/('Advanced Entry'!V$7-'Advanced Entry'!V$6),10*((IF('Advanced Entry'!V$5="Logarithm",LN(0.001+'Advanced Entry'!V119),IF('Advanced Entry'!V$5="Exponential",EXP('Advanced Entry'!V119),'Advanced Entry'!V119)))-'Advanced Entry'!V$6)/('Advanced Entry'!V$7-'Advanced Entry'!V$6)),1))),"No data"))</f>
        <v/>
      </c>
      <c r="W119" s="17">
        <f>IF('Advanced Entry'!W119="","",IFERROR(MAX(0,MIN(10,ROUND(IF('Advanced Entry'!W$8="Decrease Risk",10-10*((IF('Advanced Entry'!W$5="Logarithm",LN(0.001+'Advanced Entry'!W119),IF('Advanced Entry'!W$5="Exponential",EXP('Advanced Entry'!W119),'Advanced Entry'!W119)))-'Advanced Entry'!W$6)/('Advanced Entry'!W$7-'Advanced Entry'!W$6),10*((IF('Advanced Entry'!W$5="Logarithm",LN(0.001+'Advanced Entry'!W119),IF('Advanced Entry'!W$5="Exponential",EXP('Advanced Entry'!W119),'Advanced Entry'!W119)))-'Advanced Entry'!W$6)/('Advanced Entry'!W$7-'Advanced Entry'!W$6)),1))),"No data"))</f>
        <v/>
      </c>
      <c r="X119" s="17">
        <f>IF('Advanced Entry'!X119="","",IFERROR(MAX(0,MIN(10,ROUND(IF('Advanced Entry'!X$8="Decrease Risk",10-10*((IF('Advanced Entry'!X$5="Logarithm",LN(0.001+'Advanced Entry'!X119),IF('Advanced Entry'!X$5="Exponential",EXP('Advanced Entry'!X119),'Advanced Entry'!X119)))-'Advanced Entry'!X$6)/('Advanced Entry'!X$7-'Advanced Entry'!X$6),10*((IF('Advanced Entry'!X$5="Logarithm",LN(0.001+'Advanced Entry'!X119),IF('Advanced Entry'!X$5="Exponential",EXP('Advanced Entry'!X119),'Advanced Entry'!X119)))-'Advanced Entry'!X$6)/('Advanced Entry'!X$7-'Advanced Entry'!X$6)),1))),"No data"))</f>
        <v/>
      </c>
      <c r="Y119" s="17">
        <f>IF('Advanced Entry'!Y119="","",IFERROR(MAX(0,MIN(10,ROUND(IF('Advanced Entry'!Y$8="Decrease Risk",10-10*((IF('Advanced Entry'!Y$5="Logarithm",LN(0.001+'Advanced Entry'!Y119),IF('Advanced Entry'!Y$5="Exponential",EXP('Advanced Entry'!Y119),'Advanced Entry'!Y119)))-'Advanced Entry'!Y$6)/('Advanced Entry'!Y$7-'Advanced Entry'!Y$6),10*((IF('Advanced Entry'!Y$5="Logarithm",LN(0.001+'Advanced Entry'!Y119),IF('Advanced Entry'!Y$5="Exponential",EXP('Advanced Entry'!Y119),'Advanced Entry'!Y119)))-'Advanced Entry'!Y$6)/('Advanced Entry'!Y$7-'Advanced Entry'!Y$6)),1))),"No data"))</f>
        <v/>
      </c>
      <c r="Z119" s="17">
        <f>IF('Advanced Entry'!Z119="","",IFERROR(MAX(0,MIN(10,ROUND(IF('Advanced Entry'!Z$8="Decrease Risk",10-10*((IF('Advanced Entry'!Z$5="Logarithm",LN(0.001+'Advanced Entry'!Z119),IF('Advanced Entry'!Z$5="Exponential",EXP('Advanced Entry'!Z119),'Advanced Entry'!Z119)))-'Advanced Entry'!Z$6)/('Advanced Entry'!Z$7-'Advanced Entry'!Z$6),10*((IF('Advanced Entry'!Z$5="Logarithm",LN(0.001+'Advanced Entry'!Z119),IF('Advanced Entry'!Z$5="Exponential",EXP('Advanced Entry'!Z119),'Advanced Entry'!Z119)))-'Advanced Entry'!Z$6)/('Advanced Entry'!Z$7-'Advanced Entry'!Z$6)),1))),"No data"))</f>
        <v/>
      </c>
      <c r="AA119" s="17">
        <f>IF('Advanced Entry'!AA119="","",IFERROR(MAX(0,MIN(10,ROUND(IF('Advanced Entry'!AA$8="Decrease Risk",10-10*((IF('Advanced Entry'!AA$5="Logarithm",LN(0.001+'Advanced Entry'!AA119),IF('Advanced Entry'!AA$5="Exponential",EXP('Advanced Entry'!AA119),'Advanced Entry'!AA119)))-'Advanced Entry'!AA$6)/('Advanced Entry'!AA$7-'Advanced Entry'!AA$6),10*((IF('Advanced Entry'!AA$5="Logarithm",LN(0.001+'Advanced Entry'!AA119),IF('Advanced Entry'!AA$5="Exponential",EXP('Advanced Entry'!AA119),'Advanced Entry'!AA119)))-'Advanced Entry'!AA$6)/('Advanced Entry'!AA$7-'Advanced Entry'!AA$6)),1))),"No data"))</f>
        <v/>
      </c>
      <c r="AB119" s="17">
        <f>IF('Advanced Entry'!AB119="","",IFERROR(MAX(0,MIN(10,ROUND(IF('Advanced Entry'!AB$8="Decrease Risk",10-10*((IF('Advanced Entry'!AB$5="Logarithm",LN(0.001+'Advanced Entry'!AB119),IF('Advanced Entry'!AB$5="Exponential",EXP('Advanced Entry'!AB119),'Advanced Entry'!AB119)))-'Advanced Entry'!AB$6)/('Advanced Entry'!AB$7-'Advanced Entry'!AB$6),10*((IF('Advanced Entry'!AB$5="Logarithm",LN(0.001+'Advanced Entry'!AB119),IF('Advanced Entry'!AB$5="Exponential",EXP('Advanced Entry'!AB119),'Advanced Entry'!AB119)))-'Advanced Entry'!AB$6)/('Advanced Entry'!AB$7-'Advanced Entry'!AB$6)),1))),"No data"))</f>
        <v/>
      </c>
    </row>
    <row r="120">
      <c r="A120" t="inlineStr">
        <is>
          <t>Mtwara</t>
        </is>
      </c>
      <c r="B120" t="inlineStr">
        <is>
          <t>Masasi Town</t>
        </is>
      </c>
      <c r="C120" t="inlineStr">
        <is>
          <t>C069</t>
        </is>
      </c>
      <c r="D120" s="17">
        <f>IF('Advanced Entry'!D120="","",IFERROR(MAX(0,MIN(10,ROUND(IF('Advanced Entry'!D$8="Decrease Risk",10-10*((IF('Advanced Entry'!D$5="Logarithm",LN(0.001+'Advanced Entry'!D120),IF('Advanced Entry'!D$5="Exponential",EXP('Advanced Entry'!D120),'Advanced Entry'!D120)))-'Advanced Entry'!D$6)/('Advanced Entry'!D$7-'Advanced Entry'!D$6),10*((IF('Advanced Entry'!D$5="Logarithm",LN(0.001+'Advanced Entry'!D120),IF('Advanced Entry'!D$5="Exponential",EXP('Advanced Entry'!D120),'Advanced Entry'!D120)))-'Advanced Entry'!D$6)/('Advanced Entry'!D$7-'Advanced Entry'!D$6)),1))),"No data"))</f>
        <v/>
      </c>
      <c r="E120" s="17">
        <f>IF('Advanced Entry'!E120="","",IFERROR(MAX(0,MIN(10,ROUND(IF('Advanced Entry'!E$8="Decrease Risk",10-10*((IF('Advanced Entry'!E$5="Logarithm",LN(0.001+'Advanced Entry'!E120),IF('Advanced Entry'!E$5="Exponential",EXP('Advanced Entry'!E120),'Advanced Entry'!E120)))-'Advanced Entry'!E$6)/('Advanced Entry'!E$7-'Advanced Entry'!E$6),10*((IF('Advanced Entry'!E$5="Logarithm",LN(0.001+'Advanced Entry'!E120),IF('Advanced Entry'!E$5="Exponential",EXP('Advanced Entry'!E120),'Advanced Entry'!E120)))-'Advanced Entry'!E$6)/('Advanced Entry'!E$7-'Advanced Entry'!E$6)),1))),"No data"))</f>
        <v/>
      </c>
      <c r="F120" s="17">
        <f>IF('Advanced Entry'!F120="","",IFERROR(MAX(0,MIN(10,ROUND(IF('Advanced Entry'!F$8="Decrease Risk",10-10*((IF('Advanced Entry'!F$5="Logarithm",LN(0.001+'Advanced Entry'!F120),IF('Advanced Entry'!F$5="Exponential",EXP('Advanced Entry'!F120),'Advanced Entry'!F120)))-'Advanced Entry'!F$6)/('Advanced Entry'!F$7-'Advanced Entry'!F$6),10*((IF('Advanced Entry'!F$5="Logarithm",LN(0.001+'Advanced Entry'!F120),IF('Advanced Entry'!F$5="Exponential",EXP('Advanced Entry'!F120),'Advanced Entry'!F120)))-'Advanced Entry'!F$6)/('Advanced Entry'!F$7-'Advanced Entry'!F$6)),1))),"No data"))</f>
        <v/>
      </c>
      <c r="G120" s="17">
        <f>IF('Advanced Entry'!G120="","",IFERROR(MAX(0,MIN(10,ROUND(IF('Advanced Entry'!G$8="Decrease Risk",10-10*((IF('Advanced Entry'!G$5="Logarithm",LN(0.001+'Advanced Entry'!G120),IF('Advanced Entry'!G$5="Exponential",EXP('Advanced Entry'!G120),'Advanced Entry'!G120)))-'Advanced Entry'!G$6)/('Advanced Entry'!G$7-'Advanced Entry'!G$6),10*((IF('Advanced Entry'!G$5="Logarithm",LN(0.001+'Advanced Entry'!G120),IF('Advanced Entry'!G$5="Exponential",EXP('Advanced Entry'!G120),'Advanced Entry'!G120)))-'Advanced Entry'!G$6)/('Advanced Entry'!G$7-'Advanced Entry'!G$6)),1))),"No data"))</f>
        <v/>
      </c>
      <c r="H120" s="17">
        <f>IF('Advanced Entry'!H120="","",IFERROR(MAX(0,MIN(10,ROUND(IF('Advanced Entry'!H$8="Decrease Risk",10-10*((IF('Advanced Entry'!H$5="Logarithm",LN(0.001+'Advanced Entry'!H120),IF('Advanced Entry'!H$5="Exponential",EXP('Advanced Entry'!H120),'Advanced Entry'!H120)))-'Advanced Entry'!H$6)/('Advanced Entry'!H$7-'Advanced Entry'!H$6),10*((IF('Advanced Entry'!H$5="Logarithm",LN(0.001+'Advanced Entry'!H120),IF('Advanced Entry'!H$5="Exponential",EXP('Advanced Entry'!H120),'Advanced Entry'!H120)))-'Advanced Entry'!H$6)/('Advanced Entry'!H$7-'Advanced Entry'!H$6)),1))),"No data"))</f>
        <v/>
      </c>
      <c r="I120" s="17">
        <f>IF('Advanced Entry'!I120="","",IFERROR(MAX(0,MIN(10,ROUND(IF('Advanced Entry'!I$8="Decrease Risk",10-10*((IF('Advanced Entry'!I$5="Logarithm",LN(0.001+'Advanced Entry'!I120),IF('Advanced Entry'!I$5="Exponential",EXP('Advanced Entry'!I120),'Advanced Entry'!I120)))-'Advanced Entry'!I$6)/('Advanced Entry'!I$7-'Advanced Entry'!I$6),10*((IF('Advanced Entry'!I$5="Logarithm",LN(0.001+'Advanced Entry'!I120),IF('Advanced Entry'!I$5="Exponential",EXP('Advanced Entry'!I120),'Advanced Entry'!I120)))-'Advanced Entry'!I$6)/('Advanced Entry'!I$7-'Advanced Entry'!I$6)),1))),"No data"))</f>
        <v/>
      </c>
      <c r="J120" s="17">
        <f>IF('Advanced Entry'!J120="","",IFERROR(MAX(0,MIN(10,ROUND(IF('Advanced Entry'!J$8="Decrease Risk",10-10*((IF('Advanced Entry'!J$5="Logarithm",LN(0.001+'Advanced Entry'!J120),IF('Advanced Entry'!J$5="Exponential",EXP('Advanced Entry'!J120),'Advanced Entry'!J120)))-'Advanced Entry'!J$6)/('Advanced Entry'!J$7-'Advanced Entry'!J$6),10*((IF('Advanced Entry'!J$5="Logarithm",LN(0.001+'Advanced Entry'!J120),IF('Advanced Entry'!J$5="Exponential",EXP('Advanced Entry'!J120),'Advanced Entry'!J120)))-'Advanced Entry'!J$6)/('Advanced Entry'!J$7-'Advanced Entry'!J$6)),1))),"No data"))</f>
        <v/>
      </c>
      <c r="K120" s="17">
        <f>IF('Advanced Entry'!K120="","",IFERROR(MAX(0,MIN(10,ROUND(IF('Advanced Entry'!K$8="Decrease Risk",10-10*((IF('Advanced Entry'!K$5="Logarithm",LN(0.001+'Advanced Entry'!K120),IF('Advanced Entry'!K$5="Exponential",EXP('Advanced Entry'!K120),'Advanced Entry'!K120)))-'Advanced Entry'!K$6)/('Advanced Entry'!K$7-'Advanced Entry'!K$6),10*((IF('Advanced Entry'!K$5="Logarithm",LN(0.001+'Advanced Entry'!K120),IF('Advanced Entry'!K$5="Exponential",EXP('Advanced Entry'!K120),'Advanced Entry'!K120)))-'Advanced Entry'!K$6)/('Advanced Entry'!K$7-'Advanced Entry'!K$6)),1))),"No data"))</f>
        <v/>
      </c>
      <c r="L120" s="17">
        <f>IF('Advanced Entry'!L120="","",IFERROR(MAX(0,MIN(10,ROUND(IF('Advanced Entry'!L$8="Decrease Risk",10-10*((IF('Advanced Entry'!L$5="Logarithm",LN(0.001+'Advanced Entry'!L120),IF('Advanced Entry'!L$5="Exponential",EXP('Advanced Entry'!L120),'Advanced Entry'!L120)))-'Advanced Entry'!L$6)/('Advanced Entry'!L$7-'Advanced Entry'!L$6),10*((IF('Advanced Entry'!L$5="Logarithm",LN(0.001+'Advanced Entry'!L120),IF('Advanced Entry'!L$5="Exponential",EXP('Advanced Entry'!L120),'Advanced Entry'!L120)))-'Advanced Entry'!L$6)/('Advanced Entry'!L$7-'Advanced Entry'!L$6)),1))),"No data"))</f>
        <v/>
      </c>
      <c r="M120" s="17">
        <f>IF('Advanced Entry'!M120="","",IFERROR(MAX(0,MIN(10,ROUND(IF('Advanced Entry'!M$8="Decrease Risk",10-10*((IF('Advanced Entry'!M$5="Logarithm",LN(0.001+'Advanced Entry'!M120),IF('Advanced Entry'!M$5="Exponential",EXP('Advanced Entry'!M120),'Advanced Entry'!M120)))-'Advanced Entry'!M$6)/('Advanced Entry'!M$7-'Advanced Entry'!M$6),10*((IF('Advanced Entry'!M$5="Logarithm",LN(0.001+'Advanced Entry'!M120),IF('Advanced Entry'!M$5="Exponential",EXP('Advanced Entry'!M120),'Advanced Entry'!M120)))-'Advanced Entry'!M$6)/('Advanced Entry'!M$7-'Advanced Entry'!M$6)),1))),"No data"))</f>
        <v/>
      </c>
      <c r="N120" s="17">
        <f>IF('Advanced Entry'!N120="","",IFERROR(MAX(0,MIN(10,ROUND(IF('Advanced Entry'!N$8="Decrease Risk",10-10*((IF('Advanced Entry'!N$5="Logarithm",LN(0.001+'Advanced Entry'!N120),IF('Advanced Entry'!N$5="Exponential",EXP('Advanced Entry'!N120),'Advanced Entry'!N120)))-'Advanced Entry'!N$6)/('Advanced Entry'!N$7-'Advanced Entry'!N$6),10*((IF('Advanced Entry'!N$5="Logarithm",LN(0.001+'Advanced Entry'!N120),IF('Advanced Entry'!N$5="Exponential",EXP('Advanced Entry'!N120),'Advanced Entry'!N120)))-'Advanced Entry'!N$6)/('Advanced Entry'!N$7-'Advanced Entry'!N$6)),1))),"No data"))</f>
        <v/>
      </c>
      <c r="O120" s="17">
        <f>IF('Advanced Entry'!O120="","",IFERROR(MAX(0,MIN(10,ROUND(IF('Advanced Entry'!O$8="Decrease Risk",10-10*((IF('Advanced Entry'!O$5="Logarithm",LN(0.001+'Advanced Entry'!O120),IF('Advanced Entry'!O$5="Exponential",EXP('Advanced Entry'!O120),'Advanced Entry'!O120)))-'Advanced Entry'!O$6)/('Advanced Entry'!O$7-'Advanced Entry'!O$6),10*((IF('Advanced Entry'!O$5="Logarithm",LN(0.001+'Advanced Entry'!O120),IF('Advanced Entry'!O$5="Exponential",EXP('Advanced Entry'!O120),'Advanced Entry'!O120)))-'Advanced Entry'!O$6)/('Advanced Entry'!O$7-'Advanced Entry'!O$6)),1))),"No data"))</f>
        <v/>
      </c>
      <c r="P120" s="17">
        <f>IF('Advanced Entry'!P120="","",IFERROR(MAX(0,MIN(10,ROUND(IF('Advanced Entry'!P$8="Decrease Risk",10-10*((IF('Advanced Entry'!P$5="Logarithm",LN(0.001+'Advanced Entry'!P120),IF('Advanced Entry'!P$5="Exponential",EXP('Advanced Entry'!P120),'Advanced Entry'!P120)))-'Advanced Entry'!P$6)/('Advanced Entry'!P$7-'Advanced Entry'!P$6),10*((IF('Advanced Entry'!P$5="Logarithm",LN(0.001+'Advanced Entry'!P120),IF('Advanced Entry'!P$5="Exponential",EXP('Advanced Entry'!P120),'Advanced Entry'!P120)))-'Advanced Entry'!P$6)/('Advanced Entry'!P$7-'Advanced Entry'!P$6)),1))),"No data"))</f>
        <v/>
      </c>
      <c r="Q120" s="17">
        <f>IF('Advanced Entry'!Q120="","",IFERROR(MAX(0,MIN(10,ROUND(IF('Advanced Entry'!Q$8="Decrease Risk",10-10*((IF('Advanced Entry'!Q$5="Logarithm",LN(0.001+'Advanced Entry'!Q120),IF('Advanced Entry'!Q$5="Exponential",EXP('Advanced Entry'!Q120),'Advanced Entry'!Q120)))-'Advanced Entry'!Q$6)/('Advanced Entry'!Q$7-'Advanced Entry'!Q$6),10*((IF('Advanced Entry'!Q$5="Logarithm",LN(0.001+'Advanced Entry'!Q120),IF('Advanced Entry'!Q$5="Exponential",EXP('Advanced Entry'!Q120),'Advanced Entry'!Q120)))-'Advanced Entry'!Q$6)/('Advanced Entry'!Q$7-'Advanced Entry'!Q$6)),1))),"No data"))</f>
        <v/>
      </c>
      <c r="R120" s="17">
        <f>IF('Advanced Entry'!R120="","",IFERROR(MAX(0,MIN(10,ROUND(IF('Advanced Entry'!R$8="Decrease Risk",10-10*((IF('Advanced Entry'!R$5="Logarithm",LN(0.001+'Advanced Entry'!R120),IF('Advanced Entry'!R$5="Exponential",EXP('Advanced Entry'!R120),'Advanced Entry'!R120)))-'Advanced Entry'!R$6)/('Advanced Entry'!R$7-'Advanced Entry'!R$6),10*((IF('Advanced Entry'!R$5="Logarithm",LN(0.001+'Advanced Entry'!R120),IF('Advanced Entry'!R$5="Exponential",EXP('Advanced Entry'!R120),'Advanced Entry'!R120)))-'Advanced Entry'!R$6)/('Advanced Entry'!R$7-'Advanced Entry'!R$6)),1))),"No data"))</f>
        <v/>
      </c>
      <c r="S120" s="17">
        <f>IF('Advanced Entry'!S120="","",IFERROR(MAX(0,MIN(10,ROUND(IF('Advanced Entry'!S$8="Decrease Risk",10-10*((IF('Advanced Entry'!S$5="Logarithm",LN(0.001+'Advanced Entry'!S120),IF('Advanced Entry'!S$5="Exponential",EXP('Advanced Entry'!S120),'Advanced Entry'!S120)))-'Advanced Entry'!S$6)/('Advanced Entry'!S$7-'Advanced Entry'!S$6),10*((IF('Advanced Entry'!S$5="Logarithm",LN(0.001+'Advanced Entry'!S120),IF('Advanced Entry'!S$5="Exponential",EXP('Advanced Entry'!S120),'Advanced Entry'!S120)))-'Advanced Entry'!S$6)/('Advanced Entry'!S$7-'Advanced Entry'!S$6)),1))),"No data"))</f>
        <v/>
      </c>
      <c r="T120" s="17">
        <f>IF('Advanced Entry'!T120="","",IFERROR(MAX(0,MIN(10,ROUND(IF('Advanced Entry'!T$8="Decrease Risk",10-10*((IF('Advanced Entry'!T$5="Logarithm",LN(0.001+'Advanced Entry'!T120),IF('Advanced Entry'!T$5="Exponential",EXP('Advanced Entry'!T120),'Advanced Entry'!T120)))-'Advanced Entry'!T$6)/('Advanced Entry'!T$7-'Advanced Entry'!T$6),10*((IF('Advanced Entry'!T$5="Logarithm",LN(0.001+'Advanced Entry'!T120),IF('Advanced Entry'!T$5="Exponential",EXP('Advanced Entry'!T120),'Advanced Entry'!T120)))-'Advanced Entry'!T$6)/('Advanced Entry'!T$7-'Advanced Entry'!T$6)),1))),"No data"))</f>
        <v/>
      </c>
      <c r="U120" s="17">
        <f>IF('Advanced Entry'!U120="","",IFERROR(MAX(0,MIN(10,ROUND(IF('Advanced Entry'!U$8="Decrease Risk",10-10*((IF('Advanced Entry'!U$5="Logarithm",LN(0.001+'Advanced Entry'!U120),IF('Advanced Entry'!U$5="Exponential",EXP('Advanced Entry'!U120),'Advanced Entry'!U120)))-'Advanced Entry'!U$6)/('Advanced Entry'!U$7-'Advanced Entry'!U$6),10*((IF('Advanced Entry'!U$5="Logarithm",LN(0.001+'Advanced Entry'!U120),IF('Advanced Entry'!U$5="Exponential",EXP('Advanced Entry'!U120),'Advanced Entry'!U120)))-'Advanced Entry'!U$6)/('Advanced Entry'!U$7-'Advanced Entry'!U$6)),1))),"No data"))</f>
        <v/>
      </c>
      <c r="V120" s="17">
        <f>IF('Advanced Entry'!V120="","",IFERROR(MAX(0,MIN(10,ROUND(IF('Advanced Entry'!V$8="Decrease Risk",10-10*((IF('Advanced Entry'!V$5="Logarithm",LN(0.001+'Advanced Entry'!V120),IF('Advanced Entry'!V$5="Exponential",EXP('Advanced Entry'!V120),'Advanced Entry'!V120)))-'Advanced Entry'!V$6)/('Advanced Entry'!V$7-'Advanced Entry'!V$6),10*((IF('Advanced Entry'!V$5="Logarithm",LN(0.001+'Advanced Entry'!V120),IF('Advanced Entry'!V$5="Exponential",EXP('Advanced Entry'!V120),'Advanced Entry'!V120)))-'Advanced Entry'!V$6)/('Advanced Entry'!V$7-'Advanced Entry'!V$6)),1))),"No data"))</f>
        <v/>
      </c>
      <c r="W120" s="17">
        <f>IF('Advanced Entry'!W120="","",IFERROR(MAX(0,MIN(10,ROUND(IF('Advanced Entry'!W$8="Decrease Risk",10-10*((IF('Advanced Entry'!W$5="Logarithm",LN(0.001+'Advanced Entry'!W120),IF('Advanced Entry'!W$5="Exponential",EXP('Advanced Entry'!W120),'Advanced Entry'!W120)))-'Advanced Entry'!W$6)/('Advanced Entry'!W$7-'Advanced Entry'!W$6),10*((IF('Advanced Entry'!W$5="Logarithm",LN(0.001+'Advanced Entry'!W120),IF('Advanced Entry'!W$5="Exponential",EXP('Advanced Entry'!W120),'Advanced Entry'!W120)))-'Advanced Entry'!W$6)/('Advanced Entry'!W$7-'Advanced Entry'!W$6)),1))),"No data"))</f>
        <v/>
      </c>
      <c r="X120" s="17">
        <f>IF('Advanced Entry'!X120="","",IFERROR(MAX(0,MIN(10,ROUND(IF('Advanced Entry'!X$8="Decrease Risk",10-10*((IF('Advanced Entry'!X$5="Logarithm",LN(0.001+'Advanced Entry'!X120),IF('Advanced Entry'!X$5="Exponential",EXP('Advanced Entry'!X120),'Advanced Entry'!X120)))-'Advanced Entry'!X$6)/('Advanced Entry'!X$7-'Advanced Entry'!X$6),10*((IF('Advanced Entry'!X$5="Logarithm",LN(0.001+'Advanced Entry'!X120),IF('Advanced Entry'!X$5="Exponential",EXP('Advanced Entry'!X120),'Advanced Entry'!X120)))-'Advanced Entry'!X$6)/('Advanced Entry'!X$7-'Advanced Entry'!X$6)),1))),"No data"))</f>
        <v/>
      </c>
      <c r="Y120" s="17">
        <f>IF('Advanced Entry'!Y120="","",IFERROR(MAX(0,MIN(10,ROUND(IF('Advanced Entry'!Y$8="Decrease Risk",10-10*((IF('Advanced Entry'!Y$5="Logarithm",LN(0.001+'Advanced Entry'!Y120),IF('Advanced Entry'!Y$5="Exponential",EXP('Advanced Entry'!Y120),'Advanced Entry'!Y120)))-'Advanced Entry'!Y$6)/('Advanced Entry'!Y$7-'Advanced Entry'!Y$6),10*((IF('Advanced Entry'!Y$5="Logarithm",LN(0.001+'Advanced Entry'!Y120),IF('Advanced Entry'!Y$5="Exponential",EXP('Advanced Entry'!Y120),'Advanced Entry'!Y120)))-'Advanced Entry'!Y$6)/('Advanced Entry'!Y$7-'Advanced Entry'!Y$6)),1))),"No data"))</f>
        <v/>
      </c>
      <c r="Z120" s="17">
        <f>IF('Advanced Entry'!Z120="","",IFERROR(MAX(0,MIN(10,ROUND(IF('Advanced Entry'!Z$8="Decrease Risk",10-10*((IF('Advanced Entry'!Z$5="Logarithm",LN(0.001+'Advanced Entry'!Z120),IF('Advanced Entry'!Z$5="Exponential",EXP('Advanced Entry'!Z120),'Advanced Entry'!Z120)))-'Advanced Entry'!Z$6)/('Advanced Entry'!Z$7-'Advanced Entry'!Z$6),10*((IF('Advanced Entry'!Z$5="Logarithm",LN(0.001+'Advanced Entry'!Z120),IF('Advanced Entry'!Z$5="Exponential",EXP('Advanced Entry'!Z120),'Advanced Entry'!Z120)))-'Advanced Entry'!Z$6)/('Advanced Entry'!Z$7-'Advanced Entry'!Z$6)),1))),"No data"))</f>
        <v/>
      </c>
      <c r="AA120" s="17">
        <f>IF('Advanced Entry'!AA120="","",IFERROR(MAX(0,MIN(10,ROUND(IF('Advanced Entry'!AA$8="Decrease Risk",10-10*((IF('Advanced Entry'!AA$5="Logarithm",LN(0.001+'Advanced Entry'!AA120),IF('Advanced Entry'!AA$5="Exponential",EXP('Advanced Entry'!AA120),'Advanced Entry'!AA120)))-'Advanced Entry'!AA$6)/('Advanced Entry'!AA$7-'Advanced Entry'!AA$6),10*((IF('Advanced Entry'!AA$5="Logarithm",LN(0.001+'Advanced Entry'!AA120),IF('Advanced Entry'!AA$5="Exponential",EXP('Advanced Entry'!AA120),'Advanced Entry'!AA120)))-'Advanced Entry'!AA$6)/('Advanced Entry'!AA$7-'Advanced Entry'!AA$6)),1))),"No data"))</f>
        <v/>
      </c>
      <c r="AB120" s="17">
        <f>IF('Advanced Entry'!AB120="","",IFERROR(MAX(0,MIN(10,ROUND(IF('Advanced Entry'!AB$8="Decrease Risk",10-10*((IF('Advanced Entry'!AB$5="Logarithm",LN(0.001+'Advanced Entry'!AB120),IF('Advanced Entry'!AB$5="Exponential",EXP('Advanced Entry'!AB120),'Advanced Entry'!AB120)))-'Advanced Entry'!AB$6)/('Advanced Entry'!AB$7-'Advanced Entry'!AB$6),10*((IF('Advanced Entry'!AB$5="Logarithm",LN(0.001+'Advanced Entry'!AB120),IF('Advanced Entry'!AB$5="Exponential",EXP('Advanced Entry'!AB120),'Advanced Entry'!AB120)))-'Advanced Entry'!AB$6)/('Advanced Entry'!AB$7-'Advanced Entry'!AB$6)),1))),"No data"))</f>
        <v/>
      </c>
    </row>
    <row r="121">
      <c r="A121" t="inlineStr">
        <is>
          <t>Mtwara</t>
        </is>
      </c>
      <c r="B121" t="inlineStr">
        <is>
          <t>Mtwara District</t>
        </is>
      </c>
      <c r="C121" t="inlineStr">
        <is>
          <t>C063</t>
        </is>
      </c>
      <c r="D121" s="17">
        <f>IF('Advanced Entry'!D121="","",IFERROR(MAX(0,MIN(10,ROUND(IF('Advanced Entry'!D$8="Decrease Risk",10-10*((IF('Advanced Entry'!D$5="Logarithm",LN(0.001+'Advanced Entry'!D121),IF('Advanced Entry'!D$5="Exponential",EXP('Advanced Entry'!D121),'Advanced Entry'!D121)))-'Advanced Entry'!D$6)/('Advanced Entry'!D$7-'Advanced Entry'!D$6),10*((IF('Advanced Entry'!D$5="Logarithm",LN(0.001+'Advanced Entry'!D121),IF('Advanced Entry'!D$5="Exponential",EXP('Advanced Entry'!D121),'Advanced Entry'!D121)))-'Advanced Entry'!D$6)/('Advanced Entry'!D$7-'Advanced Entry'!D$6)),1))),"No data"))</f>
        <v/>
      </c>
      <c r="E121" s="17">
        <f>IF('Advanced Entry'!E121="","",IFERROR(MAX(0,MIN(10,ROUND(IF('Advanced Entry'!E$8="Decrease Risk",10-10*((IF('Advanced Entry'!E$5="Logarithm",LN(0.001+'Advanced Entry'!E121),IF('Advanced Entry'!E$5="Exponential",EXP('Advanced Entry'!E121),'Advanced Entry'!E121)))-'Advanced Entry'!E$6)/('Advanced Entry'!E$7-'Advanced Entry'!E$6),10*((IF('Advanced Entry'!E$5="Logarithm",LN(0.001+'Advanced Entry'!E121),IF('Advanced Entry'!E$5="Exponential",EXP('Advanced Entry'!E121),'Advanced Entry'!E121)))-'Advanced Entry'!E$6)/('Advanced Entry'!E$7-'Advanced Entry'!E$6)),1))),"No data"))</f>
        <v/>
      </c>
      <c r="F121" s="17">
        <f>IF('Advanced Entry'!F121="","",IFERROR(MAX(0,MIN(10,ROUND(IF('Advanced Entry'!F$8="Decrease Risk",10-10*((IF('Advanced Entry'!F$5="Logarithm",LN(0.001+'Advanced Entry'!F121),IF('Advanced Entry'!F$5="Exponential",EXP('Advanced Entry'!F121),'Advanced Entry'!F121)))-'Advanced Entry'!F$6)/('Advanced Entry'!F$7-'Advanced Entry'!F$6),10*((IF('Advanced Entry'!F$5="Logarithm",LN(0.001+'Advanced Entry'!F121),IF('Advanced Entry'!F$5="Exponential",EXP('Advanced Entry'!F121),'Advanced Entry'!F121)))-'Advanced Entry'!F$6)/('Advanced Entry'!F$7-'Advanced Entry'!F$6)),1))),"No data"))</f>
        <v/>
      </c>
      <c r="G121" s="17">
        <f>IF('Advanced Entry'!G121="","",IFERROR(MAX(0,MIN(10,ROUND(IF('Advanced Entry'!G$8="Decrease Risk",10-10*((IF('Advanced Entry'!G$5="Logarithm",LN(0.001+'Advanced Entry'!G121),IF('Advanced Entry'!G$5="Exponential",EXP('Advanced Entry'!G121),'Advanced Entry'!G121)))-'Advanced Entry'!G$6)/('Advanced Entry'!G$7-'Advanced Entry'!G$6),10*((IF('Advanced Entry'!G$5="Logarithm",LN(0.001+'Advanced Entry'!G121),IF('Advanced Entry'!G$5="Exponential",EXP('Advanced Entry'!G121),'Advanced Entry'!G121)))-'Advanced Entry'!G$6)/('Advanced Entry'!G$7-'Advanced Entry'!G$6)),1))),"No data"))</f>
        <v/>
      </c>
      <c r="H121" s="17">
        <f>IF('Advanced Entry'!H121="","",IFERROR(MAX(0,MIN(10,ROUND(IF('Advanced Entry'!H$8="Decrease Risk",10-10*((IF('Advanced Entry'!H$5="Logarithm",LN(0.001+'Advanced Entry'!H121),IF('Advanced Entry'!H$5="Exponential",EXP('Advanced Entry'!H121),'Advanced Entry'!H121)))-'Advanced Entry'!H$6)/('Advanced Entry'!H$7-'Advanced Entry'!H$6),10*((IF('Advanced Entry'!H$5="Logarithm",LN(0.001+'Advanced Entry'!H121),IF('Advanced Entry'!H$5="Exponential",EXP('Advanced Entry'!H121),'Advanced Entry'!H121)))-'Advanced Entry'!H$6)/('Advanced Entry'!H$7-'Advanced Entry'!H$6)),1))),"No data"))</f>
        <v/>
      </c>
      <c r="I121" s="17">
        <f>IF('Advanced Entry'!I121="","",IFERROR(MAX(0,MIN(10,ROUND(IF('Advanced Entry'!I$8="Decrease Risk",10-10*((IF('Advanced Entry'!I$5="Logarithm",LN(0.001+'Advanced Entry'!I121),IF('Advanced Entry'!I$5="Exponential",EXP('Advanced Entry'!I121),'Advanced Entry'!I121)))-'Advanced Entry'!I$6)/('Advanced Entry'!I$7-'Advanced Entry'!I$6),10*((IF('Advanced Entry'!I$5="Logarithm",LN(0.001+'Advanced Entry'!I121),IF('Advanced Entry'!I$5="Exponential",EXP('Advanced Entry'!I121),'Advanced Entry'!I121)))-'Advanced Entry'!I$6)/('Advanced Entry'!I$7-'Advanced Entry'!I$6)),1))),"No data"))</f>
        <v/>
      </c>
      <c r="J121" s="17">
        <f>IF('Advanced Entry'!J121="","",IFERROR(MAX(0,MIN(10,ROUND(IF('Advanced Entry'!J$8="Decrease Risk",10-10*((IF('Advanced Entry'!J$5="Logarithm",LN(0.001+'Advanced Entry'!J121),IF('Advanced Entry'!J$5="Exponential",EXP('Advanced Entry'!J121),'Advanced Entry'!J121)))-'Advanced Entry'!J$6)/('Advanced Entry'!J$7-'Advanced Entry'!J$6),10*((IF('Advanced Entry'!J$5="Logarithm",LN(0.001+'Advanced Entry'!J121),IF('Advanced Entry'!J$5="Exponential",EXP('Advanced Entry'!J121),'Advanced Entry'!J121)))-'Advanced Entry'!J$6)/('Advanced Entry'!J$7-'Advanced Entry'!J$6)),1))),"No data"))</f>
        <v/>
      </c>
      <c r="K121" s="17">
        <f>IF('Advanced Entry'!K121="","",IFERROR(MAX(0,MIN(10,ROUND(IF('Advanced Entry'!K$8="Decrease Risk",10-10*((IF('Advanced Entry'!K$5="Logarithm",LN(0.001+'Advanced Entry'!K121),IF('Advanced Entry'!K$5="Exponential",EXP('Advanced Entry'!K121),'Advanced Entry'!K121)))-'Advanced Entry'!K$6)/('Advanced Entry'!K$7-'Advanced Entry'!K$6),10*((IF('Advanced Entry'!K$5="Logarithm",LN(0.001+'Advanced Entry'!K121),IF('Advanced Entry'!K$5="Exponential",EXP('Advanced Entry'!K121),'Advanced Entry'!K121)))-'Advanced Entry'!K$6)/('Advanced Entry'!K$7-'Advanced Entry'!K$6)),1))),"No data"))</f>
        <v/>
      </c>
      <c r="L121" s="17">
        <f>IF('Advanced Entry'!L121="","",IFERROR(MAX(0,MIN(10,ROUND(IF('Advanced Entry'!L$8="Decrease Risk",10-10*((IF('Advanced Entry'!L$5="Logarithm",LN(0.001+'Advanced Entry'!L121),IF('Advanced Entry'!L$5="Exponential",EXP('Advanced Entry'!L121),'Advanced Entry'!L121)))-'Advanced Entry'!L$6)/('Advanced Entry'!L$7-'Advanced Entry'!L$6),10*((IF('Advanced Entry'!L$5="Logarithm",LN(0.001+'Advanced Entry'!L121),IF('Advanced Entry'!L$5="Exponential",EXP('Advanced Entry'!L121),'Advanced Entry'!L121)))-'Advanced Entry'!L$6)/('Advanced Entry'!L$7-'Advanced Entry'!L$6)),1))),"No data"))</f>
        <v/>
      </c>
      <c r="M121" s="17">
        <f>IF('Advanced Entry'!M121="","",IFERROR(MAX(0,MIN(10,ROUND(IF('Advanced Entry'!M$8="Decrease Risk",10-10*((IF('Advanced Entry'!M$5="Logarithm",LN(0.001+'Advanced Entry'!M121),IF('Advanced Entry'!M$5="Exponential",EXP('Advanced Entry'!M121),'Advanced Entry'!M121)))-'Advanced Entry'!M$6)/('Advanced Entry'!M$7-'Advanced Entry'!M$6),10*((IF('Advanced Entry'!M$5="Logarithm",LN(0.001+'Advanced Entry'!M121),IF('Advanced Entry'!M$5="Exponential",EXP('Advanced Entry'!M121),'Advanced Entry'!M121)))-'Advanced Entry'!M$6)/('Advanced Entry'!M$7-'Advanced Entry'!M$6)),1))),"No data"))</f>
        <v/>
      </c>
      <c r="N121" s="17">
        <f>IF('Advanced Entry'!N121="","",IFERROR(MAX(0,MIN(10,ROUND(IF('Advanced Entry'!N$8="Decrease Risk",10-10*((IF('Advanced Entry'!N$5="Logarithm",LN(0.001+'Advanced Entry'!N121),IF('Advanced Entry'!N$5="Exponential",EXP('Advanced Entry'!N121),'Advanced Entry'!N121)))-'Advanced Entry'!N$6)/('Advanced Entry'!N$7-'Advanced Entry'!N$6),10*((IF('Advanced Entry'!N$5="Logarithm",LN(0.001+'Advanced Entry'!N121),IF('Advanced Entry'!N$5="Exponential",EXP('Advanced Entry'!N121),'Advanced Entry'!N121)))-'Advanced Entry'!N$6)/('Advanced Entry'!N$7-'Advanced Entry'!N$6)),1))),"No data"))</f>
        <v/>
      </c>
      <c r="O121" s="17">
        <f>IF('Advanced Entry'!O121="","",IFERROR(MAX(0,MIN(10,ROUND(IF('Advanced Entry'!O$8="Decrease Risk",10-10*((IF('Advanced Entry'!O$5="Logarithm",LN(0.001+'Advanced Entry'!O121),IF('Advanced Entry'!O$5="Exponential",EXP('Advanced Entry'!O121),'Advanced Entry'!O121)))-'Advanced Entry'!O$6)/('Advanced Entry'!O$7-'Advanced Entry'!O$6),10*((IF('Advanced Entry'!O$5="Logarithm",LN(0.001+'Advanced Entry'!O121),IF('Advanced Entry'!O$5="Exponential",EXP('Advanced Entry'!O121),'Advanced Entry'!O121)))-'Advanced Entry'!O$6)/('Advanced Entry'!O$7-'Advanced Entry'!O$6)),1))),"No data"))</f>
        <v/>
      </c>
      <c r="P121" s="17">
        <f>IF('Advanced Entry'!P121="","",IFERROR(MAX(0,MIN(10,ROUND(IF('Advanced Entry'!P$8="Decrease Risk",10-10*((IF('Advanced Entry'!P$5="Logarithm",LN(0.001+'Advanced Entry'!P121),IF('Advanced Entry'!P$5="Exponential",EXP('Advanced Entry'!P121),'Advanced Entry'!P121)))-'Advanced Entry'!P$6)/('Advanced Entry'!P$7-'Advanced Entry'!P$6),10*((IF('Advanced Entry'!P$5="Logarithm",LN(0.001+'Advanced Entry'!P121),IF('Advanced Entry'!P$5="Exponential",EXP('Advanced Entry'!P121),'Advanced Entry'!P121)))-'Advanced Entry'!P$6)/('Advanced Entry'!P$7-'Advanced Entry'!P$6)),1))),"No data"))</f>
        <v/>
      </c>
      <c r="Q121" s="17">
        <f>IF('Advanced Entry'!Q121="","",IFERROR(MAX(0,MIN(10,ROUND(IF('Advanced Entry'!Q$8="Decrease Risk",10-10*((IF('Advanced Entry'!Q$5="Logarithm",LN(0.001+'Advanced Entry'!Q121),IF('Advanced Entry'!Q$5="Exponential",EXP('Advanced Entry'!Q121),'Advanced Entry'!Q121)))-'Advanced Entry'!Q$6)/('Advanced Entry'!Q$7-'Advanced Entry'!Q$6),10*((IF('Advanced Entry'!Q$5="Logarithm",LN(0.001+'Advanced Entry'!Q121),IF('Advanced Entry'!Q$5="Exponential",EXP('Advanced Entry'!Q121),'Advanced Entry'!Q121)))-'Advanced Entry'!Q$6)/('Advanced Entry'!Q$7-'Advanced Entry'!Q$6)),1))),"No data"))</f>
        <v/>
      </c>
      <c r="R121" s="17">
        <f>IF('Advanced Entry'!R121="","",IFERROR(MAX(0,MIN(10,ROUND(IF('Advanced Entry'!R$8="Decrease Risk",10-10*((IF('Advanced Entry'!R$5="Logarithm",LN(0.001+'Advanced Entry'!R121),IF('Advanced Entry'!R$5="Exponential",EXP('Advanced Entry'!R121),'Advanced Entry'!R121)))-'Advanced Entry'!R$6)/('Advanced Entry'!R$7-'Advanced Entry'!R$6),10*((IF('Advanced Entry'!R$5="Logarithm",LN(0.001+'Advanced Entry'!R121),IF('Advanced Entry'!R$5="Exponential",EXP('Advanced Entry'!R121),'Advanced Entry'!R121)))-'Advanced Entry'!R$6)/('Advanced Entry'!R$7-'Advanced Entry'!R$6)),1))),"No data"))</f>
        <v/>
      </c>
      <c r="S121" s="17">
        <f>IF('Advanced Entry'!S121="","",IFERROR(MAX(0,MIN(10,ROUND(IF('Advanced Entry'!S$8="Decrease Risk",10-10*((IF('Advanced Entry'!S$5="Logarithm",LN(0.001+'Advanced Entry'!S121),IF('Advanced Entry'!S$5="Exponential",EXP('Advanced Entry'!S121),'Advanced Entry'!S121)))-'Advanced Entry'!S$6)/('Advanced Entry'!S$7-'Advanced Entry'!S$6),10*((IF('Advanced Entry'!S$5="Logarithm",LN(0.001+'Advanced Entry'!S121),IF('Advanced Entry'!S$5="Exponential",EXP('Advanced Entry'!S121),'Advanced Entry'!S121)))-'Advanced Entry'!S$6)/('Advanced Entry'!S$7-'Advanced Entry'!S$6)),1))),"No data"))</f>
        <v/>
      </c>
      <c r="T121" s="17">
        <f>IF('Advanced Entry'!T121="","",IFERROR(MAX(0,MIN(10,ROUND(IF('Advanced Entry'!T$8="Decrease Risk",10-10*((IF('Advanced Entry'!T$5="Logarithm",LN(0.001+'Advanced Entry'!T121),IF('Advanced Entry'!T$5="Exponential",EXP('Advanced Entry'!T121),'Advanced Entry'!T121)))-'Advanced Entry'!T$6)/('Advanced Entry'!T$7-'Advanced Entry'!T$6),10*((IF('Advanced Entry'!T$5="Logarithm",LN(0.001+'Advanced Entry'!T121),IF('Advanced Entry'!T$5="Exponential",EXP('Advanced Entry'!T121),'Advanced Entry'!T121)))-'Advanced Entry'!T$6)/('Advanced Entry'!T$7-'Advanced Entry'!T$6)),1))),"No data"))</f>
        <v/>
      </c>
      <c r="U121" s="17">
        <f>IF('Advanced Entry'!U121="","",IFERROR(MAX(0,MIN(10,ROUND(IF('Advanced Entry'!U$8="Decrease Risk",10-10*((IF('Advanced Entry'!U$5="Logarithm",LN(0.001+'Advanced Entry'!U121),IF('Advanced Entry'!U$5="Exponential",EXP('Advanced Entry'!U121),'Advanced Entry'!U121)))-'Advanced Entry'!U$6)/('Advanced Entry'!U$7-'Advanced Entry'!U$6),10*((IF('Advanced Entry'!U$5="Logarithm",LN(0.001+'Advanced Entry'!U121),IF('Advanced Entry'!U$5="Exponential",EXP('Advanced Entry'!U121),'Advanced Entry'!U121)))-'Advanced Entry'!U$6)/('Advanced Entry'!U$7-'Advanced Entry'!U$6)),1))),"No data"))</f>
        <v/>
      </c>
      <c r="V121" s="17">
        <f>IF('Advanced Entry'!V121="","",IFERROR(MAX(0,MIN(10,ROUND(IF('Advanced Entry'!V$8="Decrease Risk",10-10*((IF('Advanced Entry'!V$5="Logarithm",LN(0.001+'Advanced Entry'!V121),IF('Advanced Entry'!V$5="Exponential",EXP('Advanced Entry'!V121),'Advanced Entry'!V121)))-'Advanced Entry'!V$6)/('Advanced Entry'!V$7-'Advanced Entry'!V$6),10*((IF('Advanced Entry'!V$5="Logarithm",LN(0.001+'Advanced Entry'!V121),IF('Advanced Entry'!V$5="Exponential",EXP('Advanced Entry'!V121),'Advanced Entry'!V121)))-'Advanced Entry'!V$6)/('Advanced Entry'!V$7-'Advanced Entry'!V$6)),1))),"No data"))</f>
        <v/>
      </c>
      <c r="W121" s="17">
        <f>IF('Advanced Entry'!W121="","",IFERROR(MAX(0,MIN(10,ROUND(IF('Advanced Entry'!W$8="Decrease Risk",10-10*((IF('Advanced Entry'!W$5="Logarithm",LN(0.001+'Advanced Entry'!W121),IF('Advanced Entry'!W$5="Exponential",EXP('Advanced Entry'!W121),'Advanced Entry'!W121)))-'Advanced Entry'!W$6)/('Advanced Entry'!W$7-'Advanced Entry'!W$6),10*((IF('Advanced Entry'!W$5="Logarithm",LN(0.001+'Advanced Entry'!W121),IF('Advanced Entry'!W$5="Exponential",EXP('Advanced Entry'!W121),'Advanced Entry'!W121)))-'Advanced Entry'!W$6)/('Advanced Entry'!W$7-'Advanced Entry'!W$6)),1))),"No data"))</f>
        <v/>
      </c>
      <c r="X121" s="17">
        <f>IF('Advanced Entry'!X121="","",IFERROR(MAX(0,MIN(10,ROUND(IF('Advanced Entry'!X$8="Decrease Risk",10-10*((IF('Advanced Entry'!X$5="Logarithm",LN(0.001+'Advanced Entry'!X121),IF('Advanced Entry'!X$5="Exponential",EXP('Advanced Entry'!X121),'Advanced Entry'!X121)))-'Advanced Entry'!X$6)/('Advanced Entry'!X$7-'Advanced Entry'!X$6),10*((IF('Advanced Entry'!X$5="Logarithm",LN(0.001+'Advanced Entry'!X121),IF('Advanced Entry'!X$5="Exponential",EXP('Advanced Entry'!X121),'Advanced Entry'!X121)))-'Advanced Entry'!X$6)/('Advanced Entry'!X$7-'Advanced Entry'!X$6)),1))),"No data"))</f>
        <v/>
      </c>
      <c r="Y121" s="17">
        <f>IF('Advanced Entry'!Y121="","",IFERROR(MAX(0,MIN(10,ROUND(IF('Advanced Entry'!Y$8="Decrease Risk",10-10*((IF('Advanced Entry'!Y$5="Logarithm",LN(0.001+'Advanced Entry'!Y121),IF('Advanced Entry'!Y$5="Exponential",EXP('Advanced Entry'!Y121),'Advanced Entry'!Y121)))-'Advanced Entry'!Y$6)/('Advanced Entry'!Y$7-'Advanced Entry'!Y$6),10*((IF('Advanced Entry'!Y$5="Logarithm",LN(0.001+'Advanced Entry'!Y121),IF('Advanced Entry'!Y$5="Exponential",EXP('Advanced Entry'!Y121),'Advanced Entry'!Y121)))-'Advanced Entry'!Y$6)/('Advanced Entry'!Y$7-'Advanced Entry'!Y$6)),1))),"No data"))</f>
        <v/>
      </c>
      <c r="Z121" s="17">
        <f>IF('Advanced Entry'!Z121="","",IFERROR(MAX(0,MIN(10,ROUND(IF('Advanced Entry'!Z$8="Decrease Risk",10-10*((IF('Advanced Entry'!Z$5="Logarithm",LN(0.001+'Advanced Entry'!Z121),IF('Advanced Entry'!Z$5="Exponential",EXP('Advanced Entry'!Z121),'Advanced Entry'!Z121)))-'Advanced Entry'!Z$6)/('Advanced Entry'!Z$7-'Advanced Entry'!Z$6),10*((IF('Advanced Entry'!Z$5="Logarithm",LN(0.001+'Advanced Entry'!Z121),IF('Advanced Entry'!Z$5="Exponential",EXP('Advanced Entry'!Z121),'Advanced Entry'!Z121)))-'Advanced Entry'!Z$6)/('Advanced Entry'!Z$7-'Advanced Entry'!Z$6)),1))),"No data"))</f>
        <v/>
      </c>
      <c r="AA121" s="17">
        <f>IF('Advanced Entry'!AA121="","",IFERROR(MAX(0,MIN(10,ROUND(IF('Advanced Entry'!AA$8="Decrease Risk",10-10*((IF('Advanced Entry'!AA$5="Logarithm",LN(0.001+'Advanced Entry'!AA121),IF('Advanced Entry'!AA$5="Exponential",EXP('Advanced Entry'!AA121),'Advanced Entry'!AA121)))-'Advanced Entry'!AA$6)/('Advanced Entry'!AA$7-'Advanced Entry'!AA$6),10*((IF('Advanced Entry'!AA$5="Logarithm",LN(0.001+'Advanced Entry'!AA121),IF('Advanced Entry'!AA$5="Exponential",EXP('Advanced Entry'!AA121),'Advanced Entry'!AA121)))-'Advanced Entry'!AA$6)/('Advanced Entry'!AA$7-'Advanced Entry'!AA$6)),1))),"No data"))</f>
        <v/>
      </c>
      <c r="AB121" s="17">
        <f>IF('Advanced Entry'!AB121="","",IFERROR(MAX(0,MIN(10,ROUND(IF('Advanced Entry'!AB$8="Decrease Risk",10-10*((IF('Advanced Entry'!AB$5="Logarithm",LN(0.001+'Advanced Entry'!AB121),IF('Advanced Entry'!AB$5="Exponential",EXP('Advanced Entry'!AB121),'Advanced Entry'!AB121)))-'Advanced Entry'!AB$6)/('Advanced Entry'!AB$7-'Advanced Entry'!AB$6),10*((IF('Advanced Entry'!AB$5="Logarithm",LN(0.001+'Advanced Entry'!AB121),IF('Advanced Entry'!AB$5="Exponential",EXP('Advanced Entry'!AB121),'Advanced Entry'!AB121)))-'Advanced Entry'!AB$6)/('Advanced Entry'!AB$7-'Advanced Entry'!AB$6)),1))),"No data"))</f>
        <v/>
      </c>
    </row>
    <row r="122">
      <c r="A122" t="inlineStr">
        <is>
          <t>Mtwara</t>
        </is>
      </c>
      <c r="B122" t="inlineStr">
        <is>
          <t>Mtwara Mikindani Municipal</t>
        </is>
      </c>
      <c r="C122" t="inlineStr">
        <is>
          <t>C065</t>
        </is>
      </c>
      <c r="D122" s="17">
        <f>IF('Advanced Entry'!D122="","",IFERROR(MAX(0,MIN(10,ROUND(IF('Advanced Entry'!D$8="Decrease Risk",10-10*((IF('Advanced Entry'!D$5="Logarithm",LN(0.001+'Advanced Entry'!D122),IF('Advanced Entry'!D$5="Exponential",EXP('Advanced Entry'!D122),'Advanced Entry'!D122)))-'Advanced Entry'!D$6)/('Advanced Entry'!D$7-'Advanced Entry'!D$6),10*((IF('Advanced Entry'!D$5="Logarithm",LN(0.001+'Advanced Entry'!D122),IF('Advanced Entry'!D$5="Exponential",EXP('Advanced Entry'!D122),'Advanced Entry'!D122)))-'Advanced Entry'!D$6)/('Advanced Entry'!D$7-'Advanced Entry'!D$6)),1))),"No data"))</f>
        <v/>
      </c>
      <c r="E122" s="17">
        <f>IF('Advanced Entry'!E122="","",IFERROR(MAX(0,MIN(10,ROUND(IF('Advanced Entry'!E$8="Decrease Risk",10-10*((IF('Advanced Entry'!E$5="Logarithm",LN(0.001+'Advanced Entry'!E122),IF('Advanced Entry'!E$5="Exponential",EXP('Advanced Entry'!E122),'Advanced Entry'!E122)))-'Advanced Entry'!E$6)/('Advanced Entry'!E$7-'Advanced Entry'!E$6),10*((IF('Advanced Entry'!E$5="Logarithm",LN(0.001+'Advanced Entry'!E122),IF('Advanced Entry'!E$5="Exponential",EXP('Advanced Entry'!E122),'Advanced Entry'!E122)))-'Advanced Entry'!E$6)/('Advanced Entry'!E$7-'Advanced Entry'!E$6)),1))),"No data"))</f>
        <v/>
      </c>
      <c r="F122" s="17">
        <f>IF('Advanced Entry'!F122="","",IFERROR(MAX(0,MIN(10,ROUND(IF('Advanced Entry'!F$8="Decrease Risk",10-10*((IF('Advanced Entry'!F$5="Logarithm",LN(0.001+'Advanced Entry'!F122),IF('Advanced Entry'!F$5="Exponential",EXP('Advanced Entry'!F122),'Advanced Entry'!F122)))-'Advanced Entry'!F$6)/('Advanced Entry'!F$7-'Advanced Entry'!F$6),10*((IF('Advanced Entry'!F$5="Logarithm",LN(0.001+'Advanced Entry'!F122),IF('Advanced Entry'!F$5="Exponential",EXP('Advanced Entry'!F122),'Advanced Entry'!F122)))-'Advanced Entry'!F$6)/('Advanced Entry'!F$7-'Advanced Entry'!F$6)),1))),"No data"))</f>
        <v/>
      </c>
      <c r="G122" s="17">
        <f>IF('Advanced Entry'!G122="","",IFERROR(MAX(0,MIN(10,ROUND(IF('Advanced Entry'!G$8="Decrease Risk",10-10*((IF('Advanced Entry'!G$5="Logarithm",LN(0.001+'Advanced Entry'!G122),IF('Advanced Entry'!G$5="Exponential",EXP('Advanced Entry'!G122),'Advanced Entry'!G122)))-'Advanced Entry'!G$6)/('Advanced Entry'!G$7-'Advanced Entry'!G$6),10*((IF('Advanced Entry'!G$5="Logarithm",LN(0.001+'Advanced Entry'!G122),IF('Advanced Entry'!G$5="Exponential",EXP('Advanced Entry'!G122),'Advanced Entry'!G122)))-'Advanced Entry'!G$6)/('Advanced Entry'!G$7-'Advanced Entry'!G$6)),1))),"No data"))</f>
        <v/>
      </c>
      <c r="H122" s="17">
        <f>IF('Advanced Entry'!H122="","",IFERROR(MAX(0,MIN(10,ROUND(IF('Advanced Entry'!H$8="Decrease Risk",10-10*((IF('Advanced Entry'!H$5="Logarithm",LN(0.001+'Advanced Entry'!H122),IF('Advanced Entry'!H$5="Exponential",EXP('Advanced Entry'!H122),'Advanced Entry'!H122)))-'Advanced Entry'!H$6)/('Advanced Entry'!H$7-'Advanced Entry'!H$6),10*((IF('Advanced Entry'!H$5="Logarithm",LN(0.001+'Advanced Entry'!H122),IF('Advanced Entry'!H$5="Exponential",EXP('Advanced Entry'!H122),'Advanced Entry'!H122)))-'Advanced Entry'!H$6)/('Advanced Entry'!H$7-'Advanced Entry'!H$6)),1))),"No data"))</f>
        <v/>
      </c>
      <c r="I122" s="17">
        <f>IF('Advanced Entry'!I122="","",IFERROR(MAX(0,MIN(10,ROUND(IF('Advanced Entry'!I$8="Decrease Risk",10-10*((IF('Advanced Entry'!I$5="Logarithm",LN(0.001+'Advanced Entry'!I122),IF('Advanced Entry'!I$5="Exponential",EXP('Advanced Entry'!I122),'Advanced Entry'!I122)))-'Advanced Entry'!I$6)/('Advanced Entry'!I$7-'Advanced Entry'!I$6),10*((IF('Advanced Entry'!I$5="Logarithm",LN(0.001+'Advanced Entry'!I122),IF('Advanced Entry'!I$5="Exponential",EXP('Advanced Entry'!I122),'Advanced Entry'!I122)))-'Advanced Entry'!I$6)/('Advanced Entry'!I$7-'Advanced Entry'!I$6)),1))),"No data"))</f>
        <v/>
      </c>
      <c r="J122" s="17">
        <f>IF('Advanced Entry'!J122="","",IFERROR(MAX(0,MIN(10,ROUND(IF('Advanced Entry'!J$8="Decrease Risk",10-10*((IF('Advanced Entry'!J$5="Logarithm",LN(0.001+'Advanced Entry'!J122),IF('Advanced Entry'!J$5="Exponential",EXP('Advanced Entry'!J122),'Advanced Entry'!J122)))-'Advanced Entry'!J$6)/('Advanced Entry'!J$7-'Advanced Entry'!J$6),10*((IF('Advanced Entry'!J$5="Logarithm",LN(0.001+'Advanced Entry'!J122),IF('Advanced Entry'!J$5="Exponential",EXP('Advanced Entry'!J122),'Advanced Entry'!J122)))-'Advanced Entry'!J$6)/('Advanced Entry'!J$7-'Advanced Entry'!J$6)),1))),"No data"))</f>
        <v/>
      </c>
      <c r="K122" s="17">
        <f>IF('Advanced Entry'!K122="","",IFERROR(MAX(0,MIN(10,ROUND(IF('Advanced Entry'!K$8="Decrease Risk",10-10*((IF('Advanced Entry'!K$5="Logarithm",LN(0.001+'Advanced Entry'!K122),IF('Advanced Entry'!K$5="Exponential",EXP('Advanced Entry'!K122),'Advanced Entry'!K122)))-'Advanced Entry'!K$6)/('Advanced Entry'!K$7-'Advanced Entry'!K$6),10*((IF('Advanced Entry'!K$5="Logarithm",LN(0.001+'Advanced Entry'!K122),IF('Advanced Entry'!K$5="Exponential",EXP('Advanced Entry'!K122),'Advanced Entry'!K122)))-'Advanced Entry'!K$6)/('Advanced Entry'!K$7-'Advanced Entry'!K$6)),1))),"No data"))</f>
        <v/>
      </c>
      <c r="L122" s="17">
        <f>IF('Advanced Entry'!L122="","",IFERROR(MAX(0,MIN(10,ROUND(IF('Advanced Entry'!L$8="Decrease Risk",10-10*((IF('Advanced Entry'!L$5="Logarithm",LN(0.001+'Advanced Entry'!L122),IF('Advanced Entry'!L$5="Exponential",EXP('Advanced Entry'!L122),'Advanced Entry'!L122)))-'Advanced Entry'!L$6)/('Advanced Entry'!L$7-'Advanced Entry'!L$6),10*((IF('Advanced Entry'!L$5="Logarithm",LN(0.001+'Advanced Entry'!L122),IF('Advanced Entry'!L$5="Exponential",EXP('Advanced Entry'!L122),'Advanced Entry'!L122)))-'Advanced Entry'!L$6)/('Advanced Entry'!L$7-'Advanced Entry'!L$6)),1))),"No data"))</f>
        <v/>
      </c>
      <c r="M122" s="17">
        <f>IF('Advanced Entry'!M122="","",IFERROR(MAX(0,MIN(10,ROUND(IF('Advanced Entry'!M$8="Decrease Risk",10-10*((IF('Advanced Entry'!M$5="Logarithm",LN(0.001+'Advanced Entry'!M122),IF('Advanced Entry'!M$5="Exponential",EXP('Advanced Entry'!M122),'Advanced Entry'!M122)))-'Advanced Entry'!M$6)/('Advanced Entry'!M$7-'Advanced Entry'!M$6),10*((IF('Advanced Entry'!M$5="Logarithm",LN(0.001+'Advanced Entry'!M122),IF('Advanced Entry'!M$5="Exponential",EXP('Advanced Entry'!M122),'Advanced Entry'!M122)))-'Advanced Entry'!M$6)/('Advanced Entry'!M$7-'Advanced Entry'!M$6)),1))),"No data"))</f>
        <v/>
      </c>
      <c r="N122" s="17">
        <f>IF('Advanced Entry'!N122="","",IFERROR(MAX(0,MIN(10,ROUND(IF('Advanced Entry'!N$8="Decrease Risk",10-10*((IF('Advanced Entry'!N$5="Logarithm",LN(0.001+'Advanced Entry'!N122),IF('Advanced Entry'!N$5="Exponential",EXP('Advanced Entry'!N122),'Advanced Entry'!N122)))-'Advanced Entry'!N$6)/('Advanced Entry'!N$7-'Advanced Entry'!N$6),10*((IF('Advanced Entry'!N$5="Logarithm",LN(0.001+'Advanced Entry'!N122),IF('Advanced Entry'!N$5="Exponential",EXP('Advanced Entry'!N122),'Advanced Entry'!N122)))-'Advanced Entry'!N$6)/('Advanced Entry'!N$7-'Advanced Entry'!N$6)),1))),"No data"))</f>
        <v/>
      </c>
      <c r="O122" s="17">
        <f>IF('Advanced Entry'!O122="","",IFERROR(MAX(0,MIN(10,ROUND(IF('Advanced Entry'!O$8="Decrease Risk",10-10*((IF('Advanced Entry'!O$5="Logarithm",LN(0.001+'Advanced Entry'!O122),IF('Advanced Entry'!O$5="Exponential",EXP('Advanced Entry'!O122),'Advanced Entry'!O122)))-'Advanced Entry'!O$6)/('Advanced Entry'!O$7-'Advanced Entry'!O$6),10*((IF('Advanced Entry'!O$5="Logarithm",LN(0.001+'Advanced Entry'!O122),IF('Advanced Entry'!O$5="Exponential",EXP('Advanced Entry'!O122),'Advanced Entry'!O122)))-'Advanced Entry'!O$6)/('Advanced Entry'!O$7-'Advanced Entry'!O$6)),1))),"No data"))</f>
        <v/>
      </c>
      <c r="P122" s="17">
        <f>IF('Advanced Entry'!P122="","",IFERROR(MAX(0,MIN(10,ROUND(IF('Advanced Entry'!P$8="Decrease Risk",10-10*((IF('Advanced Entry'!P$5="Logarithm",LN(0.001+'Advanced Entry'!P122),IF('Advanced Entry'!P$5="Exponential",EXP('Advanced Entry'!P122),'Advanced Entry'!P122)))-'Advanced Entry'!P$6)/('Advanced Entry'!P$7-'Advanced Entry'!P$6),10*((IF('Advanced Entry'!P$5="Logarithm",LN(0.001+'Advanced Entry'!P122),IF('Advanced Entry'!P$5="Exponential",EXP('Advanced Entry'!P122),'Advanced Entry'!P122)))-'Advanced Entry'!P$6)/('Advanced Entry'!P$7-'Advanced Entry'!P$6)),1))),"No data"))</f>
        <v/>
      </c>
      <c r="Q122" s="17">
        <f>IF('Advanced Entry'!Q122="","",IFERROR(MAX(0,MIN(10,ROUND(IF('Advanced Entry'!Q$8="Decrease Risk",10-10*((IF('Advanced Entry'!Q$5="Logarithm",LN(0.001+'Advanced Entry'!Q122),IF('Advanced Entry'!Q$5="Exponential",EXP('Advanced Entry'!Q122),'Advanced Entry'!Q122)))-'Advanced Entry'!Q$6)/('Advanced Entry'!Q$7-'Advanced Entry'!Q$6),10*((IF('Advanced Entry'!Q$5="Logarithm",LN(0.001+'Advanced Entry'!Q122),IF('Advanced Entry'!Q$5="Exponential",EXP('Advanced Entry'!Q122),'Advanced Entry'!Q122)))-'Advanced Entry'!Q$6)/('Advanced Entry'!Q$7-'Advanced Entry'!Q$6)),1))),"No data"))</f>
        <v/>
      </c>
      <c r="R122" s="17">
        <f>IF('Advanced Entry'!R122="","",IFERROR(MAX(0,MIN(10,ROUND(IF('Advanced Entry'!R$8="Decrease Risk",10-10*((IF('Advanced Entry'!R$5="Logarithm",LN(0.001+'Advanced Entry'!R122),IF('Advanced Entry'!R$5="Exponential",EXP('Advanced Entry'!R122),'Advanced Entry'!R122)))-'Advanced Entry'!R$6)/('Advanced Entry'!R$7-'Advanced Entry'!R$6),10*((IF('Advanced Entry'!R$5="Logarithm",LN(0.001+'Advanced Entry'!R122),IF('Advanced Entry'!R$5="Exponential",EXP('Advanced Entry'!R122),'Advanced Entry'!R122)))-'Advanced Entry'!R$6)/('Advanced Entry'!R$7-'Advanced Entry'!R$6)),1))),"No data"))</f>
        <v/>
      </c>
      <c r="S122" s="17">
        <f>IF('Advanced Entry'!S122="","",IFERROR(MAX(0,MIN(10,ROUND(IF('Advanced Entry'!S$8="Decrease Risk",10-10*((IF('Advanced Entry'!S$5="Logarithm",LN(0.001+'Advanced Entry'!S122),IF('Advanced Entry'!S$5="Exponential",EXP('Advanced Entry'!S122),'Advanced Entry'!S122)))-'Advanced Entry'!S$6)/('Advanced Entry'!S$7-'Advanced Entry'!S$6),10*((IF('Advanced Entry'!S$5="Logarithm",LN(0.001+'Advanced Entry'!S122),IF('Advanced Entry'!S$5="Exponential",EXP('Advanced Entry'!S122),'Advanced Entry'!S122)))-'Advanced Entry'!S$6)/('Advanced Entry'!S$7-'Advanced Entry'!S$6)),1))),"No data"))</f>
        <v/>
      </c>
      <c r="T122" s="17">
        <f>IF('Advanced Entry'!T122="","",IFERROR(MAX(0,MIN(10,ROUND(IF('Advanced Entry'!T$8="Decrease Risk",10-10*((IF('Advanced Entry'!T$5="Logarithm",LN(0.001+'Advanced Entry'!T122),IF('Advanced Entry'!T$5="Exponential",EXP('Advanced Entry'!T122),'Advanced Entry'!T122)))-'Advanced Entry'!T$6)/('Advanced Entry'!T$7-'Advanced Entry'!T$6),10*((IF('Advanced Entry'!T$5="Logarithm",LN(0.001+'Advanced Entry'!T122),IF('Advanced Entry'!T$5="Exponential",EXP('Advanced Entry'!T122),'Advanced Entry'!T122)))-'Advanced Entry'!T$6)/('Advanced Entry'!T$7-'Advanced Entry'!T$6)),1))),"No data"))</f>
        <v/>
      </c>
      <c r="U122" s="17">
        <f>IF('Advanced Entry'!U122="","",IFERROR(MAX(0,MIN(10,ROUND(IF('Advanced Entry'!U$8="Decrease Risk",10-10*((IF('Advanced Entry'!U$5="Logarithm",LN(0.001+'Advanced Entry'!U122),IF('Advanced Entry'!U$5="Exponential",EXP('Advanced Entry'!U122),'Advanced Entry'!U122)))-'Advanced Entry'!U$6)/('Advanced Entry'!U$7-'Advanced Entry'!U$6),10*((IF('Advanced Entry'!U$5="Logarithm",LN(0.001+'Advanced Entry'!U122),IF('Advanced Entry'!U$5="Exponential",EXP('Advanced Entry'!U122),'Advanced Entry'!U122)))-'Advanced Entry'!U$6)/('Advanced Entry'!U$7-'Advanced Entry'!U$6)),1))),"No data"))</f>
        <v/>
      </c>
      <c r="V122" s="17">
        <f>IF('Advanced Entry'!V122="","",IFERROR(MAX(0,MIN(10,ROUND(IF('Advanced Entry'!V$8="Decrease Risk",10-10*((IF('Advanced Entry'!V$5="Logarithm",LN(0.001+'Advanced Entry'!V122),IF('Advanced Entry'!V$5="Exponential",EXP('Advanced Entry'!V122),'Advanced Entry'!V122)))-'Advanced Entry'!V$6)/('Advanced Entry'!V$7-'Advanced Entry'!V$6),10*((IF('Advanced Entry'!V$5="Logarithm",LN(0.001+'Advanced Entry'!V122),IF('Advanced Entry'!V$5="Exponential",EXP('Advanced Entry'!V122),'Advanced Entry'!V122)))-'Advanced Entry'!V$6)/('Advanced Entry'!V$7-'Advanced Entry'!V$6)),1))),"No data"))</f>
        <v/>
      </c>
      <c r="W122" s="17">
        <f>IF('Advanced Entry'!W122="","",IFERROR(MAX(0,MIN(10,ROUND(IF('Advanced Entry'!W$8="Decrease Risk",10-10*((IF('Advanced Entry'!W$5="Logarithm",LN(0.001+'Advanced Entry'!W122),IF('Advanced Entry'!W$5="Exponential",EXP('Advanced Entry'!W122),'Advanced Entry'!W122)))-'Advanced Entry'!W$6)/('Advanced Entry'!W$7-'Advanced Entry'!W$6),10*((IF('Advanced Entry'!W$5="Logarithm",LN(0.001+'Advanced Entry'!W122),IF('Advanced Entry'!W$5="Exponential",EXP('Advanced Entry'!W122),'Advanced Entry'!W122)))-'Advanced Entry'!W$6)/('Advanced Entry'!W$7-'Advanced Entry'!W$6)),1))),"No data"))</f>
        <v/>
      </c>
      <c r="X122" s="17">
        <f>IF('Advanced Entry'!X122="","",IFERROR(MAX(0,MIN(10,ROUND(IF('Advanced Entry'!X$8="Decrease Risk",10-10*((IF('Advanced Entry'!X$5="Logarithm",LN(0.001+'Advanced Entry'!X122),IF('Advanced Entry'!X$5="Exponential",EXP('Advanced Entry'!X122),'Advanced Entry'!X122)))-'Advanced Entry'!X$6)/('Advanced Entry'!X$7-'Advanced Entry'!X$6),10*((IF('Advanced Entry'!X$5="Logarithm",LN(0.001+'Advanced Entry'!X122),IF('Advanced Entry'!X$5="Exponential",EXP('Advanced Entry'!X122),'Advanced Entry'!X122)))-'Advanced Entry'!X$6)/('Advanced Entry'!X$7-'Advanced Entry'!X$6)),1))),"No data"))</f>
        <v/>
      </c>
      <c r="Y122" s="17">
        <f>IF('Advanced Entry'!Y122="","",IFERROR(MAX(0,MIN(10,ROUND(IF('Advanced Entry'!Y$8="Decrease Risk",10-10*((IF('Advanced Entry'!Y$5="Logarithm",LN(0.001+'Advanced Entry'!Y122),IF('Advanced Entry'!Y$5="Exponential",EXP('Advanced Entry'!Y122),'Advanced Entry'!Y122)))-'Advanced Entry'!Y$6)/('Advanced Entry'!Y$7-'Advanced Entry'!Y$6),10*((IF('Advanced Entry'!Y$5="Logarithm",LN(0.001+'Advanced Entry'!Y122),IF('Advanced Entry'!Y$5="Exponential",EXP('Advanced Entry'!Y122),'Advanced Entry'!Y122)))-'Advanced Entry'!Y$6)/('Advanced Entry'!Y$7-'Advanced Entry'!Y$6)),1))),"No data"))</f>
        <v/>
      </c>
      <c r="Z122" s="17">
        <f>IF('Advanced Entry'!Z122="","",IFERROR(MAX(0,MIN(10,ROUND(IF('Advanced Entry'!Z$8="Decrease Risk",10-10*((IF('Advanced Entry'!Z$5="Logarithm",LN(0.001+'Advanced Entry'!Z122),IF('Advanced Entry'!Z$5="Exponential",EXP('Advanced Entry'!Z122),'Advanced Entry'!Z122)))-'Advanced Entry'!Z$6)/('Advanced Entry'!Z$7-'Advanced Entry'!Z$6),10*((IF('Advanced Entry'!Z$5="Logarithm",LN(0.001+'Advanced Entry'!Z122),IF('Advanced Entry'!Z$5="Exponential",EXP('Advanced Entry'!Z122),'Advanced Entry'!Z122)))-'Advanced Entry'!Z$6)/('Advanced Entry'!Z$7-'Advanced Entry'!Z$6)),1))),"No data"))</f>
        <v/>
      </c>
      <c r="AA122" s="17">
        <f>IF('Advanced Entry'!AA122="","",IFERROR(MAX(0,MIN(10,ROUND(IF('Advanced Entry'!AA$8="Decrease Risk",10-10*((IF('Advanced Entry'!AA$5="Logarithm",LN(0.001+'Advanced Entry'!AA122),IF('Advanced Entry'!AA$5="Exponential",EXP('Advanced Entry'!AA122),'Advanced Entry'!AA122)))-'Advanced Entry'!AA$6)/('Advanced Entry'!AA$7-'Advanced Entry'!AA$6),10*((IF('Advanced Entry'!AA$5="Logarithm",LN(0.001+'Advanced Entry'!AA122),IF('Advanced Entry'!AA$5="Exponential",EXP('Advanced Entry'!AA122),'Advanced Entry'!AA122)))-'Advanced Entry'!AA$6)/('Advanced Entry'!AA$7-'Advanced Entry'!AA$6)),1))),"No data"))</f>
        <v/>
      </c>
      <c r="AB122" s="17">
        <f>IF('Advanced Entry'!AB122="","",IFERROR(MAX(0,MIN(10,ROUND(IF('Advanced Entry'!AB$8="Decrease Risk",10-10*((IF('Advanced Entry'!AB$5="Logarithm",LN(0.001+'Advanced Entry'!AB122),IF('Advanced Entry'!AB$5="Exponential",EXP('Advanced Entry'!AB122),'Advanced Entry'!AB122)))-'Advanced Entry'!AB$6)/('Advanced Entry'!AB$7-'Advanced Entry'!AB$6),10*((IF('Advanced Entry'!AB$5="Logarithm",LN(0.001+'Advanced Entry'!AB122),IF('Advanced Entry'!AB$5="Exponential",EXP('Advanced Entry'!AB122),'Advanced Entry'!AB122)))-'Advanced Entry'!AB$6)/('Advanced Entry'!AB$7-'Advanced Entry'!AB$6)),1))),"No data"))</f>
        <v/>
      </c>
    </row>
    <row r="123">
      <c r="A123" t="inlineStr">
        <is>
          <t>Mtwara</t>
        </is>
      </c>
      <c r="B123" t="inlineStr">
        <is>
          <t>Nanyamba Town</t>
        </is>
      </c>
      <c r="C123" t="inlineStr">
        <is>
          <t>C064</t>
        </is>
      </c>
      <c r="D123" s="17">
        <f>IF('Advanced Entry'!D123="","",IFERROR(MAX(0,MIN(10,ROUND(IF('Advanced Entry'!D$8="Decrease Risk",10-10*((IF('Advanced Entry'!D$5="Logarithm",LN(0.001+'Advanced Entry'!D123),IF('Advanced Entry'!D$5="Exponential",EXP('Advanced Entry'!D123),'Advanced Entry'!D123)))-'Advanced Entry'!D$6)/('Advanced Entry'!D$7-'Advanced Entry'!D$6),10*((IF('Advanced Entry'!D$5="Logarithm",LN(0.001+'Advanced Entry'!D123),IF('Advanced Entry'!D$5="Exponential",EXP('Advanced Entry'!D123),'Advanced Entry'!D123)))-'Advanced Entry'!D$6)/('Advanced Entry'!D$7-'Advanced Entry'!D$6)),1))),"No data"))</f>
        <v/>
      </c>
      <c r="E123" s="17">
        <f>IF('Advanced Entry'!E123="","",IFERROR(MAX(0,MIN(10,ROUND(IF('Advanced Entry'!E$8="Decrease Risk",10-10*((IF('Advanced Entry'!E$5="Logarithm",LN(0.001+'Advanced Entry'!E123),IF('Advanced Entry'!E$5="Exponential",EXP('Advanced Entry'!E123),'Advanced Entry'!E123)))-'Advanced Entry'!E$6)/('Advanced Entry'!E$7-'Advanced Entry'!E$6),10*((IF('Advanced Entry'!E$5="Logarithm",LN(0.001+'Advanced Entry'!E123),IF('Advanced Entry'!E$5="Exponential",EXP('Advanced Entry'!E123),'Advanced Entry'!E123)))-'Advanced Entry'!E$6)/('Advanced Entry'!E$7-'Advanced Entry'!E$6)),1))),"No data"))</f>
        <v/>
      </c>
      <c r="F123" s="17">
        <f>IF('Advanced Entry'!F123="","",IFERROR(MAX(0,MIN(10,ROUND(IF('Advanced Entry'!F$8="Decrease Risk",10-10*((IF('Advanced Entry'!F$5="Logarithm",LN(0.001+'Advanced Entry'!F123),IF('Advanced Entry'!F$5="Exponential",EXP('Advanced Entry'!F123),'Advanced Entry'!F123)))-'Advanced Entry'!F$6)/('Advanced Entry'!F$7-'Advanced Entry'!F$6),10*((IF('Advanced Entry'!F$5="Logarithm",LN(0.001+'Advanced Entry'!F123),IF('Advanced Entry'!F$5="Exponential",EXP('Advanced Entry'!F123),'Advanced Entry'!F123)))-'Advanced Entry'!F$6)/('Advanced Entry'!F$7-'Advanced Entry'!F$6)),1))),"No data"))</f>
        <v/>
      </c>
      <c r="G123" s="17">
        <f>IF('Advanced Entry'!G123="","",IFERROR(MAX(0,MIN(10,ROUND(IF('Advanced Entry'!G$8="Decrease Risk",10-10*((IF('Advanced Entry'!G$5="Logarithm",LN(0.001+'Advanced Entry'!G123),IF('Advanced Entry'!G$5="Exponential",EXP('Advanced Entry'!G123),'Advanced Entry'!G123)))-'Advanced Entry'!G$6)/('Advanced Entry'!G$7-'Advanced Entry'!G$6),10*((IF('Advanced Entry'!G$5="Logarithm",LN(0.001+'Advanced Entry'!G123),IF('Advanced Entry'!G$5="Exponential",EXP('Advanced Entry'!G123),'Advanced Entry'!G123)))-'Advanced Entry'!G$6)/('Advanced Entry'!G$7-'Advanced Entry'!G$6)),1))),"No data"))</f>
        <v/>
      </c>
      <c r="H123" s="17">
        <f>IF('Advanced Entry'!H123="","",IFERROR(MAX(0,MIN(10,ROUND(IF('Advanced Entry'!H$8="Decrease Risk",10-10*((IF('Advanced Entry'!H$5="Logarithm",LN(0.001+'Advanced Entry'!H123),IF('Advanced Entry'!H$5="Exponential",EXP('Advanced Entry'!H123),'Advanced Entry'!H123)))-'Advanced Entry'!H$6)/('Advanced Entry'!H$7-'Advanced Entry'!H$6),10*((IF('Advanced Entry'!H$5="Logarithm",LN(0.001+'Advanced Entry'!H123),IF('Advanced Entry'!H$5="Exponential",EXP('Advanced Entry'!H123),'Advanced Entry'!H123)))-'Advanced Entry'!H$6)/('Advanced Entry'!H$7-'Advanced Entry'!H$6)),1))),"No data"))</f>
        <v/>
      </c>
      <c r="I123" s="17">
        <f>IF('Advanced Entry'!I123="","",IFERROR(MAX(0,MIN(10,ROUND(IF('Advanced Entry'!I$8="Decrease Risk",10-10*((IF('Advanced Entry'!I$5="Logarithm",LN(0.001+'Advanced Entry'!I123),IF('Advanced Entry'!I$5="Exponential",EXP('Advanced Entry'!I123),'Advanced Entry'!I123)))-'Advanced Entry'!I$6)/('Advanced Entry'!I$7-'Advanced Entry'!I$6),10*((IF('Advanced Entry'!I$5="Logarithm",LN(0.001+'Advanced Entry'!I123),IF('Advanced Entry'!I$5="Exponential",EXP('Advanced Entry'!I123),'Advanced Entry'!I123)))-'Advanced Entry'!I$6)/('Advanced Entry'!I$7-'Advanced Entry'!I$6)),1))),"No data"))</f>
        <v/>
      </c>
      <c r="J123" s="17">
        <f>IF('Advanced Entry'!J123="","",IFERROR(MAX(0,MIN(10,ROUND(IF('Advanced Entry'!J$8="Decrease Risk",10-10*((IF('Advanced Entry'!J$5="Logarithm",LN(0.001+'Advanced Entry'!J123),IF('Advanced Entry'!J$5="Exponential",EXP('Advanced Entry'!J123),'Advanced Entry'!J123)))-'Advanced Entry'!J$6)/('Advanced Entry'!J$7-'Advanced Entry'!J$6),10*((IF('Advanced Entry'!J$5="Logarithm",LN(0.001+'Advanced Entry'!J123),IF('Advanced Entry'!J$5="Exponential",EXP('Advanced Entry'!J123),'Advanced Entry'!J123)))-'Advanced Entry'!J$6)/('Advanced Entry'!J$7-'Advanced Entry'!J$6)),1))),"No data"))</f>
        <v/>
      </c>
      <c r="K123" s="17">
        <f>IF('Advanced Entry'!K123="","",IFERROR(MAX(0,MIN(10,ROUND(IF('Advanced Entry'!K$8="Decrease Risk",10-10*((IF('Advanced Entry'!K$5="Logarithm",LN(0.001+'Advanced Entry'!K123),IF('Advanced Entry'!K$5="Exponential",EXP('Advanced Entry'!K123),'Advanced Entry'!K123)))-'Advanced Entry'!K$6)/('Advanced Entry'!K$7-'Advanced Entry'!K$6),10*((IF('Advanced Entry'!K$5="Logarithm",LN(0.001+'Advanced Entry'!K123),IF('Advanced Entry'!K$5="Exponential",EXP('Advanced Entry'!K123),'Advanced Entry'!K123)))-'Advanced Entry'!K$6)/('Advanced Entry'!K$7-'Advanced Entry'!K$6)),1))),"No data"))</f>
        <v/>
      </c>
      <c r="L123" s="17">
        <f>IF('Advanced Entry'!L123="","",IFERROR(MAX(0,MIN(10,ROUND(IF('Advanced Entry'!L$8="Decrease Risk",10-10*((IF('Advanced Entry'!L$5="Logarithm",LN(0.001+'Advanced Entry'!L123),IF('Advanced Entry'!L$5="Exponential",EXP('Advanced Entry'!L123),'Advanced Entry'!L123)))-'Advanced Entry'!L$6)/('Advanced Entry'!L$7-'Advanced Entry'!L$6),10*((IF('Advanced Entry'!L$5="Logarithm",LN(0.001+'Advanced Entry'!L123),IF('Advanced Entry'!L$5="Exponential",EXP('Advanced Entry'!L123),'Advanced Entry'!L123)))-'Advanced Entry'!L$6)/('Advanced Entry'!L$7-'Advanced Entry'!L$6)),1))),"No data"))</f>
        <v/>
      </c>
      <c r="M123" s="17">
        <f>IF('Advanced Entry'!M123="","",IFERROR(MAX(0,MIN(10,ROUND(IF('Advanced Entry'!M$8="Decrease Risk",10-10*((IF('Advanced Entry'!M$5="Logarithm",LN(0.001+'Advanced Entry'!M123),IF('Advanced Entry'!M$5="Exponential",EXP('Advanced Entry'!M123),'Advanced Entry'!M123)))-'Advanced Entry'!M$6)/('Advanced Entry'!M$7-'Advanced Entry'!M$6),10*((IF('Advanced Entry'!M$5="Logarithm",LN(0.001+'Advanced Entry'!M123),IF('Advanced Entry'!M$5="Exponential",EXP('Advanced Entry'!M123),'Advanced Entry'!M123)))-'Advanced Entry'!M$6)/('Advanced Entry'!M$7-'Advanced Entry'!M$6)),1))),"No data"))</f>
        <v/>
      </c>
      <c r="N123" s="17">
        <f>IF('Advanced Entry'!N123="","",IFERROR(MAX(0,MIN(10,ROUND(IF('Advanced Entry'!N$8="Decrease Risk",10-10*((IF('Advanced Entry'!N$5="Logarithm",LN(0.001+'Advanced Entry'!N123),IF('Advanced Entry'!N$5="Exponential",EXP('Advanced Entry'!N123),'Advanced Entry'!N123)))-'Advanced Entry'!N$6)/('Advanced Entry'!N$7-'Advanced Entry'!N$6),10*((IF('Advanced Entry'!N$5="Logarithm",LN(0.001+'Advanced Entry'!N123),IF('Advanced Entry'!N$5="Exponential",EXP('Advanced Entry'!N123),'Advanced Entry'!N123)))-'Advanced Entry'!N$6)/('Advanced Entry'!N$7-'Advanced Entry'!N$6)),1))),"No data"))</f>
        <v/>
      </c>
      <c r="O123" s="17">
        <f>IF('Advanced Entry'!O123="","",IFERROR(MAX(0,MIN(10,ROUND(IF('Advanced Entry'!O$8="Decrease Risk",10-10*((IF('Advanced Entry'!O$5="Logarithm",LN(0.001+'Advanced Entry'!O123),IF('Advanced Entry'!O$5="Exponential",EXP('Advanced Entry'!O123),'Advanced Entry'!O123)))-'Advanced Entry'!O$6)/('Advanced Entry'!O$7-'Advanced Entry'!O$6),10*((IF('Advanced Entry'!O$5="Logarithm",LN(0.001+'Advanced Entry'!O123),IF('Advanced Entry'!O$5="Exponential",EXP('Advanced Entry'!O123),'Advanced Entry'!O123)))-'Advanced Entry'!O$6)/('Advanced Entry'!O$7-'Advanced Entry'!O$6)),1))),"No data"))</f>
        <v/>
      </c>
      <c r="P123" s="17">
        <f>IF('Advanced Entry'!P123="","",IFERROR(MAX(0,MIN(10,ROUND(IF('Advanced Entry'!P$8="Decrease Risk",10-10*((IF('Advanced Entry'!P$5="Logarithm",LN(0.001+'Advanced Entry'!P123),IF('Advanced Entry'!P$5="Exponential",EXP('Advanced Entry'!P123),'Advanced Entry'!P123)))-'Advanced Entry'!P$6)/('Advanced Entry'!P$7-'Advanced Entry'!P$6),10*((IF('Advanced Entry'!P$5="Logarithm",LN(0.001+'Advanced Entry'!P123),IF('Advanced Entry'!P$5="Exponential",EXP('Advanced Entry'!P123),'Advanced Entry'!P123)))-'Advanced Entry'!P$6)/('Advanced Entry'!P$7-'Advanced Entry'!P$6)),1))),"No data"))</f>
        <v/>
      </c>
      <c r="Q123" s="17">
        <f>IF('Advanced Entry'!Q123="","",IFERROR(MAX(0,MIN(10,ROUND(IF('Advanced Entry'!Q$8="Decrease Risk",10-10*((IF('Advanced Entry'!Q$5="Logarithm",LN(0.001+'Advanced Entry'!Q123),IF('Advanced Entry'!Q$5="Exponential",EXP('Advanced Entry'!Q123),'Advanced Entry'!Q123)))-'Advanced Entry'!Q$6)/('Advanced Entry'!Q$7-'Advanced Entry'!Q$6),10*((IF('Advanced Entry'!Q$5="Logarithm",LN(0.001+'Advanced Entry'!Q123),IF('Advanced Entry'!Q$5="Exponential",EXP('Advanced Entry'!Q123),'Advanced Entry'!Q123)))-'Advanced Entry'!Q$6)/('Advanced Entry'!Q$7-'Advanced Entry'!Q$6)),1))),"No data"))</f>
        <v/>
      </c>
      <c r="R123" s="17">
        <f>IF('Advanced Entry'!R123="","",IFERROR(MAX(0,MIN(10,ROUND(IF('Advanced Entry'!R$8="Decrease Risk",10-10*((IF('Advanced Entry'!R$5="Logarithm",LN(0.001+'Advanced Entry'!R123),IF('Advanced Entry'!R$5="Exponential",EXP('Advanced Entry'!R123),'Advanced Entry'!R123)))-'Advanced Entry'!R$6)/('Advanced Entry'!R$7-'Advanced Entry'!R$6),10*((IF('Advanced Entry'!R$5="Logarithm",LN(0.001+'Advanced Entry'!R123),IF('Advanced Entry'!R$5="Exponential",EXP('Advanced Entry'!R123),'Advanced Entry'!R123)))-'Advanced Entry'!R$6)/('Advanced Entry'!R$7-'Advanced Entry'!R$6)),1))),"No data"))</f>
        <v/>
      </c>
      <c r="S123" s="17">
        <f>IF('Advanced Entry'!S123="","",IFERROR(MAX(0,MIN(10,ROUND(IF('Advanced Entry'!S$8="Decrease Risk",10-10*((IF('Advanced Entry'!S$5="Logarithm",LN(0.001+'Advanced Entry'!S123),IF('Advanced Entry'!S$5="Exponential",EXP('Advanced Entry'!S123),'Advanced Entry'!S123)))-'Advanced Entry'!S$6)/('Advanced Entry'!S$7-'Advanced Entry'!S$6),10*((IF('Advanced Entry'!S$5="Logarithm",LN(0.001+'Advanced Entry'!S123),IF('Advanced Entry'!S$5="Exponential",EXP('Advanced Entry'!S123),'Advanced Entry'!S123)))-'Advanced Entry'!S$6)/('Advanced Entry'!S$7-'Advanced Entry'!S$6)),1))),"No data"))</f>
        <v/>
      </c>
      <c r="T123" s="17">
        <f>IF('Advanced Entry'!T123="","",IFERROR(MAX(0,MIN(10,ROUND(IF('Advanced Entry'!T$8="Decrease Risk",10-10*((IF('Advanced Entry'!T$5="Logarithm",LN(0.001+'Advanced Entry'!T123),IF('Advanced Entry'!T$5="Exponential",EXP('Advanced Entry'!T123),'Advanced Entry'!T123)))-'Advanced Entry'!T$6)/('Advanced Entry'!T$7-'Advanced Entry'!T$6),10*((IF('Advanced Entry'!T$5="Logarithm",LN(0.001+'Advanced Entry'!T123),IF('Advanced Entry'!T$5="Exponential",EXP('Advanced Entry'!T123),'Advanced Entry'!T123)))-'Advanced Entry'!T$6)/('Advanced Entry'!T$7-'Advanced Entry'!T$6)),1))),"No data"))</f>
        <v/>
      </c>
      <c r="U123" s="17">
        <f>IF('Advanced Entry'!U123="","",IFERROR(MAX(0,MIN(10,ROUND(IF('Advanced Entry'!U$8="Decrease Risk",10-10*((IF('Advanced Entry'!U$5="Logarithm",LN(0.001+'Advanced Entry'!U123),IF('Advanced Entry'!U$5="Exponential",EXP('Advanced Entry'!U123),'Advanced Entry'!U123)))-'Advanced Entry'!U$6)/('Advanced Entry'!U$7-'Advanced Entry'!U$6),10*((IF('Advanced Entry'!U$5="Logarithm",LN(0.001+'Advanced Entry'!U123),IF('Advanced Entry'!U$5="Exponential",EXP('Advanced Entry'!U123),'Advanced Entry'!U123)))-'Advanced Entry'!U$6)/('Advanced Entry'!U$7-'Advanced Entry'!U$6)),1))),"No data"))</f>
        <v/>
      </c>
      <c r="V123" s="17">
        <f>IF('Advanced Entry'!V123="","",IFERROR(MAX(0,MIN(10,ROUND(IF('Advanced Entry'!V$8="Decrease Risk",10-10*((IF('Advanced Entry'!V$5="Logarithm",LN(0.001+'Advanced Entry'!V123),IF('Advanced Entry'!V$5="Exponential",EXP('Advanced Entry'!V123),'Advanced Entry'!V123)))-'Advanced Entry'!V$6)/('Advanced Entry'!V$7-'Advanced Entry'!V$6),10*((IF('Advanced Entry'!V$5="Logarithm",LN(0.001+'Advanced Entry'!V123),IF('Advanced Entry'!V$5="Exponential",EXP('Advanced Entry'!V123),'Advanced Entry'!V123)))-'Advanced Entry'!V$6)/('Advanced Entry'!V$7-'Advanced Entry'!V$6)),1))),"No data"))</f>
        <v/>
      </c>
      <c r="W123" s="17">
        <f>IF('Advanced Entry'!W123="","",IFERROR(MAX(0,MIN(10,ROUND(IF('Advanced Entry'!W$8="Decrease Risk",10-10*((IF('Advanced Entry'!W$5="Logarithm",LN(0.001+'Advanced Entry'!W123),IF('Advanced Entry'!W$5="Exponential",EXP('Advanced Entry'!W123),'Advanced Entry'!W123)))-'Advanced Entry'!W$6)/('Advanced Entry'!W$7-'Advanced Entry'!W$6),10*((IF('Advanced Entry'!W$5="Logarithm",LN(0.001+'Advanced Entry'!W123),IF('Advanced Entry'!W$5="Exponential",EXP('Advanced Entry'!W123),'Advanced Entry'!W123)))-'Advanced Entry'!W$6)/('Advanced Entry'!W$7-'Advanced Entry'!W$6)),1))),"No data"))</f>
        <v/>
      </c>
      <c r="X123" s="17">
        <f>IF('Advanced Entry'!X123="","",IFERROR(MAX(0,MIN(10,ROUND(IF('Advanced Entry'!X$8="Decrease Risk",10-10*((IF('Advanced Entry'!X$5="Logarithm",LN(0.001+'Advanced Entry'!X123),IF('Advanced Entry'!X$5="Exponential",EXP('Advanced Entry'!X123),'Advanced Entry'!X123)))-'Advanced Entry'!X$6)/('Advanced Entry'!X$7-'Advanced Entry'!X$6),10*((IF('Advanced Entry'!X$5="Logarithm",LN(0.001+'Advanced Entry'!X123),IF('Advanced Entry'!X$5="Exponential",EXP('Advanced Entry'!X123),'Advanced Entry'!X123)))-'Advanced Entry'!X$6)/('Advanced Entry'!X$7-'Advanced Entry'!X$6)),1))),"No data"))</f>
        <v/>
      </c>
      <c r="Y123" s="17">
        <f>IF('Advanced Entry'!Y123="","",IFERROR(MAX(0,MIN(10,ROUND(IF('Advanced Entry'!Y$8="Decrease Risk",10-10*((IF('Advanced Entry'!Y$5="Logarithm",LN(0.001+'Advanced Entry'!Y123),IF('Advanced Entry'!Y$5="Exponential",EXP('Advanced Entry'!Y123),'Advanced Entry'!Y123)))-'Advanced Entry'!Y$6)/('Advanced Entry'!Y$7-'Advanced Entry'!Y$6),10*((IF('Advanced Entry'!Y$5="Logarithm",LN(0.001+'Advanced Entry'!Y123),IF('Advanced Entry'!Y$5="Exponential",EXP('Advanced Entry'!Y123),'Advanced Entry'!Y123)))-'Advanced Entry'!Y$6)/('Advanced Entry'!Y$7-'Advanced Entry'!Y$6)),1))),"No data"))</f>
        <v/>
      </c>
      <c r="Z123" s="17">
        <f>IF('Advanced Entry'!Z123="","",IFERROR(MAX(0,MIN(10,ROUND(IF('Advanced Entry'!Z$8="Decrease Risk",10-10*((IF('Advanced Entry'!Z$5="Logarithm",LN(0.001+'Advanced Entry'!Z123),IF('Advanced Entry'!Z$5="Exponential",EXP('Advanced Entry'!Z123),'Advanced Entry'!Z123)))-'Advanced Entry'!Z$6)/('Advanced Entry'!Z$7-'Advanced Entry'!Z$6),10*((IF('Advanced Entry'!Z$5="Logarithm",LN(0.001+'Advanced Entry'!Z123),IF('Advanced Entry'!Z$5="Exponential",EXP('Advanced Entry'!Z123),'Advanced Entry'!Z123)))-'Advanced Entry'!Z$6)/('Advanced Entry'!Z$7-'Advanced Entry'!Z$6)),1))),"No data"))</f>
        <v/>
      </c>
      <c r="AA123" s="17">
        <f>IF('Advanced Entry'!AA123="","",IFERROR(MAX(0,MIN(10,ROUND(IF('Advanced Entry'!AA$8="Decrease Risk",10-10*((IF('Advanced Entry'!AA$5="Logarithm",LN(0.001+'Advanced Entry'!AA123),IF('Advanced Entry'!AA$5="Exponential",EXP('Advanced Entry'!AA123),'Advanced Entry'!AA123)))-'Advanced Entry'!AA$6)/('Advanced Entry'!AA$7-'Advanced Entry'!AA$6),10*((IF('Advanced Entry'!AA$5="Logarithm",LN(0.001+'Advanced Entry'!AA123),IF('Advanced Entry'!AA$5="Exponential",EXP('Advanced Entry'!AA123),'Advanced Entry'!AA123)))-'Advanced Entry'!AA$6)/('Advanced Entry'!AA$7-'Advanced Entry'!AA$6)),1))),"No data"))</f>
        <v/>
      </c>
      <c r="AB123" s="17">
        <f>IF('Advanced Entry'!AB123="","",IFERROR(MAX(0,MIN(10,ROUND(IF('Advanced Entry'!AB$8="Decrease Risk",10-10*((IF('Advanced Entry'!AB$5="Logarithm",LN(0.001+'Advanced Entry'!AB123),IF('Advanced Entry'!AB$5="Exponential",EXP('Advanced Entry'!AB123),'Advanced Entry'!AB123)))-'Advanced Entry'!AB$6)/('Advanced Entry'!AB$7-'Advanced Entry'!AB$6),10*((IF('Advanced Entry'!AB$5="Logarithm",LN(0.001+'Advanced Entry'!AB123),IF('Advanced Entry'!AB$5="Exponential",EXP('Advanced Entry'!AB123),'Advanced Entry'!AB123)))-'Advanced Entry'!AB$6)/('Advanced Entry'!AB$7-'Advanced Entry'!AB$6)),1))),"No data"))</f>
        <v/>
      </c>
    </row>
    <row r="124">
      <c r="A124" t="inlineStr">
        <is>
          <t>Mtwara</t>
        </is>
      </c>
      <c r="B124" t="inlineStr">
        <is>
          <t>Nanyumbu District</t>
        </is>
      </c>
      <c r="C124" t="inlineStr">
        <is>
          <t>C071</t>
        </is>
      </c>
      <c r="D124" s="17">
        <f>IF('Advanced Entry'!D124="","",IFERROR(MAX(0,MIN(10,ROUND(IF('Advanced Entry'!D$8="Decrease Risk",10-10*((IF('Advanced Entry'!D$5="Logarithm",LN(0.001+'Advanced Entry'!D124),IF('Advanced Entry'!D$5="Exponential",EXP('Advanced Entry'!D124),'Advanced Entry'!D124)))-'Advanced Entry'!D$6)/('Advanced Entry'!D$7-'Advanced Entry'!D$6),10*((IF('Advanced Entry'!D$5="Logarithm",LN(0.001+'Advanced Entry'!D124),IF('Advanced Entry'!D$5="Exponential",EXP('Advanced Entry'!D124),'Advanced Entry'!D124)))-'Advanced Entry'!D$6)/('Advanced Entry'!D$7-'Advanced Entry'!D$6)),1))),"No data"))</f>
        <v/>
      </c>
      <c r="E124" s="17">
        <f>IF('Advanced Entry'!E124="","",IFERROR(MAX(0,MIN(10,ROUND(IF('Advanced Entry'!E$8="Decrease Risk",10-10*((IF('Advanced Entry'!E$5="Logarithm",LN(0.001+'Advanced Entry'!E124),IF('Advanced Entry'!E$5="Exponential",EXP('Advanced Entry'!E124),'Advanced Entry'!E124)))-'Advanced Entry'!E$6)/('Advanced Entry'!E$7-'Advanced Entry'!E$6),10*((IF('Advanced Entry'!E$5="Logarithm",LN(0.001+'Advanced Entry'!E124),IF('Advanced Entry'!E$5="Exponential",EXP('Advanced Entry'!E124),'Advanced Entry'!E124)))-'Advanced Entry'!E$6)/('Advanced Entry'!E$7-'Advanced Entry'!E$6)),1))),"No data"))</f>
        <v/>
      </c>
      <c r="F124" s="17">
        <f>IF('Advanced Entry'!F124="","",IFERROR(MAX(0,MIN(10,ROUND(IF('Advanced Entry'!F$8="Decrease Risk",10-10*((IF('Advanced Entry'!F$5="Logarithm",LN(0.001+'Advanced Entry'!F124),IF('Advanced Entry'!F$5="Exponential",EXP('Advanced Entry'!F124),'Advanced Entry'!F124)))-'Advanced Entry'!F$6)/('Advanced Entry'!F$7-'Advanced Entry'!F$6),10*((IF('Advanced Entry'!F$5="Logarithm",LN(0.001+'Advanced Entry'!F124),IF('Advanced Entry'!F$5="Exponential",EXP('Advanced Entry'!F124),'Advanced Entry'!F124)))-'Advanced Entry'!F$6)/('Advanced Entry'!F$7-'Advanced Entry'!F$6)),1))),"No data"))</f>
        <v/>
      </c>
      <c r="G124" s="17">
        <f>IF('Advanced Entry'!G124="","",IFERROR(MAX(0,MIN(10,ROUND(IF('Advanced Entry'!G$8="Decrease Risk",10-10*((IF('Advanced Entry'!G$5="Logarithm",LN(0.001+'Advanced Entry'!G124),IF('Advanced Entry'!G$5="Exponential",EXP('Advanced Entry'!G124),'Advanced Entry'!G124)))-'Advanced Entry'!G$6)/('Advanced Entry'!G$7-'Advanced Entry'!G$6),10*((IF('Advanced Entry'!G$5="Logarithm",LN(0.001+'Advanced Entry'!G124),IF('Advanced Entry'!G$5="Exponential",EXP('Advanced Entry'!G124),'Advanced Entry'!G124)))-'Advanced Entry'!G$6)/('Advanced Entry'!G$7-'Advanced Entry'!G$6)),1))),"No data"))</f>
        <v/>
      </c>
      <c r="H124" s="17">
        <f>IF('Advanced Entry'!H124="","",IFERROR(MAX(0,MIN(10,ROUND(IF('Advanced Entry'!H$8="Decrease Risk",10-10*((IF('Advanced Entry'!H$5="Logarithm",LN(0.001+'Advanced Entry'!H124),IF('Advanced Entry'!H$5="Exponential",EXP('Advanced Entry'!H124),'Advanced Entry'!H124)))-'Advanced Entry'!H$6)/('Advanced Entry'!H$7-'Advanced Entry'!H$6),10*((IF('Advanced Entry'!H$5="Logarithm",LN(0.001+'Advanced Entry'!H124),IF('Advanced Entry'!H$5="Exponential",EXP('Advanced Entry'!H124),'Advanced Entry'!H124)))-'Advanced Entry'!H$6)/('Advanced Entry'!H$7-'Advanced Entry'!H$6)),1))),"No data"))</f>
        <v/>
      </c>
      <c r="I124" s="17">
        <f>IF('Advanced Entry'!I124="","",IFERROR(MAX(0,MIN(10,ROUND(IF('Advanced Entry'!I$8="Decrease Risk",10-10*((IF('Advanced Entry'!I$5="Logarithm",LN(0.001+'Advanced Entry'!I124),IF('Advanced Entry'!I$5="Exponential",EXP('Advanced Entry'!I124),'Advanced Entry'!I124)))-'Advanced Entry'!I$6)/('Advanced Entry'!I$7-'Advanced Entry'!I$6),10*((IF('Advanced Entry'!I$5="Logarithm",LN(0.001+'Advanced Entry'!I124),IF('Advanced Entry'!I$5="Exponential",EXP('Advanced Entry'!I124),'Advanced Entry'!I124)))-'Advanced Entry'!I$6)/('Advanced Entry'!I$7-'Advanced Entry'!I$6)),1))),"No data"))</f>
        <v/>
      </c>
      <c r="J124" s="17">
        <f>IF('Advanced Entry'!J124="","",IFERROR(MAX(0,MIN(10,ROUND(IF('Advanced Entry'!J$8="Decrease Risk",10-10*((IF('Advanced Entry'!J$5="Logarithm",LN(0.001+'Advanced Entry'!J124),IF('Advanced Entry'!J$5="Exponential",EXP('Advanced Entry'!J124),'Advanced Entry'!J124)))-'Advanced Entry'!J$6)/('Advanced Entry'!J$7-'Advanced Entry'!J$6),10*((IF('Advanced Entry'!J$5="Logarithm",LN(0.001+'Advanced Entry'!J124),IF('Advanced Entry'!J$5="Exponential",EXP('Advanced Entry'!J124),'Advanced Entry'!J124)))-'Advanced Entry'!J$6)/('Advanced Entry'!J$7-'Advanced Entry'!J$6)),1))),"No data"))</f>
        <v/>
      </c>
      <c r="K124" s="17">
        <f>IF('Advanced Entry'!K124="","",IFERROR(MAX(0,MIN(10,ROUND(IF('Advanced Entry'!K$8="Decrease Risk",10-10*((IF('Advanced Entry'!K$5="Logarithm",LN(0.001+'Advanced Entry'!K124),IF('Advanced Entry'!K$5="Exponential",EXP('Advanced Entry'!K124),'Advanced Entry'!K124)))-'Advanced Entry'!K$6)/('Advanced Entry'!K$7-'Advanced Entry'!K$6),10*((IF('Advanced Entry'!K$5="Logarithm",LN(0.001+'Advanced Entry'!K124),IF('Advanced Entry'!K$5="Exponential",EXP('Advanced Entry'!K124),'Advanced Entry'!K124)))-'Advanced Entry'!K$6)/('Advanced Entry'!K$7-'Advanced Entry'!K$6)),1))),"No data"))</f>
        <v/>
      </c>
      <c r="L124" s="17">
        <f>IF('Advanced Entry'!L124="","",IFERROR(MAX(0,MIN(10,ROUND(IF('Advanced Entry'!L$8="Decrease Risk",10-10*((IF('Advanced Entry'!L$5="Logarithm",LN(0.001+'Advanced Entry'!L124),IF('Advanced Entry'!L$5="Exponential",EXP('Advanced Entry'!L124),'Advanced Entry'!L124)))-'Advanced Entry'!L$6)/('Advanced Entry'!L$7-'Advanced Entry'!L$6),10*((IF('Advanced Entry'!L$5="Logarithm",LN(0.001+'Advanced Entry'!L124),IF('Advanced Entry'!L$5="Exponential",EXP('Advanced Entry'!L124),'Advanced Entry'!L124)))-'Advanced Entry'!L$6)/('Advanced Entry'!L$7-'Advanced Entry'!L$6)),1))),"No data"))</f>
        <v/>
      </c>
      <c r="M124" s="17">
        <f>IF('Advanced Entry'!M124="","",IFERROR(MAX(0,MIN(10,ROUND(IF('Advanced Entry'!M$8="Decrease Risk",10-10*((IF('Advanced Entry'!M$5="Logarithm",LN(0.001+'Advanced Entry'!M124),IF('Advanced Entry'!M$5="Exponential",EXP('Advanced Entry'!M124),'Advanced Entry'!M124)))-'Advanced Entry'!M$6)/('Advanced Entry'!M$7-'Advanced Entry'!M$6),10*((IF('Advanced Entry'!M$5="Logarithm",LN(0.001+'Advanced Entry'!M124),IF('Advanced Entry'!M$5="Exponential",EXP('Advanced Entry'!M124),'Advanced Entry'!M124)))-'Advanced Entry'!M$6)/('Advanced Entry'!M$7-'Advanced Entry'!M$6)),1))),"No data"))</f>
        <v/>
      </c>
      <c r="N124" s="17">
        <f>IF('Advanced Entry'!N124="","",IFERROR(MAX(0,MIN(10,ROUND(IF('Advanced Entry'!N$8="Decrease Risk",10-10*((IF('Advanced Entry'!N$5="Logarithm",LN(0.001+'Advanced Entry'!N124),IF('Advanced Entry'!N$5="Exponential",EXP('Advanced Entry'!N124),'Advanced Entry'!N124)))-'Advanced Entry'!N$6)/('Advanced Entry'!N$7-'Advanced Entry'!N$6),10*((IF('Advanced Entry'!N$5="Logarithm",LN(0.001+'Advanced Entry'!N124),IF('Advanced Entry'!N$5="Exponential",EXP('Advanced Entry'!N124),'Advanced Entry'!N124)))-'Advanced Entry'!N$6)/('Advanced Entry'!N$7-'Advanced Entry'!N$6)),1))),"No data"))</f>
        <v/>
      </c>
      <c r="O124" s="17">
        <f>IF('Advanced Entry'!O124="","",IFERROR(MAX(0,MIN(10,ROUND(IF('Advanced Entry'!O$8="Decrease Risk",10-10*((IF('Advanced Entry'!O$5="Logarithm",LN(0.001+'Advanced Entry'!O124),IF('Advanced Entry'!O$5="Exponential",EXP('Advanced Entry'!O124),'Advanced Entry'!O124)))-'Advanced Entry'!O$6)/('Advanced Entry'!O$7-'Advanced Entry'!O$6),10*((IF('Advanced Entry'!O$5="Logarithm",LN(0.001+'Advanced Entry'!O124),IF('Advanced Entry'!O$5="Exponential",EXP('Advanced Entry'!O124),'Advanced Entry'!O124)))-'Advanced Entry'!O$6)/('Advanced Entry'!O$7-'Advanced Entry'!O$6)),1))),"No data"))</f>
        <v/>
      </c>
      <c r="P124" s="17">
        <f>IF('Advanced Entry'!P124="","",IFERROR(MAX(0,MIN(10,ROUND(IF('Advanced Entry'!P$8="Decrease Risk",10-10*((IF('Advanced Entry'!P$5="Logarithm",LN(0.001+'Advanced Entry'!P124),IF('Advanced Entry'!P$5="Exponential",EXP('Advanced Entry'!P124),'Advanced Entry'!P124)))-'Advanced Entry'!P$6)/('Advanced Entry'!P$7-'Advanced Entry'!P$6),10*((IF('Advanced Entry'!P$5="Logarithm",LN(0.001+'Advanced Entry'!P124),IF('Advanced Entry'!P$5="Exponential",EXP('Advanced Entry'!P124),'Advanced Entry'!P124)))-'Advanced Entry'!P$6)/('Advanced Entry'!P$7-'Advanced Entry'!P$6)),1))),"No data"))</f>
        <v/>
      </c>
      <c r="Q124" s="17">
        <f>IF('Advanced Entry'!Q124="","",IFERROR(MAX(0,MIN(10,ROUND(IF('Advanced Entry'!Q$8="Decrease Risk",10-10*((IF('Advanced Entry'!Q$5="Logarithm",LN(0.001+'Advanced Entry'!Q124),IF('Advanced Entry'!Q$5="Exponential",EXP('Advanced Entry'!Q124),'Advanced Entry'!Q124)))-'Advanced Entry'!Q$6)/('Advanced Entry'!Q$7-'Advanced Entry'!Q$6),10*((IF('Advanced Entry'!Q$5="Logarithm",LN(0.001+'Advanced Entry'!Q124),IF('Advanced Entry'!Q$5="Exponential",EXP('Advanced Entry'!Q124),'Advanced Entry'!Q124)))-'Advanced Entry'!Q$6)/('Advanced Entry'!Q$7-'Advanced Entry'!Q$6)),1))),"No data"))</f>
        <v/>
      </c>
      <c r="R124" s="17">
        <f>IF('Advanced Entry'!R124="","",IFERROR(MAX(0,MIN(10,ROUND(IF('Advanced Entry'!R$8="Decrease Risk",10-10*((IF('Advanced Entry'!R$5="Logarithm",LN(0.001+'Advanced Entry'!R124),IF('Advanced Entry'!R$5="Exponential",EXP('Advanced Entry'!R124),'Advanced Entry'!R124)))-'Advanced Entry'!R$6)/('Advanced Entry'!R$7-'Advanced Entry'!R$6),10*((IF('Advanced Entry'!R$5="Logarithm",LN(0.001+'Advanced Entry'!R124),IF('Advanced Entry'!R$5="Exponential",EXP('Advanced Entry'!R124),'Advanced Entry'!R124)))-'Advanced Entry'!R$6)/('Advanced Entry'!R$7-'Advanced Entry'!R$6)),1))),"No data"))</f>
        <v/>
      </c>
      <c r="S124" s="17">
        <f>IF('Advanced Entry'!S124="","",IFERROR(MAX(0,MIN(10,ROUND(IF('Advanced Entry'!S$8="Decrease Risk",10-10*((IF('Advanced Entry'!S$5="Logarithm",LN(0.001+'Advanced Entry'!S124),IF('Advanced Entry'!S$5="Exponential",EXP('Advanced Entry'!S124),'Advanced Entry'!S124)))-'Advanced Entry'!S$6)/('Advanced Entry'!S$7-'Advanced Entry'!S$6),10*((IF('Advanced Entry'!S$5="Logarithm",LN(0.001+'Advanced Entry'!S124),IF('Advanced Entry'!S$5="Exponential",EXP('Advanced Entry'!S124),'Advanced Entry'!S124)))-'Advanced Entry'!S$6)/('Advanced Entry'!S$7-'Advanced Entry'!S$6)),1))),"No data"))</f>
        <v/>
      </c>
      <c r="T124" s="17">
        <f>IF('Advanced Entry'!T124="","",IFERROR(MAX(0,MIN(10,ROUND(IF('Advanced Entry'!T$8="Decrease Risk",10-10*((IF('Advanced Entry'!T$5="Logarithm",LN(0.001+'Advanced Entry'!T124),IF('Advanced Entry'!T$5="Exponential",EXP('Advanced Entry'!T124),'Advanced Entry'!T124)))-'Advanced Entry'!T$6)/('Advanced Entry'!T$7-'Advanced Entry'!T$6),10*((IF('Advanced Entry'!T$5="Logarithm",LN(0.001+'Advanced Entry'!T124),IF('Advanced Entry'!T$5="Exponential",EXP('Advanced Entry'!T124),'Advanced Entry'!T124)))-'Advanced Entry'!T$6)/('Advanced Entry'!T$7-'Advanced Entry'!T$6)),1))),"No data"))</f>
        <v/>
      </c>
      <c r="U124" s="17">
        <f>IF('Advanced Entry'!U124="","",IFERROR(MAX(0,MIN(10,ROUND(IF('Advanced Entry'!U$8="Decrease Risk",10-10*((IF('Advanced Entry'!U$5="Logarithm",LN(0.001+'Advanced Entry'!U124),IF('Advanced Entry'!U$5="Exponential",EXP('Advanced Entry'!U124),'Advanced Entry'!U124)))-'Advanced Entry'!U$6)/('Advanced Entry'!U$7-'Advanced Entry'!U$6),10*((IF('Advanced Entry'!U$5="Logarithm",LN(0.001+'Advanced Entry'!U124),IF('Advanced Entry'!U$5="Exponential",EXP('Advanced Entry'!U124),'Advanced Entry'!U124)))-'Advanced Entry'!U$6)/('Advanced Entry'!U$7-'Advanced Entry'!U$6)),1))),"No data"))</f>
        <v/>
      </c>
      <c r="V124" s="17">
        <f>IF('Advanced Entry'!V124="","",IFERROR(MAX(0,MIN(10,ROUND(IF('Advanced Entry'!V$8="Decrease Risk",10-10*((IF('Advanced Entry'!V$5="Logarithm",LN(0.001+'Advanced Entry'!V124),IF('Advanced Entry'!V$5="Exponential",EXP('Advanced Entry'!V124),'Advanced Entry'!V124)))-'Advanced Entry'!V$6)/('Advanced Entry'!V$7-'Advanced Entry'!V$6),10*((IF('Advanced Entry'!V$5="Logarithm",LN(0.001+'Advanced Entry'!V124),IF('Advanced Entry'!V$5="Exponential",EXP('Advanced Entry'!V124),'Advanced Entry'!V124)))-'Advanced Entry'!V$6)/('Advanced Entry'!V$7-'Advanced Entry'!V$6)),1))),"No data"))</f>
        <v/>
      </c>
      <c r="W124" s="17">
        <f>IF('Advanced Entry'!W124="","",IFERROR(MAX(0,MIN(10,ROUND(IF('Advanced Entry'!W$8="Decrease Risk",10-10*((IF('Advanced Entry'!W$5="Logarithm",LN(0.001+'Advanced Entry'!W124),IF('Advanced Entry'!W$5="Exponential",EXP('Advanced Entry'!W124),'Advanced Entry'!W124)))-'Advanced Entry'!W$6)/('Advanced Entry'!W$7-'Advanced Entry'!W$6),10*((IF('Advanced Entry'!W$5="Logarithm",LN(0.001+'Advanced Entry'!W124),IF('Advanced Entry'!W$5="Exponential",EXP('Advanced Entry'!W124),'Advanced Entry'!W124)))-'Advanced Entry'!W$6)/('Advanced Entry'!W$7-'Advanced Entry'!W$6)),1))),"No data"))</f>
        <v/>
      </c>
      <c r="X124" s="17">
        <f>IF('Advanced Entry'!X124="","",IFERROR(MAX(0,MIN(10,ROUND(IF('Advanced Entry'!X$8="Decrease Risk",10-10*((IF('Advanced Entry'!X$5="Logarithm",LN(0.001+'Advanced Entry'!X124),IF('Advanced Entry'!X$5="Exponential",EXP('Advanced Entry'!X124),'Advanced Entry'!X124)))-'Advanced Entry'!X$6)/('Advanced Entry'!X$7-'Advanced Entry'!X$6),10*((IF('Advanced Entry'!X$5="Logarithm",LN(0.001+'Advanced Entry'!X124),IF('Advanced Entry'!X$5="Exponential",EXP('Advanced Entry'!X124),'Advanced Entry'!X124)))-'Advanced Entry'!X$6)/('Advanced Entry'!X$7-'Advanced Entry'!X$6)),1))),"No data"))</f>
        <v/>
      </c>
      <c r="Y124" s="17">
        <f>IF('Advanced Entry'!Y124="","",IFERROR(MAX(0,MIN(10,ROUND(IF('Advanced Entry'!Y$8="Decrease Risk",10-10*((IF('Advanced Entry'!Y$5="Logarithm",LN(0.001+'Advanced Entry'!Y124),IF('Advanced Entry'!Y$5="Exponential",EXP('Advanced Entry'!Y124),'Advanced Entry'!Y124)))-'Advanced Entry'!Y$6)/('Advanced Entry'!Y$7-'Advanced Entry'!Y$6),10*((IF('Advanced Entry'!Y$5="Logarithm",LN(0.001+'Advanced Entry'!Y124),IF('Advanced Entry'!Y$5="Exponential",EXP('Advanced Entry'!Y124),'Advanced Entry'!Y124)))-'Advanced Entry'!Y$6)/('Advanced Entry'!Y$7-'Advanced Entry'!Y$6)),1))),"No data"))</f>
        <v/>
      </c>
      <c r="Z124" s="17">
        <f>IF('Advanced Entry'!Z124="","",IFERROR(MAX(0,MIN(10,ROUND(IF('Advanced Entry'!Z$8="Decrease Risk",10-10*((IF('Advanced Entry'!Z$5="Logarithm",LN(0.001+'Advanced Entry'!Z124),IF('Advanced Entry'!Z$5="Exponential",EXP('Advanced Entry'!Z124),'Advanced Entry'!Z124)))-'Advanced Entry'!Z$6)/('Advanced Entry'!Z$7-'Advanced Entry'!Z$6),10*((IF('Advanced Entry'!Z$5="Logarithm",LN(0.001+'Advanced Entry'!Z124),IF('Advanced Entry'!Z$5="Exponential",EXP('Advanced Entry'!Z124),'Advanced Entry'!Z124)))-'Advanced Entry'!Z$6)/('Advanced Entry'!Z$7-'Advanced Entry'!Z$6)),1))),"No data"))</f>
        <v/>
      </c>
      <c r="AA124" s="17">
        <f>IF('Advanced Entry'!AA124="","",IFERROR(MAX(0,MIN(10,ROUND(IF('Advanced Entry'!AA$8="Decrease Risk",10-10*((IF('Advanced Entry'!AA$5="Logarithm",LN(0.001+'Advanced Entry'!AA124),IF('Advanced Entry'!AA$5="Exponential",EXP('Advanced Entry'!AA124),'Advanced Entry'!AA124)))-'Advanced Entry'!AA$6)/('Advanced Entry'!AA$7-'Advanced Entry'!AA$6),10*((IF('Advanced Entry'!AA$5="Logarithm",LN(0.001+'Advanced Entry'!AA124),IF('Advanced Entry'!AA$5="Exponential",EXP('Advanced Entry'!AA124),'Advanced Entry'!AA124)))-'Advanced Entry'!AA$6)/('Advanced Entry'!AA$7-'Advanced Entry'!AA$6)),1))),"No data"))</f>
        <v/>
      </c>
      <c r="AB124" s="17">
        <f>IF('Advanced Entry'!AB124="","",IFERROR(MAX(0,MIN(10,ROUND(IF('Advanced Entry'!AB$8="Decrease Risk",10-10*((IF('Advanced Entry'!AB$5="Logarithm",LN(0.001+'Advanced Entry'!AB124),IF('Advanced Entry'!AB$5="Exponential",EXP('Advanced Entry'!AB124),'Advanced Entry'!AB124)))-'Advanced Entry'!AB$6)/('Advanced Entry'!AB$7-'Advanced Entry'!AB$6),10*((IF('Advanced Entry'!AB$5="Logarithm",LN(0.001+'Advanced Entry'!AB124),IF('Advanced Entry'!AB$5="Exponential",EXP('Advanced Entry'!AB124),'Advanced Entry'!AB124)))-'Advanced Entry'!AB$6)/('Advanced Entry'!AB$7-'Advanced Entry'!AB$6)),1))),"No data"))</f>
        <v/>
      </c>
    </row>
    <row r="125">
      <c r="A125" t="inlineStr">
        <is>
          <t>Mtwara</t>
        </is>
      </c>
      <c r="B125" t="inlineStr">
        <is>
          <t>Newala District</t>
        </is>
      </c>
      <c r="C125" t="inlineStr">
        <is>
          <t>C066</t>
        </is>
      </c>
      <c r="D125" s="17">
        <f>IF('Advanced Entry'!D125="","",IFERROR(MAX(0,MIN(10,ROUND(IF('Advanced Entry'!D$8="Decrease Risk",10-10*((IF('Advanced Entry'!D$5="Logarithm",LN(0.001+'Advanced Entry'!D125),IF('Advanced Entry'!D$5="Exponential",EXP('Advanced Entry'!D125),'Advanced Entry'!D125)))-'Advanced Entry'!D$6)/('Advanced Entry'!D$7-'Advanced Entry'!D$6),10*((IF('Advanced Entry'!D$5="Logarithm",LN(0.001+'Advanced Entry'!D125),IF('Advanced Entry'!D$5="Exponential",EXP('Advanced Entry'!D125),'Advanced Entry'!D125)))-'Advanced Entry'!D$6)/('Advanced Entry'!D$7-'Advanced Entry'!D$6)),1))),"No data"))</f>
        <v/>
      </c>
      <c r="E125" s="17">
        <f>IF('Advanced Entry'!E125="","",IFERROR(MAX(0,MIN(10,ROUND(IF('Advanced Entry'!E$8="Decrease Risk",10-10*((IF('Advanced Entry'!E$5="Logarithm",LN(0.001+'Advanced Entry'!E125),IF('Advanced Entry'!E$5="Exponential",EXP('Advanced Entry'!E125),'Advanced Entry'!E125)))-'Advanced Entry'!E$6)/('Advanced Entry'!E$7-'Advanced Entry'!E$6),10*((IF('Advanced Entry'!E$5="Logarithm",LN(0.001+'Advanced Entry'!E125),IF('Advanced Entry'!E$5="Exponential",EXP('Advanced Entry'!E125),'Advanced Entry'!E125)))-'Advanced Entry'!E$6)/('Advanced Entry'!E$7-'Advanced Entry'!E$6)),1))),"No data"))</f>
        <v/>
      </c>
      <c r="F125" s="17">
        <f>IF('Advanced Entry'!F125="","",IFERROR(MAX(0,MIN(10,ROUND(IF('Advanced Entry'!F$8="Decrease Risk",10-10*((IF('Advanced Entry'!F$5="Logarithm",LN(0.001+'Advanced Entry'!F125),IF('Advanced Entry'!F$5="Exponential",EXP('Advanced Entry'!F125),'Advanced Entry'!F125)))-'Advanced Entry'!F$6)/('Advanced Entry'!F$7-'Advanced Entry'!F$6),10*((IF('Advanced Entry'!F$5="Logarithm",LN(0.001+'Advanced Entry'!F125),IF('Advanced Entry'!F$5="Exponential",EXP('Advanced Entry'!F125),'Advanced Entry'!F125)))-'Advanced Entry'!F$6)/('Advanced Entry'!F$7-'Advanced Entry'!F$6)),1))),"No data"))</f>
        <v/>
      </c>
      <c r="G125" s="17">
        <f>IF('Advanced Entry'!G125="","",IFERROR(MAX(0,MIN(10,ROUND(IF('Advanced Entry'!G$8="Decrease Risk",10-10*((IF('Advanced Entry'!G$5="Logarithm",LN(0.001+'Advanced Entry'!G125),IF('Advanced Entry'!G$5="Exponential",EXP('Advanced Entry'!G125),'Advanced Entry'!G125)))-'Advanced Entry'!G$6)/('Advanced Entry'!G$7-'Advanced Entry'!G$6),10*((IF('Advanced Entry'!G$5="Logarithm",LN(0.001+'Advanced Entry'!G125),IF('Advanced Entry'!G$5="Exponential",EXP('Advanced Entry'!G125),'Advanced Entry'!G125)))-'Advanced Entry'!G$6)/('Advanced Entry'!G$7-'Advanced Entry'!G$6)),1))),"No data"))</f>
        <v/>
      </c>
      <c r="H125" s="17">
        <f>IF('Advanced Entry'!H125="","",IFERROR(MAX(0,MIN(10,ROUND(IF('Advanced Entry'!H$8="Decrease Risk",10-10*((IF('Advanced Entry'!H$5="Logarithm",LN(0.001+'Advanced Entry'!H125),IF('Advanced Entry'!H$5="Exponential",EXP('Advanced Entry'!H125),'Advanced Entry'!H125)))-'Advanced Entry'!H$6)/('Advanced Entry'!H$7-'Advanced Entry'!H$6),10*((IF('Advanced Entry'!H$5="Logarithm",LN(0.001+'Advanced Entry'!H125),IF('Advanced Entry'!H$5="Exponential",EXP('Advanced Entry'!H125),'Advanced Entry'!H125)))-'Advanced Entry'!H$6)/('Advanced Entry'!H$7-'Advanced Entry'!H$6)),1))),"No data"))</f>
        <v/>
      </c>
      <c r="I125" s="17">
        <f>IF('Advanced Entry'!I125="","",IFERROR(MAX(0,MIN(10,ROUND(IF('Advanced Entry'!I$8="Decrease Risk",10-10*((IF('Advanced Entry'!I$5="Logarithm",LN(0.001+'Advanced Entry'!I125),IF('Advanced Entry'!I$5="Exponential",EXP('Advanced Entry'!I125),'Advanced Entry'!I125)))-'Advanced Entry'!I$6)/('Advanced Entry'!I$7-'Advanced Entry'!I$6),10*((IF('Advanced Entry'!I$5="Logarithm",LN(0.001+'Advanced Entry'!I125),IF('Advanced Entry'!I$5="Exponential",EXP('Advanced Entry'!I125),'Advanced Entry'!I125)))-'Advanced Entry'!I$6)/('Advanced Entry'!I$7-'Advanced Entry'!I$6)),1))),"No data"))</f>
        <v/>
      </c>
      <c r="J125" s="17">
        <f>IF('Advanced Entry'!J125="","",IFERROR(MAX(0,MIN(10,ROUND(IF('Advanced Entry'!J$8="Decrease Risk",10-10*((IF('Advanced Entry'!J$5="Logarithm",LN(0.001+'Advanced Entry'!J125),IF('Advanced Entry'!J$5="Exponential",EXP('Advanced Entry'!J125),'Advanced Entry'!J125)))-'Advanced Entry'!J$6)/('Advanced Entry'!J$7-'Advanced Entry'!J$6),10*((IF('Advanced Entry'!J$5="Logarithm",LN(0.001+'Advanced Entry'!J125),IF('Advanced Entry'!J$5="Exponential",EXP('Advanced Entry'!J125),'Advanced Entry'!J125)))-'Advanced Entry'!J$6)/('Advanced Entry'!J$7-'Advanced Entry'!J$6)),1))),"No data"))</f>
        <v/>
      </c>
      <c r="K125" s="17">
        <f>IF('Advanced Entry'!K125="","",IFERROR(MAX(0,MIN(10,ROUND(IF('Advanced Entry'!K$8="Decrease Risk",10-10*((IF('Advanced Entry'!K$5="Logarithm",LN(0.001+'Advanced Entry'!K125),IF('Advanced Entry'!K$5="Exponential",EXP('Advanced Entry'!K125),'Advanced Entry'!K125)))-'Advanced Entry'!K$6)/('Advanced Entry'!K$7-'Advanced Entry'!K$6),10*((IF('Advanced Entry'!K$5="Logarithm",LN(0.001+'Advanced Entry'!K125),IF('Advanced Entry'!K$5="Exponential",EXP('Advanced Entry'!K125),'Advanced Entry'!K125)))-'Advanced Entry'!K$6)/('Advanced Entry'!K$7-'Advanced Entry'!K$6)),1))),"No data"))</f>
        <v/>
      </c>
      <c r="L125" s="17">
        <f>IF('Advanced Entry'!L125="","",IFERROR(MAX(0,MIN(10,ROUND(IF('Advanced Entry'!L$8="Decrease Risk",10-10*((IF('Advanced Entry'!L$5="Logarithm",LN(0.001+'Advanced Entry'!L125),IF('Advanced Entry'!L$5="Exponential",EXP('Advanced Entry'!L125),'Advanced Entry'!L125)))-'Advanced Entry'!L$6)/('Advanced Entry'!L$7-'Advanced Entry'!L$6),10*((IF('Advanced Entry'!L$5="Logarithm",LN(0.001+'Advanced Entry'!L125),IF('Advanced Entry'!L$5="Exponential",EXP('Advanced Entry'!L125),'Advanced Entry'!L125)))-'Advanced Entry'!L$6)/('Advanced Entry'!L$7-'Advanced Entry'!L$6)),1))),"No data"))</f>
        <v/>
      </c>
      <c r="M125" s="17">
        <f>IF('Advanced Entry'!M125="","",IFERROR(MAX(0,MIN(10,ROUND(IF('Advanced Entry'!M$8="Decrease Risk",10-10*((IF('Advanced Entry'!M$5="Logarithm",LN(0.001+'Advanced Entry'!M125),IF('Advanced Entry'!M$5="Exponential",EXP('Advanced Entry'!M125),'Advanced Entry'!M125)))-'Advanced Entry'!M$6)/('Advanced Entry'!M$7-'Advanced Entry'!M$6),10*((IF('Advanced Entry'!M$5="Logarithm",LN(0.001+'Advanced Entry'!M125),IF('Advanced Entry'!M$5="Exponential",EXP('Advanced Entry'!M125),'Advanced Entry'!M125)))-'Advanced Entry'!M$6)/('Advanced Entry'!M$7-'Advanced Entry'!M$6)),1))),"No data"))</f>
        <v/>
      </c>
      <c r="N125" s="17">
        <f>IF('Advanced Entry'!N125="","",IFERROR(MAX(0,MIN(10,ROUND(IF('Advanced Entry'!N$8="Decrease Risk",10-10*((IF('Advanced Entry'!N$5="Logarithm",LN(0.001+'Advanced Entry'!N125),IF('Advanced Entry'!N$5="Exponential",EXP('Advanced Entry'!N125),'Advanced Entry'!N125)))-'Advanced Entry'!N$6)/('Advanced Entry'!N$7-'Advanced Entry'!N$6),10*((IF('Advanced Entry'!N$5="Logarithm",LN(0.001+'Advanced Entry'!N125),IF('Advanced Entry'!N$5="Exponential",EXP('Advanced Entry'!N125),'Advanced Entry'!N125)))-'Advanced Entry'!N$6)/('Advanced Entry'!N$7-'Advanced Entry'!N$6)),1))),"No data"))</f>
        <v/>
      </c>
      <c r="O125" s="17">
        <f>IF('Advanced Entry'!O125="","",IFERROR(MAX(0,MIN(10,ROUND(IF('Advanced Entry'!O$8="Decrease Risk",10-10*((IF('Advanced Entry'!O$5="Logarithm",LN(0.001+'Advanced Entry'!O125),IF('Advanced Entry'!O$5="Exponential",EXP('Advanced Entry'!O125),'Advanced Entry'!O125)))-'Advanced Entry'!O$6)/('Advanced Entry'!O$7-'Advanced Entry'!O$6),10*((IF('Advanced Entry'!O$5="Logarithm",LN(0.001+'Advanced Entry'!O125),IF('Advanced Entry'!O$5="Exponential",EXP('Advanced Entry'!O125),'Advanced Entry'!O125)))-'Advanced Entry'!O$6)/('Advanced Entry'!O$7-'Advanced Entry'!O$6)),1))),"No data"))</f>
        <v/>
      </c>
      <c r="P125" s="17">
        <f>IF('Advanced Entry'!P125="","",IFERROR(MAX(0,MIN(10,ROUND(IF('Advanced Entry'!P$8="Decrease Risk",10-10*((IF('Advanced Entry'!P$5="Logarithm",LN(0.001+'Advanced Entry'!P125),IF('Advanced Entry'!P$5="Exponential",EXP('Advanced Entry'!P125),'Advanced Entry'!P125)))-'Advanced Entry'!P$6)/('Advanced Entry'!P$7-'Advanced Entry'!P$6),10*((IF('Advanced Entry'!P$5="Logarithm",LN(0.001+'Advanced Entry'!P125),IF('Advanced Entry'!P$5="Exponential",EXP('Advanced Entry'!P125),'Advanced Entry'!P125)))-'Advanced Entry'!P$6)/('Advanced Entry'!P$7-'Advanced Entry'!P$6)),1))),"No data"))</f>
        <v/>
      </c>
      <c r="Q125" s="17">
        <f>IF('Advanced Entry'!Q125="","",IFERROR(MAX(0,MIN(10,ROUND(IF('Advanced Entry'!Q$8="Decrease Risk",10-10*((IF('Advanced Entry'!Q$5="Logarithm",LN(0.001+'Advanced Entry'!Q125),IF('Advanced Entry'!Q$5="Exponential",EXP('Advanced Entry'!Q125),'Advanced Entry'!Q125)))-'Advanced Entry'!Q$6)/('Advanced Entry'!Q$7-'Advanced Entry'!Q$6),10*((IF('Advanced Entry'!Q$5="Logarithm",LN(0.001+'Advanced Entry'!Q125),IF('Advanced Entry'!Q$5="Exponential",EXP('Advanced Entry'!Q125),'Advanced Entry'!Q125)))-'Advanced Entry'!Q$6)/('Advanced Entry'!Q$7-'Advanced Entry'!Q$6)),1))),"No data"))</f>
        <v/>
      </c>
      <c r="R125" s="17">
        <f>IF('Advanced Entry'!R125="","",IFERROR(MAX(0,MIN(10,ROUND(IF('Advanced Entry'!R$8="Decrease Risk",10-10*((IF('Advanced Entry'!R$5="Logarithm",LN(0.001+'Advanced Entry'!R125),IF('Advanced Entry'!R$5="Exponential",EXP('Advanced Entry'!R125),'Advanced Entry'!R125)))-'Advanced Entry'!R$6)/('Advanced Entry'!R$7-'Advanced Entry'!R$6),10*((IF('Advanced Entry'!R$5="Logarithm",LN(0.001+'Advanced Entry'!R125),IF('Advanced Entry'!R$5="Exponential",EXP('Advanced Entry'!R125),'Advanced Entry'!R125)))-'Advanced Entry'!R$6)/('Advanced Entry'!R$7-'Advanced Entry'!R$6)),1))),"No data"))</f>
        <v/>
      </c>
      <c r="S125" s="17">
        <f>IF('Advanced Entry'!S125="","",IFERROR(MAX(0,MIN(10,ROUND(IF('Advanced Entry'!S$8="Decrease Risk",10-10*((IF('Advanced Entry'!S$5="Logarithm",LN(0.001+'Advanced Entry'!S125),IF('Advanced Entry'!S$5="Exponential",EXP('Advanced Entry'!S125),'Advanced Entry'!S125)))-'Advanced Entry'!S$6)/('Advanced Entry'!S$7-'Advanced Entry'!S$6),10*((IF('Advanced Entry'!S$5="Logarithm",LN(0.001+'Advanced Entry'!S125),IF('Advanced Entry'!S$5="Exponential",EXP('Advanced Entry'!S125),'Advanced Entry'!S125)))-'Advanced Entry'!S$6)/('Advanced Entry'!S$7-'Advanced Entry'!S$6)),1))),"No data"))</f>
        <v/>
      </c>
      <c r="T125" s="17">
        <f>IF('Advanced Entry'!T125="","",IFERROR(MAX(0,MIN(10,ROUND(IF('Advanced Entry'!T$8="Decrease Risk",10-10*((IF('Advanced Entry'!T$5="Logarithm",LN(0.001+'Advanced Entry'!T125),IF('Advanced Entry'!T$5="Exponential",EXP('Advanced Entry'!T125),'Advanced Entry'!T125)))-'Advanced Entry'!T$6)/('Advanced Entry'!T$7-'Advanced Entry'!T$6),10*((IF('Advanced Entry'!T$5="Logarithm",LN(0.001+'Advanced Entry'!T125),IF('Advanced Entry'!T$5="Exponential",EXP('Advanced Entry'!T125),'Advanced Entry'!T125)))-'Advanced Entry'!T$6)/('Advanced Entry'!T$7-'Advanced Entry'!T$6)),1))),"No data"))</f>
        <v/>
      </c>
      <c r="U125" s="17">
        <f>IF('Advanced Entry'!U125="","",IFERROR(MAX(0,MIN(10,ROUND(IF('Advanced Entry'!U$8="Decrease Risk",10-10*((IF('Advanced Entry'!U$5="Logarithm",LN(0.001+'Advanced Entry'!U125),IF('Advanced Entry'!U$5="Exponential",EXP('Advanced Entry'!U125),'Advanced Entry'!U125)))-'Advanced Entry'!U$6)/('Advanced Entry'!U$7-'Advanced Entry'!U$6),10*((IF('Advanced Entry'!U$5="Logarithm",LN(0.001+'Advanced Entry'!U125),IF('Advanced Entry'!U$5="Exponential",EXP('Advanced Entry'!U125),'Advanced Entry'!U125)))-'Advanced Entry'!U$6)/('Advanced Entry'!U$7-'Advanced Entry'!U$6)),1))),"No data"))</f>
        <v/>
      </c>
      <c r="V125" s="17">
        <f>IF('Advanced Entry'!V125="","",IFERROR(MAX(0,MIN(10,ROUND(IF('Advanced Entry'!V$8="Decrease Risk",10-10*((IF('Advanced Entry'!V$5="Logarithm",LN(0.001+'Advanced Entry'!V125),IF('Advanced Entry'!V$5="Exponential",EXP('Advanced Entry'!V125),'Advanced Entry'!V125)))-'Advanced Entry'!V$6)/('Advanced Entry'!V$7-'Advanced Entry'!V$6),10*((IF('Advanced Entry'!V$5="Logarithm",LN(0.001+'Advanced Entry'!V125),IF('Advanced Entry'!V$5="Exponential",EXP('Advanced Entry'!V125),'Advanced Entry'!V125)))-'Advanced Entry'!V$6)/('Advanced Entry'!V$7-'Advanced Entry'!V$6)),1))),"No data"))</f>
        <v/>
      </c>
      <c r="W125" s="17">
        <f>IF('Advanced Entry'!W125="","",IFERROR(MAX(0,MIN(10,ROUND(IF('Advanced Entry'!W$8="Decrease Risk",10-10*((IF('Advanced Entry'!W$5="Logarithm",LN(0.001+'Advanced Entry'!W125),IF('Advanced Entry'!W$5="Exponential",EXP('Advanced Entry'!W125),'Advanced Entry'!W125)))-'Advanced Entry'!W$6)/('Advanced Entry'!W$7-'Advanced Entry'!W$6),10*((IF('Advanced Entry'!W$5="Logarithm",LN(0.001+'Advanced Entry'!W125),IF('Advanced Entry'!W$5="Exponential",EXP('Advanced Entry'!W125),'Advanced Entry'!W125)))-'Advanced Entry'!W$6)/('Advanced Entry'!W$7-'Advanced Entry'!W$6)),1))),"No data"))</f>
        <v/>
      </c>
      <c r="X125" s="17">
        <f>IF('Advanced Entry'!X125="","",IFERROR(MAX(0,MIN(10,ROUND(IF('Advanced Entry'!X$8="Decrease Risk",10-10*((IF('Advanced Entry'!X$5="Logarithm",LN(0.001+'Advanced Entry'!X125),IF('Advanced Entry'!X$5="Exponential",EXP('Advanced Entry'!X125),'Advanced Entry'!X125)))-'Advanced Entry'!X$6)/('Advanced Entry'!X$7-'Advanced Entry'!X$6),10*((IF('Advanced Entry'!X$5="Logarithm",LN(0.001+'Advanced Entry'!X125),IF('Advanced Entry'!X$5="Exponential",EXP('Advanced Entry'!X125),'Advanced Entry'!X125)))-'Advanced Entry'!X$6)/('Advanced Entry'!X$7-'Advanced Entry'!X$6)),1))),"No data"))</f>
        <v/>
      </c>
      <c r="Y125" s="17">
        <f>IF('Advanced Entry'!Y125="","",IFERROR(MAX(0,MIN(10,ROUND(IF('Advanced Entry'!Y$8="Decrease Risk",10-10*((IF('Advanced Entry'!Y$5="Logarithm",LN(0.001+'Advanced Entry'!Y125),IF('Advanced Entry'!Y$5="Exponential",EXP('Advanced Entry'!Y125),'Advanced Entry'!Y125)))-'Advanced Entry'!Y$6)/('Advanced Entry'!Y$7-'Advanced Entry'!Y$6),10*((IF('Advanced Entry'!Y$5="Logarithm",LN(0.001+'Advanced Entry'!Y125),IF('Advanced Entry'!Y$5="Exponential",EXP('Advanced Entry'!Y125),'Advanced Entry'!Y125)))-'Advanced Entry'!Y$6)/('Advanced Entry'!Y$7-'Advanced Entry'!Y$6)),1))),"No data"))</f>
        <v/>
      </c>
      <c r="Z125" s="17">
        <f>IF('Advanced Entry'!Z125="","",IFERROR(MAX(0,MIN(10,ROUND(IF('Advanced Entry'!Z$8="Decrease Risk",10-10*((IF('Advanced Entry'!Z$5="Logarithm",LN(0.001+'Advanced Entry'!Z125),IF('Advanced Entry'!Z$5="Exponential",EXP('Advanced Entry'!Z125),'Advanced Entry'!Z125)))-'Advanced Entry'!Z$6)/('Advanced Entry'!Z$7-'Advanced Entry'!Z$6),10*((IF('Advanced Entry'!Z$5="Logarithm",LN(0.001+'Advanced Entry'!Z125),IF('Advanced Entry'!Z$5="Exponential",EXP('Advanced Entry'!Z125),'Advanced Entry'!Z125)))-'Advanced Entry'!Z$6)/('Advanced Entry'!Z$7-'Advanced Entry'!Z$6)),1))),"No data"))</f>
        <v/>
      </c>
      <c r="AA125" s="17">
        <f>IF('Advanced Entry'!AA125="","",IFERROR(MAX(0,MIN(10,ROUND(IF('Advanced Entry'!AA$8="Decrease Risk",10-10*((IF('Advanced Entry'!AA$5="Logarithm",LN(0.001+'Advanced Entry'!AA125),IF('Advanced Entry'!AA$5="Exponential",EXP('Advanced Entry'!AA125),'Advanced Entry'!AA125)))-'Advanced Entry'!AA$6)/('Advanced Entry'!AA$7-'Advanced Entry'!AA$6),10*((IF('Advanced Entry'!AA$5="Logarithm",LN(0.001+'Advanced Entry'!AA125),IF('Advanced Entry'!AA$5="Exponential",EXP('Advanced Entry'!AA125),'Advanced Entry'!AA125)))-'Advanced Entry'!AA$6)/('Advanced Entry'!AA$7-'Advanced Entry'!AA$6)),1))),"No data"))</f>
        <v/>
      </c>
      <c r="AB125" s="17">
        <f>IF('Advanced Entry'!AB125="","",IFERROR(MAX(0,MIN(10,ROUND(IF('Advanced Entry'!AB$8="Decrease Risk",10-10*((IF('Advanced Entry'!AB$5="Logarithm",LN(0.001+'Advanced Entry'!AB125),IF('Advanced Entry'!AB$5="Exponential",EXP('Advanced Entry'!AB125),'Advanced Entry'!AB125)))-'Advanced Entry'!AB$6)/('Advanced Entry'!AB$7-'Advanced Entry'!AB$6),10*((IF('Advanced Entry'!AB$5="Logarithm",LN(0.001+'Advanced Entry'!AB125),IF('Advanced Entry'!AB$5="Exponential",EXP('Advanced Entry'!AB125),'Advanced Entry'!AB125)))-'Advanced Entry'!AB$6)/('Advanced Entry'!AB$7-'Advanced Entry'!AB$6)),1))),"No data"))</f>
        <v/>
      </c>
    </row>
    <row r="126">
      <c r="A126" t="inlineStr">
        <is>
          <t>Mtwara</t>
        </is>
      </c>
      <c r="B126" t="inlineStr">
        <is>
          <t>Newala Town</t>
        </is>
      </c>
      <c r="C126" t="inlineStr">
        <is>
          <t>C067</t>
        </is>
      </c>
      <c r="D126" s="17">
        <f>IF('Advanced Entry'!D126="","",IFERROR(MAX(0,MIN(10,ROUND(IF('Advanced Entry'!D$8="Decrease Risk",10-10*((IF('Advanced Entry'!D$5="Logarithm",LN(0.001+'Advanced Entry'!D126),IF('Advanced Entry'!D$5="Exponential",EXP('Advanced Entry'!D126),'Advanced Entry'!D126)))-'Advanced Entry'!D$6)/('Advanced Entry'!D$7-'Advanced Entry'!D$6),10*((IF('Advanced Entry'!D$5="Logarithm",LN(0.001+'Advanced Entry'!D126),IF('Advanced Entry'!D$5="Exponential",EXP('Advanced Entry'!D126),'Advanced Entry'!D126)))-'Advanced Entry'!D$6)/('Advanced Entry'!D$7-'Advanced Entry'!D$6)),1))),"No data"))</f>
        <v/>
      </c>
      <c r="E126" s="17">
        <f>IF('Advanced Entry'!E126="","",IFERROR(MAX(0,MIN(10,ROUND(IF('Advanced Entry'!E$8="Decrease Risk",10-10*((IF('Advanced Entry'!E$5="Logarithm",LN(0.001+'Advanced Entry'!E126),IF('Advanced Entry'!E$5="Exponential",EXP('Advanced Entry'!E126),'Advanced Entry'!E126)))-'Advanced Entry'!E$6)/('Advanced Entry'!E$7-'Advanced Entry'!E$6),10*((IF('Advanced Entry'!E$5="Logarithm",LN(0.001+'Advanced Entry'!E126),IF('Advanced Entry'!E$5="Exponential",EXP('Advanced Entry'!E126),'Advanced Entry'!E126)))-'Advanced Entry'!E$6)/('Advanced Entry'!E$7-'Advanced Entry'!E$6)),1))),"No data"))</f>
        <v/>
      </c>
      <c r="F126" s="17">
        <f>IF('Advanced Entry'!F126="","",IFERROR(MAX(0,MIN(10,ROUND(IF('Advanced Entry'!F$8="Decrease Risk",10-10*((IF('Advanced Entry'!F$5="Logarithm",LN(0.001+'Advanced Entry'!F126),IF('Advanced Entry'!F$5="Exponential",EXP('Advanced Entry'!F126),'Advanced Entry'!F126)))-'Advanced Entry'!F$6)/('Advanced Entry'!F$7-'Advanced Entry'!F$6),10*((IF('Advanced Entry'!F$5="Logarithm",LN(0.001+'Advanced Entry'!F126),IF('Advanced Entry'!F$5="Exponential",EXP('Advanced Entry'!F126),'Advanced Entry'!F126)))-'Advanced Entry'!F$6)/('Advanced Entry'!F$7-'Advanced Entry'!F$6)),1))),"No data"))</f>
        <v/>
      </c>
      <c r="G126" s="17">
        <f>IF('Advanced Entry'!G126="","",IFERROR(MAX(0,MIN(10,ROUND(IF('Advanced Entry'!G$8="Decrease Risk",10-10*((IF('Advanced Entry'!G$5="Logarithm",LN(0.001+'Advanced Entry'!G126),IF('Advanced Entry'!G$5="Exponential",EXP('Advanced Entry'!G126),'Advanced Entry'!G126)))-'Advanced Entry'!G$6)/('Advanced Entry'!G$7-'Advanced Entry'!G$6),10*((IF('Advanced Entry'!G$5="Logarithm",LN(0.001+'Advanced Entry'!G126),IF('Advanced Entry'!G$5="Exponential",EXP('Advanced Entry'!G126),'Advanced Entry'!G126)))-'Advanced Entry'!G$6)/('Advanced Entry'!G$7-'Advanced Entry'!G$6)),1))),"No data"))</f>
        <v/>
      </c>
      <c r="H126" s="17">
        <f>IF('Advanced Entry'!H126="","",IFERROR(MAX(0,MIN(10,ROUND(IF('Advanced Entry'!H$8="Decrease Risk",10-10*((IF('Advanced Entry'!H$5="Logarithm",LN(0.001+'Advanced Entry'!H126),IF('Advanced Entry'!H$5="Exponential",EXP('Advanced Entry'!H126),'Advanced Entry'!H126)))-'Advanced Entry'!H$6)/('Advanced Entry'!H$7-'Advanced Entry'!H$6),10*((IF('Advanced Entry'!H$5="Logarithm",LN(0.001+'Advanced Entry'!H126),IF('Advanced Entry'!H$5="Exponential",EXP('Advanced Entry'!H126),'Advanced Entry'!H126)))-'Advanced Entry'!H$6)/('Advanced Entry'!H$7-'Advanced Entry'!H$6)),1))),"No data"))</f>
        <v/>
      </c>
      <c r="I126" s="17">
        <f>IF('Advanced Entry'!I126="","",IFERROR(MAX(0,MIN(10,ROUND(IF('Advanced Entry'!I$8="Decrease Risk",10-10*((IF('Advanced Entry'!I$5="Logarithm",LN(0.001+'Advanced Entry'!I126),IF('Advanced Entry'!I$5="Exponential",EXP('Advanced Entry'!I126),'Advanced Entry'!I126)))-'Advanced Entry'!I$6)/('Advanced Entry'!I$7-'Advanced Entry'!I$6),10*((IF('Advanced Entry'!I$5="Logarithm",LN(0.001+'Advanced Entry'!I126),IF('Advanced Entry'!I$5="Exponential",EXP('Advanced Entry'!I126),'Advanced Entry'!I126)))-'Advanced Entry'!I$6)/('Advanced Entry'!I$7-'Advanced Entry'!I$6)),1))),"No data"))</f>
        <v/>
      </c>
      <c r="J126" s="17">
        <f>IF('Advanced Entry'!J126="","",IFERROR(MAX(0,MIN(10,ROUND(IF('Advanced Entry'!J$8="Decrease Risk",10-10*((IF('Advanced Entry'!J$5="Logarithm",LN(0.001+'Advanced Entry'!J126),IF('Advanced Entry'!J$5="Exponential",EXP('Advanced Entry'!J126),'Advanced Entry'!J126)))-'Advanced Entry'!J$6)/('Advanced Entry'!J$7-'Advanced Entry'!J$6),10*((IF('Advanced Entry'!J$5="Logarithm",LN(0.001+'Advanced Entry'!J126),IF('Advanced Entry'!J$5="Exponential",EXP('Advanced Entry'!J126),'Advanced Entry'!J126)))-'Advanced Entry'!J$6)/('Advanced Entry'!J$7-'Advanced Entry'!J$6)),1))),"No data"))</f>
        <v/>
      </c>
      <c r="K126" s="17">
        <f>IF('Advanced Entry'!K126="","",IFERROR(MAX(0,MIN(10,ROUND(IF('Advanced Entry'!K$8="Decrease Risk",10-10*((IF('Advanced Entry'!K$5="Logarithm",LN(0.001+'Advanced Entry'!K126),IF('Advanced Entry'!K$5="Exponential",EXP('Advanced Entry'!K126),'Advanced Entry'!K126)))-'Advanced Entry'!K$6)/('Advanced Entry'!K$7-'Advanced Entry'!K$6),10*((IF('Advanced Entry'!K$5="Logarithm",LN(0.001+'Advanced Entry'!K126),IF('Advanced Entry'!K$5="Exponential",EXP('Advanced Entry'!K126),'Advanced Entry'!K126)))-'Advanced Entry'!K$6)/('Advanced Entry'!K$7-'Advanced Entry'!K$6)),1))),"No data"))</f>
        <v/>
      </c>
      <c r="L126" s="17">
        <f>IF('Advanced Entry'!L126="","",IFERROR(MAX(0,MIN(10,ROUND(IF('Advanced Entry'!L$8="Decrease Risk",10-10*((IF('Advanced Entry'!L$5="Logarithm",LN(0.001+'Advanced Entry'!L126),IF('Advanced Entry'!L$5="Exponential",EXP('Advanced Entry'!L126),'Advanced Entry'!L126)))-'Advanced Entry'!L$6)/('Advanced Entry'!L$7-'Advanced Entry'!L$6),10*((IF('Advanced Entry'!L$5="Logarithm",LN(0.001+'Advanced Entry'!L126),IF('Advanced Entry'!L$5="Exponential",EXP('Advanced Entry'!L126),'Advanced Entry'!L126)))-'Advanced Entry'!L$6)/('Advanced Entry'!L$7-'Advanced Entry'!L$6)),1))),"No data"))</f>
        <v/>
      </c>
      <c r="M126" s="17">
        <f>IF('Advanced Entry'!M126="","",IFERROR(MAX(0,MIN(10,ROUND(IF('Advanced Entry'!M$8="Decrease Risk",10-10*((IF('Advanced Entry'!M$5="Logarithm",LN(0.001+'Advanced Entry'!M126),IF('Advanced Entry'!M$5="Exponential",EXP('Advanced Entry'!M126),'Advanced Entry'!M126)))-'Advanced Entry'!M$6)/('Advanced Entry'!M$7-'Advanced Entry'!M$6),10*((IF('Advanced Entry'!M$5="Logarithm",LN(0.001+'Advanced Entry'!M126),IF('Advanced Entry'!M$5="Exponential",EXP('Advanced Entry'!M126),'Advanced Entry'!M126)))-'Advanced Entry'!M$6)/('Advanced Entry'!M$7-'Advanced Entry'!M$6)),1))),"No data"))</f>
        <v/>
      </c>
      <c r="N126" s="17">
        <f>IF('Advanced Entry'!N126="","",IFERROR(MAX(0,MIN(10,ROUND(IF('Advanced Entry'!N$8="Decrease Risk",10-10*((IF('Advanced Entry'!N$5="Logarithm",LN(0.001+'Advanced Entry'!N126),IF('Advanced Entry'!N$5="Exponential",EXP('Advanced Entry'!N126),'Advanced Entry'!N126)))-'Advanced Entry'!N$6)/('Advanced Entry'!N$7-'Advanced Entry'!N$6),10*((IF('Advanced Entry'!N$5="Logarithm",LN(0.001+'Advanced Entry'!N126),IF('Advanced Entry'!N$5="Exponential",EXP('Advanced Entry'!N126),'Advanced Entry'!N126)))-'Advanced Entry'!N$6)/('Advanced Entry'!N$7-'Advanced Entry'!N$6)),1))),"No data"))</f>
        <v/>
      </c>
      <c r="O126" s="17">
        <f>IF('Advanced Entry'!O126="","",IFERROR(MAX(0,MIN(10,ROUND(IF('Advanced Entry'!O$8="Decrease Risk",10-10*((IF('Advanced Entry'!O$5="Logarithm",LN(0.001+'Advanced Entry'!O126),IF('Advanced Entry'!O$5="Exponential",EXP('Advanced Entry'!O126),'Advanced Entry'!O126)))-'Advanced Entry'!O$6)/('Advanced Entry'!O$7-'Advanced Entry'!O$6),10*((IF('Advanced Entry'!O$5="Logarithm",LN(0.001+'Advanced Entry'!O126),IF('Advanced Entry'!O$5="Exponential",EXP('Advanced Entry'!O126),'Advanced Entry'!O126)))-'Advanced Entry'!O$6)/('Advanced Entry'!O$7-'Advanced Entry'!O$6)),1))),"No data"))</f>
        <v/>
      </c>
      <c r="P126" s="17">
        <f>IF('Advanced Entry'!P126="","",IFERROR(MAX(0,MIN(10,ROUND(IF('Advanced Entry'!P$8="Decrease Risk",10-10*((IF('Advanced Entry'!P$5="Logarithm",LN(0.001+'Advanced Entry'!P126),IF('Advanced Entry'!P$5="Exponential",EXP('Advanced Entry'!P126),'Advanced Entry'!P126)))-'Advanced Entry'!P$6)/('Advanced Entry'!P$7-'Advanced Entry'!P$6),10*((IF('Advanced Entry'!P$5="Logarithm",LN(0.001+'Advanced Entry'!P126),IF('Advanced Entry'!P$5="Exponential",EXP('Advanced Entry'!P126),'Advanced Entry'!P126)))-'Advanced Entry'!P$6)/('Advanced Entry'!P$7-'Advanced Entry'!P$6)),1))),"No data"))</f>
        <v/>
      </c>
      <c r="Q126" s="17">
        <f>IF('Advanced Entry'!Q126="","",IFERROR(MAX(0,MIN(10,ROUND(IF('Advanced Entry'!Q$8="Decrease Risk",10-10*((IF('Advanced Entry'!Q$5="Logarithm",LN(0.001+'Advanced Entry'!Q126),IF('Advanced Entry'!Q$5="Exponential",EXP('Advanced Entry'!Q126),'Advanced Entry'!Q126)))-'Advanced Entry'!Q$6)/('Advanced Entry'!Q$7-'Advanced Entry'!Q$6),10*((IF('Advanced Entry'!Q$5="Logarithm",LN(0.001+'Advanced Entry'!Q126),IF('Advanced Entry'!Q$5="Exponential",EXP('Advanced Entry'!Q126),'Advanced Entry'!Q126)))-'Advanced Entry'!Q$6)/('Advanced Entry'!Q$7-'Advanced Entry'!Q$6)),1))),"No data"))</f>
        <v/>
      </c>
      <c r="R126" s="17">
        <f>IF('Advanced Entry'!R126="","",IFERROR(MAX(0,MIN(10,ROUND(IF('Advanced Entry'!R$8="Decrease Risk",10-10*((IF('Advanced Entry'!R$5="Logarithm",LN(0.001+'Advanced Entry'!R126),IF('Advanced Entry'!R$5="Exponential",EXP('Advanced Entry'!R126),'Advanced Entry'!R126)))-'Advanced Entry'!R$6)/('Advanced Entry'!R$7-'Advanced Entry'!R$6),10*((IF('Advanced Entry'!R$5="Logarithm",LN(0.001+'Advanced Entry'!R126),IF('Advanced Entry'!R$5="Exponential",EXP('Advanced Entry'!R126),'Advanced Entry'!R126)))-'Advanced Entry'!R$6)/('Advanced Entry'!R$7-'Advanced Entry'!R$6)),1))),"No data"))</f>
        <v/>
      </c>
      <c r="S126" s="17">
        <f>IF('Advanced Entry'!S126="","",IFERROR(MAX(0,MIN(10,ROUND(IF('Advanced Entry'!S$8="Decrease Risk",10-10*((IF('Advanced Entry'!S$5="Logarithm",LN(0.001+'Advanced Entry'!S126),IF('Advanced Entry'!S$5="Exponential",EXP('Advanced Entry'!S126),'Advanced Entry'!S126)))-'Advanced Entry'!S$6)/('Advanced Entry'!S$7-'Advanced Entry'!S$6),10*((IF('Advanced Entry'!S$5="Logarithm",LN(0.001+'Advanced Entry'!S126),IF('Advanced Entry'!S$5="Exponential",EXP('Advanced Entry'!S126),'Advanced Entry'!S126)))-'Advanced Entry'!S$6)/('Advanced Entry'!S$7-'Advanced Entry'!S$6)),1))),"No data"))</f>
        <v/>
      </c>
      <c r="T126" s="17">
        <f>IF('Advanced Entry'!T126="","",IFERROR(MAX(0,MIN(10,ROUND(IF('Advanced Entry'!T$8="Decrease Risk",10-10*((IF('Advanced Entry'!T$5="Logarithm",LN(0.001+'Advanced Entry'!T126),IF('Advanced Entry'!T$5="Exponential",EXP('Advanced Entry'!T126),'Advanced Entry'!T126)))-'Advanced Entry'!T$6)/('Advanced Entry'!T$7-'Advanced Entry'!T$6),10*((IF('Advanced Entry'!T$5="Logarithm",LN(0.001+'Advanced Entry'!T126),IF('Advanced Entry'!T$5="Exponential",EXP('Advanced Entry'!T126),'Advanced Entry'!T126)))-'Advanced Entry'!T$6)/('Advanced Entry'!T$7-'Advanced Entry'!T$6)),1))),"No data"))</f>
        <v/>
      </c>
      <c r="U126" s="17">
        <f>IF('Advanced Entry'!U126="","",IFERROR(MAX(0,MIN(10,ROUND(IF('Advanced Entry'!U$8="Decrease Risk",10-10*((IF('Advanced Entry'!U$5="Logarithm",LN(0.001+'Advanced Entry'!U126),IF('Advanced Entry'!U$5="Exponential",EXP('Advanced Entry'!U126),'Advanced Entry'!U126)))-'Advanced Entry'!U$6)/('Advanced Entry'!U$7-'Advanced Entry'!U$6),10*((IF('Advanced Entry'!U$5="Logarithm",LN(0.001+'Advanced Entry'!U126),IF('Advanced Entry'!U$5="Exponential",EXP('Advanced Entry'!U126),'Advanced Entry'!U126)))-'Advanced Entry'!U$6)/('Advanced Entry'!U$7-'Advanced Entry'!U$6)),1))),"No data"))</f>
        <v/>
      </c>
      <c r="V126" s="17">
        <f>IF('Advanced Entry'!V126="","",IFERROR(MAX(0,MIN(10,ROUND(IF('Advanced Entry'!V$8="Decrease Risk",10-10*((IF('Advanced Entry'!V$5="Logarithm",LN(0.001+'Advanced Entry'!V126),IF('Advanced Entry'!V$5="Exponential",EXP('Advanced Entry'!V126),'Advanced Entry'!V126)))-'Advanced Entry'!V$6)/('Advanced Entry'!V$7-'Advanced Entry'!V$6),10*((IF('Advanced Entry'!V$5="Logarithm",LN(0.001+'Advanced Entry'!V126),IF('Advanced Entry'!V$5="Exponential",EXP('Advanced Entry'!V126),'Advanced Entry'!V126)))-'Advanced Entry'!V$6)/('Advanced Entry'!V$7-'Advanced Entry'!V$6)),1))),"No data"))</f>
        <v/>
      </c>
      <c r="W126" s="17">
        <f>IF('Advanced Entry'!W126="","",IFERROR(MAX(0,MIN(10,ROUND(IF('Advanced Entry'!W$8="Decrease Risk",10-10*((IF('Advanced Entry'!W$5="Logarithm",LN(0.001+'Advanced Entry'!W126),IF('Advanced Entry'!W$5="Exponential",EXP('Advanced Entry'!W126),'Advanced Entry'!W126)))-'Advanced Entry'!W$6)/('Advanced Entry'!W$7-'Advanced Entry'!W$6),10*((IF('Advanced Entry'!W$5="Logarithm",LN(0.001+'Advanced Entry'!W126),IF('Advanced Entry'!W$5="Exponential",EXP('Advanced Entry'!W126),'Advanced Entry'!W126)))-'Advanced Entry'!W$6)/('Advanced Entry'!W$7-'Advanced Entry'!W$6)),1))),"No data"))</f>
        <v/>
      </c>
      <c r="X126" s="17">
        <f>IF('Advanced Entry'!X126="","",IFERROR(MAX(0,MIN(10,ROUND(IF('Advanced Entry'!X$8="Decrease Risk",10-10*((IF('Advanced Entry'!X$5="Logarithm",LN(0.001+'Advanced Entry'!X126),IF('Advanced Entry'!X$5="Exponential",EXP('Advanced Entry'!X126),'Advanced Entry'!X126)))-'Advanced Entry'!X$6)/('Advanced Entry'!X$7-'Advanced Entry'!X$6),10*((IF('Advanced Entry'!X$5="Logarithm",LN(0.001+'Advanced Entry'!X126),IF('Advanced Entry'!X$5="Exponential",EXP('Advanced Entry'!X126),'Advanced Entry'!X126)))-'Advanced Entry'!X$6)/('Advanced Entry'!X$7-'Advanced Entry'!X$6)),1))),"No data"))</f>
        <v/>
      </c>
      <c r="Y126" s="17">
        <f>IF('Advanced Entry'!Y126="","",IFERROR(MAX(0,MIN(10,ROUND(IF('Advanced Entry'!Y$8="Decrease Risk",10-10*((IF('Advanced Entry'!Y$5="Logarithm",LN(0.001+'Advanced Entry'!Y126),IF('Advanced Entry'!Y$5="Exponential",EXP('Advanced Entry'!Y126),'Advanced Entry'!Y126)))-'Advanced Entry'!Y$6)/('Advanced Entry'!Y$7-'Advanced Entry'!Y$6),10*((IF('Advanced Entry'!Y$5="Logarithm",LN(0.001+'Advanced Entry'!Y126),IF('Advanced Entry'!Y$5="Exponential",EXP('Advanced Entry'!Y126),'Advanced Entry'!Y126)))-'Advanced Entry'!Y$6)/('Advanced Entry'!Y$7-'Advanced Entry'!Y$6)),1))),"No data"))</f>
        <v/>
      </c>
      <c r="Z126" s="17">
        <f>IF('Advanced Entry'!Z126="","",IFERROR(MAX(0,MIN(10,ROUND(IF('Advanced Entry'!Z$8="Decrease Risk",10-10*((IF('Advanced Entry'!Z$5="Logarithm",LN(0.001+'Advanced Entry'!Z126),IF('Advanced Entry'!Z$5="Exponential",EXP('Advanced Entry'!Z126),'Advanced Entry'!Z126)))-'Advanced Entry'!Z$6)/('Advanced Entry'!Z$7-'Advanced Entry'!Z$6),10*((IF('Advanced Entry'!Z$5="Logarithm",LN(0.001+'Advanced Entry'!Z126),IF('Advanced Entry'!Z$5="Exponential",EXP('Advanced Entry'!Z126),'Advanced Entry'!Z126)))-'Advanced Entry'!Z$6)/('Advanced Entry'!Z$7-'Advanced Entry'!Z$6)),1))),"No data"))</f>
        <v/>
      </c>
      <c r="AA126" s="17">
        <f>IF('Advanced Entry'!AA126="","",IFERROR(MAX(0,MIN(10,ROUND(IF('Advanced Entry'!AA$8="Decrease Risk",10-10*((IF('Advanced Entry'!AA$5="Logarithm",LN(0.001+'Advanced Entry'!AA126),IF('Advanced Entry'!AA$5="Exponential",EXP('Advanced Entry'!AA126),'Advanced Entry'!AA126)))-'Advanced Entry'!AA$6)/('Advanced Entry'!AA$7-'Advanced Entry'!AA$6),10*((IF('Advanced Entry'!AA$5="Logarithm",LN(0.001+'Advanced Entry'!AA126),IF('Advanced Entry'!AA$5="Exponential",EXP('Advanced Entry'!AA126),'Advanced Entry'!AA126)))-'Advanced Entry'!AA$6)/('Advanced Entry'!AA$7-'Advanced Entry'!AA$6)),1))),"No data"))</f>
        <v/>
      </c>
      <c r="AB126" s="17">
        <f>IF('Advanced Entry'!AB126="","",IFERROR(MAX(0,MIN(10,ROUND(IF('Advanced Entry'!AB$8="Decrease Risk",10-10*((IF('Advanced Entry'!AB$5="Logarithm",LN(0.001+'Advanced Entry'!AB126),IF('Advanced Entry'!AB$5="Exponential",EXP('Advanced Entry'!AB126),'Advanced Entry'!AB126)))-'Advanced Entry'!AB$6)/('Advanced Entry'!AB$7-'Advanced Entry'!AB$6),10*((IF('Advanced Entry'!AB$5="Logarithm",LN(0.001+'Advanced Entry'!AB126),IF('Advanced Entry'!AB$5="Exponential",EXP('Advanced Entry'!AB126),'Advanced Entry'!AB126)))-'Advanced Entry'!AB$6)/('Advanced Entry'!AB$7-'Advanced Entry'!AB$6)),1))),"No data"))</f>
        <v/>
      </c>
    </row>
    <row r="127">
      <c r="A127" t="inlineStr">
        <is>
          <t>Mtwara</t>
        </is>
      </c>
      <c r="B127" t="inlineStr">
        <is>
          <t>Tandahimba District</t>
        </is>
      </c>
      <c r="C127" t="inlineStr">
        <is>
          <t>C070</t>
        </is>
      </c>
      <c r="D127" s="17">
        <f>IF('Advanced Entry'!D127="","",IFERROR(MAX(0,MIN(10,ROUND(IF('Advanced Entry'!D$8="Decrease Risk",10-10*((IF('Advanced Entry'!D$5="Logarithm",LN(0.001+'Advanced Entry'!D127),IF('Advanced Entry'!D$5="Exponential",EXP('Advanced Entry'!D127),'Advanced Entry'!D127)))-'Advanced Entry'!D$6)/('Advanced Entry'!D$7-'Advanced Entry'!D$6),10*((IF('Advanced Entry'!D$5="Logarithm",LN(0.001+'Advanced Entry'!D127),IF('Advanced Entry'!D$5="Exponential",EXP('Advanced Entry'!D127),'Advanced Entry'!D127)))-'Advanced Entry'!D$6)/('Advanced Entry'!D$7-'Advanced Entry'!D$6)),1))),"No data"))</f>
        <v/>
      </c>
      <c r="E127" s="17">
        <f>IF('Advanced Entry'!E127="","",IFERROR(MAX(0,MIN(10,ROUND(IF('Advanced Entry'!E$8="Decrease Risk",10-10*((IF('Advanced Entry'!E$5="Logarithm",LN(0.001+'Advanced Entry'!E127),IF('Advanced Entry'!E$5="Exponential",EXP('Advanced Entry'!E127),'Advanced Entry'!E127)))-'Advanced Entry'!E$6)/('Advanced Entry'!E$7-'Advanced Entry'!E$6),10*((IF('Advanced Entry'!E$5="Logarithm",LN(0.001+'Advanced Entry'!E127),IF('Advanced Entry'!E$5="Exponential",EXP('Advanced Entry'!E127),'Advanced Entry'!E127)))-'Advanced Entry'!E$6)/('Advanced Entry'!E$7-'Advanced Entry'!E$6)),1))),"No data"))</f>
        <v/>
      </c>
      <c r="F127" s="17">
        <f>IF('Advanced Entry'!F127="","",IFERROR(MAX(0,MIN(10,ROUND(IF('Advanced Entry'!F$8="Decrease Risk",10-10*((IF('Advanced Entry'!F$5="Logarithm",LN(0.001+'Advanced Entry'!F127),IF('Advanced Entry'!F$5="Exponential",EXP('Advanced Entry'!F127),'Advanced Entry'!F127)))-'Advanced Entry'!F$6)/('Advanced Entry'!F$7-'Advanced Entry'!F$6),10*((IF('Advanced Entry'!F$5="Logarithm",LN(0.001+'Advanced Entry'!F127),IF('Advanced Entry'!F$5="Exponential",EXP('Advanced Entry'!F127),'Advanced Entry'!F127)))-'Advanced Entry'!F$6)/('Advanced Entry'!F$7-'Advanced Entry'!F$6)),1))),"No data"))</f>
        <v/>
      </c>
      <c r="G127" s="17">
        <f>IF('Advanced Entry'!G127="","",IFERROR(MAX(0,MIN(10,ROUND(IF('Advanced Entry'!G$8="Decrease Risk",10-10*((IF('Advanced Entry'!G$5="Logarithm",LN(0.001+'Advanced Entry'!G127),IF('Advanced Entry'!G$5="Exponential",EXP('Advanced Entry'!G127),'Advanced Entry'!G127)))-'Advanced Entry'!G$6)/('Advanced Entry'!G$7-'Advanced Entry'!G$6),10*((IF('Advanced Entry'!G$5="Logarithm",LN(0.001+'Advanced Entry'!G127),IF('Advanced Entry'!G$5="Exponential",EXP('Advanced Entry'!G127),'Advanced Entry'!G127)))-'Advanced Entry'!G$6)/('Advanced Entry'!G$7-'Advanced Entry'!G$6)),1))),"No data"))</f>
        <v/>
      </c>
      <c r="H127" s="17">
        <f>IF('Advanced Entry'!H127="","",IFERROR(MAX(0,MIN(10,ROUND(IF('Advanced Entry'!H$8="Decrease Risk",10-10*((IF('Advanced Entry'!H$5="Logarithm",LN(0.001+'Advanced Entry'!H127),IF('Advanced Entry'!H$5="Exponential",EXP('Advanced Entry'!H127),'Advanced Entry'!H127)))-'Advanced Entry'!H$6)/('Advanced Entry'!H$7-'Advanced Entry'!H$6),10*((IF('Advanced Entry'!H$5="Logarithm",LN(0.001+'Advanced Entry'!H127),IF('Advanced Entry'!H$5="Exponential",EXP('Advanced Entry'!H127),'Advanced Entry'!H127)))-'Advanced Entry'!H$6)/('Advanced Entry'!H$7-'Advanced Entry'!H$6)),1))),"No data"))</f>
        <v/>
      </c>
      <c r="I127" s="17">
        <f>IF('Advanced Entry'!I127="","",IFERROR(MAX(0,MIN(10,ROUND(IF('Advanced Entry'!I$8="Decrease Risk",10-10*((IF('Advanced Entry'!I$5="Logarithm",LN(0.001+'Advanced Entry'!I127),IF('Advanced Entry'!I$5="Exponential",EXP('Advanced Entry'!I127),'Advanced Entry'!I127)))-'Advanced Entry'!I$6)/('Advanced Entry'!I$7-'Advanced Entry'!I$6),10*((IF('Advanced Entry'!I$5="Logarithm",LN(0.001+'Advanced Entry'!I127),IF('Advanced Entry'!I$5="Exponential",EXP('Advanced Entry'!I127),'Advanced Entry'!I127)))-'Advanced Entry'!I$6)/('Advanced Entry'!I$7-'Advanced Entry'!I$6)),1))),"No data"))</f>
        <v/>
      </c>
      <c r="J127" s="17">
        <f>IF('Advanced Entry'!J127="","",IFERROR(MAX(0,MIN(10,ROUND(IF('Advanced Entry'!J$8="Decrease Risk",10-10*((IF('Advanced Entry'!J$5="Logarithm",LN(0.001+'Advanced Entry'!J127),IF('Advanced Entry'!J$5="Exponential",EXP('Advanced Entry'!J127),'Advanced Entry'!J127)))-'Advanced Entry'!J$6)/('Advanced Entry'!J$7-'Advanced Entry'!J$6),10*((IF('Advanced Entry'!J$5="Logarithm",LN(0.001+'Advanced Entry'!J127),IF('Advanced Entry'!J$5="Exponential",EXP('Advanced Entry'!J127),'Advanced Entry'!J127)))-'Advanced Entry'!J$6)/('Advanced Entry'!J$7-'Advanced Entry'!J$6)),1))),"No data"))</f>
        <v/>
      </c>
      <c r="K127" s="17">
        <f>IF('Advanced Entry'!K127="","",IFERROR(MAX(0,MIN(10,ROUND(IF('Advanced Entry'!K$8="Decrease Risk",10-10*((IF('Advanced Entry'!K$5="Logarithm",LN(0.001+'Advanced Entry'!K127),IF('Advanced Entry'!K$5="Exponential",EXP('Advanced Entry'!K127),'Advanced Entry'!K127)))-'Advanced Entry'!K$6)/('Advanced Entry'!K$7-'Advanced Entry'!K$6),10*((IF('Advanced Entry'!K$5="Logarithm",LN(0.001+'Advanced Entry'!K127),IF('Advanced Entry'!K$5="Exponential",EXP('Advanced Entry'!K127),'Advanced Entry'!K127)))-'Advanced Entry'!K$6)/('Advanced Entry'!K$7-'Advanced Entry'!K$6)),1))),"No data"))</f>
        <v/>
      </c>
      <c r="L127" s="17">
        <f>IF('Advanced Entry'!L127="","",IFERROR(MAX(0,MIN(10,ROUND(IF('Advanced Entry'!L$8="Decrease Risk",10-10*((IF('Advanced Entry'!L$5="Logarithm",LN(0.001+'Advanced Entry'!L127),IF('Advanced Entry'!L$5="Exponential",EXP('Advanced Entry'!L127),'Advanced Entry'!L127)))-'Advanced Entry'!L$6)/('Advanced Entry'!L$7-'Advanced Entry'!L$6),10*((IF('Advanced Entry'!L$5="Logarithm",LN(0.001+'Advanced Entry'!L127),IF('Advanced Entry'!L$5="Exponential",EXP('Advanced Entry'!L127),'Advanced Entry'!L127)))-'Advanced Entry'!L$6)/('Advanced Entry'!L$7-'Advanced Entry'!L$6)),1))),"No data"))</f>
        <v/>
      </c>
      <c r="M127" s="17">
        <f>IF('Advanced Entry'!M127="","",IFERROR(MAX(0,MIN(10,ROUND(IF('Advanced Entry'!M$8="Decrease Risk",10-10*((IF('Advanced Entry'!M$5="Logarithm",LN(0.001+'Advanced Entry'!M127),IF('Advanced Entry'!M$5="Exponential",EXP('Advanced Entry'!M127),'Advanced Entry'!M127)))-'Advanced Entry'!M$6)/('Advanced Entry'!M$7-'Advanced Entry'!M$6),10*((IF('Advanced Entry'!M$5="Logarithm",LN(0.001+'Advanced Entry'!M127),IF('Advanced Entry'!M$5="Exponential",EXP('Advanced Entry'!M127),'Advanced Entry'!M127)))-'Advanced Entry'!M$6)/('Advanced Entry'!M$7-'Advanced Entry'!M$6)),1))),"No data"))</f>
        <v/>
      </c>
      <c r="N127" s="17">
        <f>IF('Advanced Entry'!N127="","",IFERROR(MAX(0,MIN(10,ROUND(IF('Advanced Entry'!N$8="Decrease Risk",10-10*((IF('Advanced Entry'!N$5="Logarithm",LN(0.001+'Advanced Entry'!N127),IF('Advanced Entry'!N$5="Exponential",EXP('Advanced Entry'!N127),'Advanced Entry'!N127)))-'Advanced Entry'!N$6)/('Advanced Entry'!N$7-'Advanced Entry'!N$6),10*((IF('Advanced Entry'!N$5="Logarithm",LN(0.001+'Advanced Entry'!N127),IF('Advanced Entry'!N$5="Exponential",EXP('Advanced Entry'!N127),'Advanced Entry'!N127)))-'Advanced Entry'!N$6)/('Advanced Entry'!N$7-'Advanced Entry'!N$6)),1))),"No data"))</f>
        <v/>
      </c>
      <c r="O127" s="17">
        <f>IF('Advanced Entry'!O127="","",IFERROR(MAX(0,MIN(10,ROUND(IF('Advanced Entry'!O$8="Decrease Risk",10-10*((IF('Advanced Entry'!O$5="Logarithm",LN(0.001+'Advanced Entry'!O127),IF('Advanced Entry'!O$5="Exponential",EXP('Advanced Entry'!O127),'Advanced Entry'!O127)))-'Advanced Entry'!O$6)/('Advanced Entry'!O$7-'Advanced Entry'!O$6),10*((IF('Advanced Entry'!O$5="Logarithm",LN(0.001+'Advanced Entry'!O127),IF('Advanced Entry'!O$5="Exponential",EXP('Advanced Entry'!O127),'Advanced Entry'!O127)))-'Advanced Entry'!O$6)/('Advanced Entry'!O$7-'Advanced Entry'!O$6)),1))),"No data"))</f>
        <v/>
      </c>
      <c r="P127" s="17">
        <f>IF('Advanced Entry'!P127="","",IFERROR(MAX(0,MIN(10,ROUND(IF('Advanced Entry'!P$8="Decrease Risk",10-10*((IF('Advanced Entry'!P$5="Logarithm",LN(0.001+'Advanced Entry'!P127),IF('Advanced Entry'!P$5="Exponential",EXP('Advanced Entry'!P127),'Advanced Entry'!P127)))-'Advanced Entry'!P$6)/('Advanced Entry'!P$7-'Advanced Entry'!P$6),10*((IF('Advanced Entry'!P$5="Logarithm",LN(0.001+'Advanced Entry'!P127),IF('Advanced Entry'!P$5="Exponential",EXP('Advanced Entry'!P127),'Advanced Entry'!P127)))-'Advanced Entry'!P$6)/('Advanced Entry'!P$7-'Advanced Entry'!P$6)),1))),"No data"))</f>
        <v/>
      </c>
      <c r="Q127" s="17">
        <f>IF('Advanced Entry'!Q127="","",IFERROR(MAX(0,MIN(10,ROUND(IF('Advanced Entry'!Q$8="Decrease Risk",10-10*((IF('Advanced Entry'!Q$5="Logarithm",LN(0.001+'Advanced Entry'!Q127),IF('Advanced Entry'!Q$5="Exponential",EXP('Advanced Entry'!Q127),'Advanced Entry'!Q127)))-'Advanced Entry'!Q$6)/('Advanced Entry'!Q$7-'Advanced Entry'!Q$6),10*((IF('Advanced Entry'!Q$5="Logarithm",LN(0.001+'Advanced Entry'!Q127),IF('Advanced Entry'!Q$5="Exponential",EXP('Advanced Entry'!Q127),'Advanced Entry'!Q127)))-'Advanced Entry'!Q$6)/('Advanced Entry'!Q$7-'Advanced Entry'!Q$6)),1))),"No data"))</f>
        <v/>
      </c>
      <c r="R127" s="17">
        <f>IF('Advanced Entry'!R127="","",IFERROR(MAX(0,MIN(10,ROUND(IF('Advanced Entry'!R$8="Decrease Risk",10-10*((IF('Advanced Entry'!R$5="Logarithm",LN(0.001+'Advanced Entry'!R127),IF('Advanced Entry'!R$5="Exponential",EXP('Advanced Entry'!R127),'Advanced Entry'!R127)))-'Advanced Entry'!R$6)/('Advanced Entry'!R$7-'Advanced Entry'!R$6),10*((IF('Advanced Entry'!R$5="Logarithm",LN(0.001+'Advanced Entry'!R127),IF('Advanced Entry'!R$5="Exponential",EXP('Advanced Entry'!R127),'Advanced Entry'!R127)))-'Advanced Entry'!R$6)/('Advanced Entry'!R$7-'Advanced Entry'!R$6)),1))),"No data"))</f>
        <v/>
      </c>
      <c r="S127" s="17">
        <f>IF('Advanced Entry'!S127="","",IFERROR(MAX(0,MIN(10,ROUND(IF('Advanced Entry'!S$8="Decrease Risk",10-10*((IF('Advanced Entry'!S$5="Logarithm",LN(0.001+'Advanced Entry'!S127),IF('Advanced Entry'!S$5="Exponential",EXP('Advanced Entry'!S127),'Advanced Entry'!S127)))-'Advanced Entry'!S$6)/('Advanced Entry'!S$7-'Advanced Entry'!S$6),10*((IF('Advanced Entry'!S$5="Logarithm",LN(0.001+'Advanced Entry'!S127),IF('Advanced Entry'!S$5="Exponential",EXP('Advanced Entry'!S127),'Advanced Entry'!S127)))-'Advanced Entry'!S$6)/('Advanced Entry'!S$7-'Advanced Entry'!S$6)),1))),"No data"))</f>
        <v/>
      </c>
      <c r="T127" s="17">
        <f>IF('Advanced Entry'!T127="","",IFERROR(MAX(0,MIN(10,ROUND(IF('Advanced Entry'!T$8="Decrease Risk",10-10*((IF('Advanced Entry'!T$5="Logarithm",LN(0.001+'Advanced Entry'!T127),IF('Advanced Entry'!T$5="Exponential",EXP('Advanced Entry'!T127),'Advanced Entry'!T127)))-'Advanced Entry'!T$6)/('Advanced Entry'!T$7-'Advanced Entry'!T$6),10*((IF('Advanced Entry'!T$5="Logarithm",LN(0.001+'Advanced Entry'!T127),IF('Advanced Entry'!T$5="Exponential",EXP('Advanced Entry'!T127),'Advanced Entry'!T127)))-'Advanced Entry'!T$6)/('Advanced Entry'!T$7-'Advanced Entry'!T$6)),1))),"No data"))</f>
        <v/>
      </c>
      <c r="U127" s="17">
        <f>IF('Advanced Entry'!U127="","",IFERROR(MAX(0,MIN(10,ROUND(IF('Advanced Entry'!U$8="Decrease Risk",10-10*((IF('Advanced Entry'!U$5="Logarithm",LN(0.001+'Advanced Entry'!U127),IF('Advanced Entry'!U$5="Exponential",EXP('Advanced Entry'!U127),'Advanced Entry'!U127)))-'Advanced Entry'!U$6)/('Advanced Entry'!U$7-'Advanced Entry'!U$6),10*((IF('Advanced Entry'!U$5="Logarithm",LN(0.001+'Advanced Entry'!U127),IF('Advanced Entry'!U$5="Exponential",EXP('Advanced Entry'!U127),'Advanced Entry'!U127)))-'Advanced Entry'!U$6)/('Advanced Entry'!U$7-'Advanced Entry'!U$6)),1))),"No data"))</f>
        <v/>
      </c>
      <c r="V127" s="17">
        <f>IF('Advanced Entry'!V127="","",IFERROR(MAX(0,MIN(10,ROUND(IF('Advanced Entry'!V$8="Decrease Risk",10-10*((IF('Advanced Entry'!V$5="Logarithm",LN(0.001+'Advanced Entry'!V127),IF('Advanced Entry'!V$5="Exponential",EXP('Advanced Entry'!V127),'Advanced Entry'!V127)))-'Advanced Entry'!V$6)/('Advanced Entry'!V$7-'Advanced Entry'!V$6),10*((IF('Advanced Entry'!V$5="Logarithm",LN(0.001+'Advanced Entry'!V127),IF('Advanced Entry'!V$5="Exponential",EXP('Advanced Entry'!V127),'Advanced Entry'!V127)))-'Advanced Entry'!V$6)/('Advanced Entry'!V$7-'Advanced Entry'!V$6)),1))),"No data"))</f>
        <v/>
      </c>
      <c r="W127" s="17">
        <f>IF('Advanced Entry'!W127="","",IFERROR(MAX(0,MIN(10,ROUND(IF('Advanced Entry'!W$8="Decrease Risk",10-10*((IF('Advanced Entry'!W$5="Logarithm",LN(0.001+'Advanced Entry'!W127),IF('Advanced Entry'!W$5="Exponential",EXP('Advanced Entry'!W127),'Advanced Entry'!W127)))-'Advanced Entry'!W$6)/('Advanced Entry'!W$7-'Advanced Entry'!W$6),10*((IF('Advanced Entry'!W$5="Logarithm",LN(0.001+'Advanced Entry'!W127),IF('Advanced Entry'!W$5="Exponential",EXP('Advanced Entry'!W127),'Advanced Entry'!W127)))-'Advanced Entry'!W$6)/('Advanced Entry'!W$7-'Advanced Entry'!W$6)),1))),"No data"))</f>
        <v/>
      </c>
      <c r="X127" s="17">
        <f>IF('Advanced Entry'!X127="","",IFERROR(MAX(0,MIN(10,ROUND(IF('Advanced Entry'!X$8="Decrease Risk",10-10*((IF('Advanced Entry'!X$5="Logarithm",LN(0.001+'Advanced Entry'!X127),IF('Advanced Entry'!X$5="Exponential",EXP('Advanced Entry'!X127),'Advanced Entry'!X127)))-'Advanced Entry'!X$6)/('Advanced Entry'!X$7-'Advanced Entry'!X$6),10*((IF('Advanced Entry'!X$5="Logarithm",LN(0.001+'Advanced Entry'!X127),IF('Advanced Entry'!X$5="Exponential",EXP('Advanced Entry'!X127),'Advanced Entry'!X127)))-'Advanced Entry'!X$6)/('Advanced Entry'!X$7-'Advanced Entry'!X$6)),1))),"No data"))</f>
        <v/>
      </c>
      <c r="Y127" s="17">
        <f>IF('Advanced Entry'!Y127="","",IFERROR(MAX(0,MIN(10,ROUND(IF('Advanced Entry'!Y$8="Decrease Risk",10-10*((IF('Advanced Entry'!Y$5="Logarithm",LN(0.001+'Advanced Entry'!Y127),IF('Advanced Entry'!Y$5="Exponential",EXP('Advanced Entry'!Y127),'Advanced Entry'!Y127)))-'Advanced Entry'!Y$6)/('Advanced Entry'!Y$7-'Advanced Entry'!Y$6),10*((IF('Advanced Entry'!Y$5="Logarithm",LN(0.001+'Advanced Entry'!Y127),IF('Advanced Entry'!Y$5="Exponential",EXP('Advanced Entry'!Y127),'Advanced Entry'!Y127)))-'Advanced Entry'!Y$6)/('Advanced Entry'!Y$7-'Advanced Entry'!Y$6)),1))),"No data"))</f>
        <v/>
      </c>
      <c r="Z127" s="17">
        <f>IF('Advanced Entry'!Z127="","",IFERROR(MAX(0,MIN(10,ROUND(IF('Advanced Entry'!Z$8="Decrease Risk",10-10*((IF('Advanced Entry'!Z$5="Logarithm",LN(0.001+'Advanced Entry'!Z127),IF('Advanced Entry'!Z$5="Exponential",EXP('Advanced Entry'!Z127),'Advanced Entry'!Z127)))-'Advanced Entry'!Z$6)/('Advanced Entry'!Z$7-'Advanced Entry'!Z$6),10*((IF('Advanced Entry'!Z$5="Logarithm",LN(0.001+'Advanced Entry'!Z127),IF('Advanced Entry'!Z$5="Exponential",EXP('Advanced Entry'!Z127),'Advanced Entry'!Z127)))-'Advanced Entry'!Z$6)/('Advanced Entry'!Z$7-'Advanced Entry'!Z$6)),1))),"No data"))</f>
        <v/>
      </c>
      <c r="AA127" s="17">
        <f>IF('Advanced Entry'!AA127="","",IFERROR(MAX(0,MIN(10,ROUND(IF('Advanced Entry'!AA$8="Decrease Risk",10-10*((IF('Advanced Entry'!AA$5="Logarithm",LN(0.001+'Advanced Entry'!AA127),IF('Advanced Entry'!AA$5="Exponential",EXP('Advanced Entry'!AA127),'Advanced Entry'!AA127)))-'Advanced Entry'!AA$6)/('Advanced Entry'!AA$7-'Advanced Entry'!AA$6),10*((IF('Advanced Entry'!AA$5="Logarithm",LN(0.001+'Advanced Entry'!AA127),IF('Advanced Entry'!AA$5="Exponential",EXP('Advanced Entry'!AA127),'Advanced Entry'!AA127)))-'Advanced Entry'!AA$6)/('Advanced Entry'!AA$7-'Advanced Entry'!AA$6)),1))),"No data"))</f>
        <v/>
      </c>
      <c r="AB127" s="17">
        <f>IF('Advanced Entry'!AB127="","",IFERROR(MAX(0,MIN(10,ROUND(IF('Advanced Entry'!AB$8="Decrease Risk",10-10*((IF('Advanced Entry'!AB$5="Logarithm",LN(0.001+'Advanced Entry'!AB127),IF('Advanced Entry'!AB$5="Exponential",EXP('Advanced Entry'!AB127),'Advanced Entry'!AB127)))-'Advanced Entry'!AB$6)/('Advanced Entry'!AB$7-'Advanced Entry'!AB$6),10*((IF('Advanced Entry'!AB$5="Logarithm",LN(0.001+'Advanced Entry'!AB127),IF('Advanced Entry'!AB$5="Exponential",EXP('Advanced Entry'!AB127),'Advanced Entry'!AB127)))-'Advanced Entry'!AB$6)/('Advanced Entry'!AB$7-'Advanced Entry'!AB$6)),1))),"No data"))</f>
        <v/>
      </c>
    </row>
    <row r="128">
      <c r="A128" t="inlineStr">
        <is>
          <t>Mwanza</t>
        </is>
      </c>
      <c r="B128" t="inlineStr">
        <is>
          <t>Buchosa District</t>
        </is>
      </c>
      <c r="C128" t="inlineStr">
        <is>
          <t>C138</t>
        </is>
      </c>
      <c r="D128" s="17">
        <f>IF('Advanced Entry'!D128="","",IFERROR(MAX(0,MIN(10,ROUND(IF('Advanced Entry'!D$8="Decrease Risk",10-10*((IF('Advanced Entry'!D$5="Logarithm",LN(0.001+'Advanced Entry'!D128),IF('Advanced Entry'!D$5="Exponential",EXP('Advanced Entry'!D128),'Advanced Entry'!D128)))-'Advanced Entry'!D$6)/('Advanced Entry'!D$7-'Advanced Entry'!D$6),10*((IF('Advanced Entry'!D$5="Logarithm",LN(0.001+'Advanced Entry'!D128),IF('Advanced Entry'!D$5="Exponential",EXP('Advanced Entry'!D128),'Advanced Entry'!D128)))-'Advanced Entry'!D$6)/('Advanced Entry'!D$7-'Advanced Entry'!D$6)),1))),"No data"))</f>
        <v/>
      </c>
      <c r="E128" s="17">
        <f>IF('Advanced Entry'!E128="","",IFERROR(MAX(0,MIN(10,ROUND(IF('Advanced Entry'!E$8="Decrease Risk",10-10*((IF('Advanced Entry'!E$5="Logarithm",LN(0.001+'Advanced Entry'!E128),IF('Advanced Entry'!E$5="Exponential",EXP('Advanced Entry'!E128),'Advanced Entry'!E128)))-'Advanced Entry'!E$6)/('Advanced Entry'!E$7-'Advanced Entry'!E$6),10*((IF('Advanced Entry'!E$5="Logarithm",LN(0.001+'Advanced Entry'!E128),IF('Advanced Entry'!E$5="Exponential",EXP('Advanced Entry'!E128),'Advanced Entry'!E128)))-'Advanced Entry'!E$6)/('Advanced Entry'!E$7-'Advanced Entry'!E$6)),1))),"No data"))</f>
        <v/>
      </c>
      <c r="F128" s="17">
        <f>IF('Advanced Entry'!F128="","",IFERROR(MAX(0,MIN(10,ROUND(IF('Advanced Entry'!F$8="Decrease Risk",10-10*((IF('Advanced Entry'!F$5="Logarithm",LN(0.001+'Advanced Entry'!F128),IF('Advanced Entry'!F$5="Exponential",EXP('Advanced Entry'!F128),'Advanced Entry'!F128)))-'Advanced Entry'!F$6)/('Advanced Entry'!F$7-'Advanced Entry'!F$6),10*((IF('Advanced Entry'!F$5="Logarithm",LN(0.001+'Advanced Entry'!F128),IF('Advanced Entry'!F$5="Exponential",EXP('Advanced Entry'!F128),'Advanced Entry'!F128)))-'Advanced Entry'!F$6)/('Advanced Entry'!F$7-'Advanced Entry'!F$6)),1))),"No data"))</f>
        <v/>
      </c>
      <c r="G128" s="17">
        <f>IF('Advanced Entry'!G128="","",IFERROR(MAX(0,MIN(10,ROUND(IF('Advanced Entry'!G$8="Decrease Risk",10-10*((IF('Advanced Entry'!G$5="Logarithm",LN(0.001+'Advanced Entry'!G128),IF('Advanced Entry'!G$5="Exponential",EXP('Advanced Entry'!G128),'Advanced Entry'!G128)))-'Advanced Entry'!G$6)/('Advanced Entry'!G$7-'Advanced Entry'!G$6),10*((IF('Advanced Entry'!G$5="Logarithm",LN(0.001+'Advanced Entry'!G128),IF('Advanced Entry'!G$5="Exponential",EXP('Advanced Entry'!G128),'Advanced Entry'!G128)))-'Advanced Entry'!G$6)/('Advanced Entry'!G$7-'Advanced Entry'!G$6)),1))),"No data"))</f>
        <v/>
      </c>
      <c r="H128" s="17">
        <f>IF('Advanced Entry'!H128="","",IFERROR(MAX(0,MIN(10,ROUND(IF('Advanced Entry'!H$8="Decrease Risk",10-10*((IF('Advanced Entry'!H$5="Logarithm",LN(0.001+'Advanced Entry'!H128),IF('Advanced Entry'!H$5="Exponential",EXP('Advanced Entry'!H128),'Advanced Entry'!H128)))-'Advanced Entry'!H$6)/('Advanced Entry'!H$7-'Advanced Entry'!H$6),10*((IF('Advanced Entry'!H$5="Logarithm",LN(0.001+'Advanced Entry'!H128),IF('Advanced Entry'!H$5="Exponential",EXP('Advanced Entry'!H128),'Advanced Entry'!H128)))-'Advanced Entry'!H$6)/('Advanced Entry'!H$7-'Advanced Entry'!H$6)),1))),"No data"))</f>
        <v/>
      </c>
      <c r="I128" s="17">
        <f>IF('Advanced Entry'!I128="","",IFERROR(MAX(0,MIN(10,ROUND(IF('Advanced Entry'!I$8="Decrease Risk",10-10*((IF('Advanced Entry'!I$5="Logarithm",LN(0.001+'Advanced Entry'!I128),IF('Advanced Entry'!I$5="Exponential",EXP('Advanced Entry'!I128),'Advanced Entry'!I128)))-'Advanced Entry'!I$6)/('Advanced Entry'!I$7-'Advanced Entry'!I$6),10*((IF('Advanced Entry'!I$5="Logarithm",LN(0.001+'Advanced Entry'!I128),IF('Advanced Entry'!I$5="Exponential",EXP('Advanced Entry'!I128),'Advanced Entry'!I128)))-'Advanced Entry'!I$6)/('Advanced Entry'!I$7-'Advanced Entry'!I$6)),1))),"No data"))</f>
        <v/>
      </c>
      <c r="J128" s="17">
        <f>IF('Advanced Entry'!J128="","",IFERROR(MAX(0,MIN(10,ROUND(IF('Advanced Entry'!J$8="Decrease Risk",10-10*((IF('Advanced Entry'!J$5="Logarithm",LN(0.001+'Advanced Entry'!J128),IF('Advanced Entry'!J$5="Exponential",EXP('Advanced Entry'!J128),'Advanced Entry'!J128)))-'Advanced Entry'!J$6)/('Advanced Entry'!J$7-'Advanced Entry'!J$6),10*((IF('Advanced Entry'!J$5="Logarithm",LN(0.001+'Advanced Entry'!J128),IF('Advanced Entry'!J$5="Exponential",EXP('Advanced Entry'!J128),'Advanced Entry'!J128)))-'Advanced Entry'!J$6)/('Advanced Entry'!J$7-'Advanced Entry'!J$6)),1))),"No data"))</f>
        <v/>
      </c>
      <c r="K128" s="17">
        <f>IF('Advanced Entry'!K128="","",IFERROR(MAX(0,MIN(10,ROUND(IF('Advanced Entry'!K$8="Decrease Risk",10-10*((IF('Advanced Entry'!K$5="Logarithm",LN(0.001+'Advanced Entry'!K128),IF('Advanced Entry'!K$5="Exponential",EXP('Advanced Entry'!K128),'Advanced Entry'!K128)))-'Advanced Entry'!K$6)/('Advanced Entry'!K$7-'Advanced Entry'!K$6),10*((IF('Advanced Entry'!K$5="Logarithm",LN(0.001+'Advanced Entry'!K128),IF('Advanced Entry'!K$5="Exponential",EXP('Advanced Entry'!K128),'Advanced Entry'!K128)))-'Advanced Entry'!K$6)/('Advanced Entry'!K$7-'Advanced Entry'!K$6)),1))),"No data"))</f>
        <v/>
      </c>
      <c r="L128" s="17">
        <f>IF('Advanced Entry'!L128="","",IFERROR(MAX(0,MIN(10,ROUND(IF('Advanced Entry'!L$8="Decrease Risk",10-10*((IF('Advanced Entry'!L$5="Logarithm",LN(0.001+'Advanced Entry'!L128),IF('Advanced Entry'!L$5="Exponential",EXP('Advanced Entry'!L128),'Advanced Entry'!L128)))-'Advanced Entry'!L$6)/('Advanced Entry'!L$7-'Advanced Entry'!L$6),10*((IF('Advanced Entry'!L$5="Logarithm",LN(0.001+'Advanced Entry'!L128),IF('Advanced Entry'!L$5="Exponential",EXP('Advanced Entry'!L128),'Advanced Entry'!L128)))-'Advanced Entry'!L$6)/('Advanced Entry'!L$7-'Advanced Entry'!L$6)),1))),"No data"))</f>
        <v/>
      </c>
      <c r="M128" s="17">
        <f>IF('Advanced Entry'!M128="","",IFERROR(MAX(0,MIN(10,ROUND(IF('Advanced Entry'!M$8="Decrease Risk",10-10*((IF('Advanced Entry'!M$5="Logarithm",LN(0.001+'Advanced Entry'!M128),IF('Advanced Entry'!M$5="Exponential",EXP('Advanced Entry'!M128),'Advanced Entry'!M128)))-'Advanced Entry'!M$6)/('Advanced Entry'!M$7-'Advanced Entry'!M$6),10*((IF('Advanced Entry'!M$5="Logarithm",LN(0.001+'Advanced Entry'!M128),IF('Advanced Entry'!M$5="Exponential",EXP('Advanced Entry'!M128),'Advanced Entry'!M128)))-'Advanced Entry'!M$6)/('Advanced Entry'!M$7-'Advanced Entry'!M$6)),1))),"No data"))</f>
        <v/>
      </c>
      <c r="N128" s="17">
        <f>IF('Advanced Entry'!N128="","",IFERROR(MAX(0,MIN(10,ROUND(IF('Advanced Entry'!N$8="Decrease Risk",10-10*((IF('Advanced Entry'!N$5="Logarithm",LN(0.001+'Advanced Entry'!N128),IF('Advanced Entry'!N$5="Exponential",EXP('Advanced Entry'!N128),'Advanced Entry'!N128)))-'Advanced Entry'!N$6)/('Advanced Entry'!N$7-'Advanced Entry'!N$6),10*((IF('Advanced Entry'!N$5="Logarithm",LN(0.001+'Advanced Entry'!N128),IF('Advanced Entry'!N$5="Exponential",EXP('Advanced Entry'!N128),'Advanced Entry'!N128)))-'Advanced Entry'!N$6)/('Advanced Entry'!N$7-'Advanced Entry'!N$6)),1))),"No data"))</f>
        <v/>
      </c>
      <c r="O128" s="17">
        <f>IF('Advanced Entry'!O128="","",IFERROR(MAX(0,MIN(10,ROUND(IF('Advanced Entry'!O$8="Decrease Risk",10-10*((IF('Advanced Entry'!O$5="Logarithm",LN(0.001+'Advanced Entry'!O128),IF('Advanced Entry'!O$5="Exponential",EXP('Advanced Entry'!O128),'Advanced Entry'!O128)))-'Advanced Entry'!O$6)/('Advanced Entry'!O$7-'Advanced Entry'!O$6),10*((IF('Advanced Entry'!O$5="Logarithm",LN(0.001+'Advanced Entry'!O128),IF('Advanced Entry'!O$5="Exponential",EXP('Advanced Entry'!O128),'Advanced Entry'!O128)))-'Advanced Entry'!O$6)/('Advanced Entry'!O$7-'Advanced Entry'!O$6)),1))),"No data"))</f>
        <v/>
      </c>
      <c r="P128" s="17">
        <f>IF('Advanced Entry'!P128="","",IFERROR(MAX(0,MIN(10,ROUND(IF('Advanced Entry'!P$8="Decrease Risk",10-10*((IF('Advanced Entry'!P$5="Logarithm",LN(0.001+'Advanced Entry'!P128),IF('Advanced Entry'!P$5="Exponential",EXP('Advanced Entry'!P128),'Advanced Entry'!P128)))-'Advanced Entry'!P$6)/('Advanced Entry'!P$7-'Advanced Entry'!P$6),10*((IF('Advanced Entry'!P$5="Logarithm",LN(0.001+'Advanced Entry'!P128),IF('Advanced Entry'!P$5="Exponential",EXP('Advanced Entry'!P128),'Advanced Entry'!P128)))-'Advanced Entry'!P$6)/('Advanced Entry'!P$7-'Advanced Entry'!P$6)),1))),"No data"))</f>
        <v/>
      </c>
      <c r="Q128" s="17">
        <f>IF('Advanced Entry'!Q128="","",IFERROR(MAX(0,MIN(10,ROUND(IF('Advanced Entry'!Q$8="Decrease Risk",10-10*((IF('Advanced Entry'!Q$5="Logarithm",LN(0.001+'Advanced Entry'!Q128),IF('Advanced Entry'!Q$5="Exponential",EXP('Advanced Entry'!Q128),'Advanced Entry'!Q128)))-'Advanced Entry'!Q$6)/('Advanced Entry'!Q$7-'Advanced Entry'!Q$6),10*((IF('Advanced Entry'!Q$5="Logarithm",LN(0.001+'Advanced Entry'!Q128),IF('Advanced Entry'!Q$5="Exponential",EXP('Advanced Entry'!Q128),'Advanced Entry'!Q128)))-'Advanced Entry'!Q$6)/('Advanced Entry'!Q$7-'Advanced Entry'!Q$6)),1))),"No data"))</f>
        <v/>
      </c>
      <c r="R128" s="17">
        <f>IF('Advanced Entry'!R128="","",IFERROR(MAX(0,MIN(10,ROUND(IF('Advanced Entry'!R$8="Decrease Risk",10-10*((IF('Advanced Entry'!R$5="Logarithm",LN(0.001+'Advanced Entry'!R128),IF('Advanced Entry'!R$5="Exponential",EXP('Advanced Entry'!R128),'Advanced Entry'!R128)))-'Advanced Entry'!R$6)/('Advanced Entry'!R$7-'Advanced Entry'!R$6),10*((IF('Advanced Entry'!R$5="Logarithm",LN(0.001+'Advanced Entry'!R128),IF('Advanced Entry'!R$5="Exponential",EXP('Advanced Entry'!R128),'Advanced Entry'!R128)))-'Advanced Entry'!R$6)/('Advanced Entry'!R$7-'Advanced Entry'!R$6)),1))),"No data"))</f>
        <v/>
      </c>
      <c r="S128" s="17">
        <f>IF('Advanced Entry'!S128="","",IFERROR(MAX(0,MIN(10,ROUND(IF('Advanced Entry'!S$8="Decrease Risk",10-10*((IF('Advanced Entry'!S$5="Logarithm",LN(0.001+'Advanced Entry'!S128),IF('Advanced Entry'!S$5="Exponential",EXP('Advanced Entry'!S128),'Advanced Entry'!S128)))-'Advanced Entry'!S$6)/('Advanced Entry'!S$7-'Advanced Entry'!S$6),10*((IF('Advanced Entry'!S$5="Logarithm",LN(0.001+'Advanced Entry'!S128),IF('Advanced Entry'!S$5="Exponential",EXP('Advanced Entry'!S128),'Advanced Entry'!S128)))-'Advanced Entry'!S$6)/('Advanced Entry'!S$7-'Advanced Entry'!S$6)),1))),"No data"))</f>
        <v/>
      </c>
      <c r="T128" s="17">
        <f>IF('Advanced Entry'!T128="","",IFERROR(MAX(0,MIN(10,ROUND(IF('Advanced Entry'!T$8="Decrease Risk",10-10*((IF('Advanced Entry'!T$5="Logarithm",LN(0.001+'Advanced Entry'!T128),IF('Advanced Entry'!T$5="Exponential",EXP('Advanced Entry'!T128),'Advanced Entry'!T128)))-'Advanced Entry'!T$6)/('Advanced Entry'!T$7-'Advanced Entry'!T$6),10*((IF('Advanced Entry'!T$5="Logarithm",LN(0.001+'Advanced Entry'!T128),IF('Advanced Entry'!T$5="Exponential",EXP('Advanced Entry'!T128),'Advanced Entry'!T128)))-'Advanced Entry'!T$6)/('Advanced Entry'!T$7-'Advanced Entry'!T$6)),1))),"No data"))</f>
        <v/>
      </c>
      <c r="U128" s="17">
        <f>IF('Advanced Entry'!U128="","",IFERROR(MAX(0,MIN(10,ROUND(IF('Advanced Entry'!U$8="Decrease Risk",10-10*((IF('Advanced Entry'!U$5="Logarithm",LN(0.001+'Advanced Entry'!U128),IF('Advanced Entry'!U$5="Exponential",EXP('Advanced Entry'!U128),'Advanced Entry'!U128)))-'Advanced Entry'!U$6)/('Advanced Entry'!U$7-'Advanced Entry'!U$6),10*((IF('Advanced Entry'!U$5="Logarithm",LN(0.001+'Advanced Entry'!U128),IF('Advanced Entry'!U$5="Exponential",EXP('Advanced Entry'!U128),'Advanced Entry'!U128)))-'Advanced Entry'!U$6)/('Advanced Entry'!U$7-'Advanced Entry'!U$6)),1))),"No data"))</f>
        <v/>
      </c>
      <c r="V128" s="17">
        <f>IF('Advanced Entry'!V128="","",IFERROR(MAX(0,MIN(10,ROUND(IF('Advanced Entry'!V$8="Decrease Risk",10-10*((IF('Advanced Entry'!V$5="Logarithm",LN(0.001+'Advanced Entry'!V128),IF('Advanced Entry'!V$5="Exponential",EXP('Advanced Entry'!V128),'Advanced Entry'!V128)))-'Advanced Entry'!V$6)/('Advanced Entry'!V$7-'Advanced Entry'!V$6),10*((IF('Advanced Entry'!V$5="Logarithm",LN(0.001+'Advanced Entry'!V128),IF('Advanced Entry'!V$5="Exponential",EXP('Advanced Entry'!V128),'Advanced Entry'!V128)))-'Advanced Entry'!V$6)/('Advanced Entry'!V$7-'Advanced Entry'!V$6)),1))),"No data"))</f>
        <v/>
      </c>
      <c r="W128" s="17">
        <f>IF('Advanced Entry'!W128="","",IFERROR(MAX(0,MIN(10,ROUND(IF('Advanced Entry'!W$8="Decrease Risk",10-10*((IF('Advanced Entry'!W$5="Logarithm",LN(0.001+'Advanced Entry'!W128),IF('Advanced Entry'!W$5="Exponential",EXP('Advanced Entry'!W128),'Advanced Entry'!W128)))-'Advanced Entry'!W$6)/('Advanced Entry'!W$7-'Advanced Entry'!W$6),10*((IF('Advanced Entry'!W$5="Logarithm",LN(0.001+'Advanced Entry'!W128),IF('Advanced Entry'!W$5="Exponential",EXP('Advanced Entry'!W128),'Advanced Entry'!W128)))-'Advanced Entry'!W$6)/('Advanced Entry'!W$7-'Advanced Entry'!W$6)),1))),"No data"))</f>
        <v/>
      </c>
      <c r="X128" s="17">
        <f>IF('Advanced Entry'!X128="","",IFERROR(MAX(0,MIN(10,ROUND(IF('Advanced Entry'!X$8="Decrease Risk",10-10*((IF('Advanced Entry'!X$5="Logarithm",LN(0.001+'Advanced Entry'!X128),IF('Advanced Entry'!X$5="Exponential",EXP('Advanced Entry'!X128),'Advanced Entry'!X128)))-'Advanced Entry'!X$6)/('Advanced Entry'!X$7-'Advanced Entry'!X$6),10*((IF('Advanced Entry'!X$5="Logarithm",LN(0.001+'Advanced Entry'!X128),IF('Advanced Entry'!X$5="Exponential",EXP('Advanced Entry'!X128),'Advanced Entry'!X128)))-'Advanced Entry'!X$6)/('Advanced Entry'!X$7-'Advanced Entry'!X$6)),1))),"No data"))</f>
        <v/>
      </c>
      <c r="Y128" s="17">
        <f>IF('Advanced Entry'!Y128="","",IFERROR(MAX(0,MIN(10,ROUND(IF('Advanced Entry'!Y$8="Decrease Risk",10-10*((IF('Advanced Entry'!Y$5="Logarithm",LN(0.001+'Advanced Entry'!Y128),IF('Advanced Entry'!Y$5="Exponential",EXP('Advanced Entry'!Y128),'Advanced Entry'!Y128)))-'Advanced Entry'!Y$6)/('Advanced Entry'!Y$7-'Advanced Entry'!Y$6),10*((IF('Advanced Entry'!Y$5="Logarithm",LN(0.001+'Advanced Entry'!Y128),IF('Advanced Entry'!Y$5="Exponential",EXP('Advanced Entry'!Y128),'Advanced Entry'!Y128)))-'Advanced Entry'!Y$6)/('Advanced Entry'!Y$7-'Advanced Entry'!Y$6)),1))),"No data"))</f>
        <v/>
      </c>
      <c r="Z128" s="17">
        <f>IF('Advanced Entry'!Z128="","",IFERROR(MAX(0,MIN(10,ROUND(IF('Advanced Entry'!Z$8="Decrease Risk",10-10*((IF('Advanced Entry'!Z$5="Logarithm",LN(0.001+'Advanced Entry'!Z128),IF('Advanced Entry'!Z$5="Exponential",EXP('Advanced Entry'!Z128),'Advanced Entry'!Z128)))-'Advanced Entry'!Z$6)/('Advanced Entry'!Z$7-'Advanced Entry'!Z$6),10*((IF('Advanced Entry'!Z$5="Logarithm",LN(0.001+'Advanced Entry'!Z128),IF('Advanced Entry'!Z$5="Exponential",EXP('Advanced Entry'!Z128),'Advanced Entry'!Z128)))-'Advanced Entry'!Z$6)/('Advanced Entry'!Z$7-'Advanced Entry'!Z$6)),1))),"No data"))</f>
        <v/>
      </c>
      <c r="AA128" s="17">
        <f>IF('Advanced Entry'!AA128="","",IFERROR(MAX(0,MIN(10,ROUND(IF('Advanced Entry'!AA$8="Decrease Risk",10-10*((IF('Advanced Entry'!AA$5="Logarithm",LN(0.001+'Advanced Entry'!AA128),IF('Advanced Entry'!AA$5="Exponential",EXP('Advanced Entry'!AA128),'Advanced Entry'!AA128)))-'Advanced Entry'!AA$6)/('Advanced Entry'!AA$7-'Advanced Entry'!AA$6),10*((IF('Advanced Entry'!AA$5="Logarithm",LN(0.001+'Advanced Entry'!AA128),IF('Advanced Entry'!AA$5="Exponential",EXP('Advanced Entry'!AA128),'Advanced Entry'!AA128)))-'Advanced Entry'!AA$6)/('Advanced Entry'!AA$7-'Advanced Entry'!AA$6)),1))),"No data"))</f>
        <v/>
      </c>
      <c r="AB128" s="17">
        <f>IF('Advanced Entry'!AB128="","",IFERROR(MAX(0,MIN(10,ROUND(IF('Advanced Entry'!AB$8="Decrease Risk",10-10*((IF('Advanced Entry'!AB$5="Logarithm",LN(0.001+'Advanced Entry'!AB128),IF('Advanced Entry'!AB$5="Exponential",EXP('Advanced Entry'!AB128),'Advanced Entry'!AB128)))-'Advanced Entry'!AB$6)/('Advanced Entry'!AB$7-'Advanced Entry'!AB$6),10*((IF('Advanced Entry'!AB$5="Logarithm",LN(0.001+'Advanced Entry'!AB128),IF('Advanced Entry'!AB$5="Exponential",EXP('Advanced Entry'!AB128),'Advanced Entry'!AB128)))-'Advanced Entry'!AB$6)/('Advanced Entry'!AB$7-'Advanced Entry'!AB$6)),1))),"No data"))</f>
        <v/>
      </c>
    </row>
    <row r="129">
      <c r="A129" t="inlineStr">
        <is>
          <t>Mwanza</t>
        </is>
      </c>
      <c r="B129" t="inlineStr">
        <is>
          <t>Ilemela Municipal</t>
        </is>
      </c>
      <c r="C129" t="inlineStr">
        <is>
          <t>C139</t>
        </is>
      </c>
      <c r="D129" s="17">
        <f>IF('Advanced Entry'!D129="","",IFERROR(MAX(0,MIN(10,ROUND(IF('Advanced Entry'!D$8="Decrease Risk",10-10*((IF('Advanced Entry'!D$5="Logarithm",LN(0.001+'Advanced Entry'!D129),IF('Advanced Entry'!D$5="Exponential",EXP('Advanced Entry'!D129),'Advanced Entry'!D129)))-'Advanced Entry'!D$6)/('Advanced Entry'!D$7-'Advanced Entry'!D$6),10*((IF('Advanced Entry'!D$5="Logarithm",LN(0.001+'Advanced Entry'!D129),IF('Advanced Entry'!D$5="Exponential",EXP('Advanced Entry'!D129),'Advanced Entry'!D129)))-'Advanced Entry'!D$6)/('Advanced Entry'!D$7-'Advanced Entry'!D$6)),1))),"No data"))</f>
        <v/>
      </c>
      <c r="E129" s="17">
        <f>IF('Advanced Entry'!E129="","",IFERROR(MAX(0,MIN(10,ROUND(IF('Advanced Entry'!E$8="Decrease Risk",10-10*((IF('Advanced Entry'!E$5="Logarithm",LN(0.001+'Advanced Entry'!E129),IF('Advanced Entry'!E$5="Exponential",EXP('Advanced Entry'!E129),'Advanced Entry'!E129)))-'Advanced Entry'!E$6)/('Advanced Entry'!E$7-'Advanced Entry'!E$6),10*((IF('Advanced Entry'!E$5="Logarithm",LN(0.001+'Advanced Entry'!E129),IF('Advanced Entry'!E$5="Exponential",EXP('Advanced Entry'!E129),'Advanced Entry'!E129)))-'Advanced Entry'!E$6)/('Advanced Entry'!E$7-'Advanced Entry'!E$6)),1))),"No data"))</f>
        <v/>
      </c>
      <c r="F129" s="17">
        <f>IF('Advanced Entry'!F129="","",IFERROR(MAX(0,MIN(10,ROUND(IF('Advanced Entry'!F$8="Decrease Risk",10-10*((IF('Advanced Entry'!F$5="Logarithm",LN(0.001+'Advanced Entry'!F129),IF('Advanced Entry'!F$5="Exponential",EXP('Advanced Entry'!F129),'Advanced Entry'!F129)))-'Advanced Entry'!F$6)/('Advanced Entry'!F$7-'Advanced Entry'!F$6),10*((IF('Advanced Entry'!F$5="Logarithm",LN(0.001+'Advanced Entry'!F129),IF('Advanced Entry'!F$5="Exponential",EXP('Advanced Entry'!F129),'Advanced Entry'!F129)))-'Advanced Entry'!F$6)/('Advanced Entry'!F$7-'Advanced Entry'!F$6)),1))),"No data"))</f>
        <v/>
      </c>
      <c r="G129" s="17">
        <f>IF('Advanced Entry'!G129="","",IFERROR(MAX(0,MIN(10,ROUND(IF('Advanced Entry'!G$8="Decrease Risk",10-10*((IF('Advanced Entry'!G$5="Logarithm",LN(0.001+'Advanced Entry'!G129),IF('Advanced Entry'!G$5="Exponential",EXP('Advanced Entry'!G129),'Advanced Entry'!G129)))-'Advanced Entry'!G$6)/('Advanced Entry'!G$7-'Advanced Entry'!G$6),10*((IF('Advanced Entry'!G$5="Logarithm",LN(0.001+'Advanced Entry'!G129),IF('Advanced Entry'!G$5="Exponential",EXP('Advanced Entry'!G129),'Advanced Entry'!G129)))-'Advanced Entry'!G$6)/('Advanced Entry'!G$7-'Advanced Entry'!G$6)),1))),"No data"))</f>
        <v/>
      </c>
      <c r="H129" s="17">
        <f>IF('Advanced Entry'!H129="","",IFERROR(MAX(0,MIN(10,ROUND(IF('Advanced Entry'!H$8="Decrease Risk",10-10*((IF('Advanced Entry'!H$5="Logarithm",LN(0.001+'Advanced Entry'!H129),IF('Advanced Entry'!H$5="Exponential",EXP('Advanced Entry'!H129),'Advanced Entry'!H129)))-'Advanced Entry'!H$6)/('Advanced Entry'!H$7-'Advanced Entry'!H$6),10*((IF('Advanced Entry'!H$5="Logarithm",LN(0.001+'Advanced Entry'!H129),IF('Advanced Entry'!H$5="Exponential",EXP('Advanced Entry'!H129),'Advanced Entry'!H129)))-'Advanced Entry'!H$6)/('Advanced Entry'!H$7-'Advanced Entry'!H$6)),1))),"No data"))</f>
        <v/>
      </c>
      <c r="I129" s="17">
        <f>IF('Advanced Entry'!I129="","",IFERROR(MAX(0,MIN(10,ROUND(IF('Advanced Entry'!I$8="Decrease Risk",10-10*((IF('Advanced Entry'!I$5="Logarithm",LN(0.001+'Advanced Entry'!I129),IF('Advanced Entry'!I$5="Exponential",EXP('Advanced Entry'!I129),'Advanced Entry'!I129)))-'Advanced Entry'!I$6)/('Advanced Entry'!I$7-'Advanced Entry'!I$6),10*((IF('Advanced Entry'!I$5="Logarithm",LN(0.001+'Advanced Entry'!I129),IF('Advanced Entry'!I$5="Exponential",EXP('Advanced Entry'!I129),'Advanced Entry'!I129)))-'Advanced Entry'!I$6)/('Advanced Entry'!I$7-'Advanced Entry'!I$6)),1))),"No data"))</f>
        <v/>
      </c>
      <c r="J129" s="17">
        <f>IF('Advanced Entry'!J129="","",IFERROR(MAX(0,MIN(10,ROUND(IF('Advanced Entry'!J$8="Decrease Risk",10-10*((IF('Advanced Entry'!J$5="Logarithm",LN(0.001+'Advanced Entry'!J129),IF('Advanced Entry'!J$5="Exponential",EXP('Advanced Entry'!J129),'Advanced Entry'!J129)))-'Advanced Entry'!J$6)/('Advanced Entry'!J$7-'Advanced Entry'!J$6),10*((IF('Advanced Entry'!J$5="Logarithm",LN(0.001+'Advanced Entry'!J129),IF('Advanced Entry'!J$5="Exponential",EXP('Advanced Entry'!J129),'Advanced Entry'!J129)))-'Advanced Entry'!J$6)/('Advanced Entry'!J$7-'Advanced Entry'!J$6)),1))),"No data"))</f>
        <v/>
      </c>
      <c r="K129" s="17">
        <f>IF('Advanced Entry'!K129="","",IFERROR(MAX(0,MIN(10,ROUND(IF('Advanced Entry'!K$8="Decrease Risk",10-10*((IF('Advanced Entry'!K$5="Logarithm",LN(0.001+'Advanced Entry'!K129),IF('Advanced Entry'!K$5="Exponential",EXP('Advanced Entry'!K129),'Advanced Entry'!K129)))-'Advanced Entry'!K$6)/('Advanced Entry'!K$7-'Advanced Entry'!K$6),10*((IF('Advanced Entry'!K$5="Logarithm",LN(0.001+'Advanced Entry'!K129),IF('Advanced Entry'!K$5="Exponential",EXP('Advanced Entry'!K129),'Advanced Entry'!K129)))-'Advanced Entry'!K$6)/('Advanced Entry'!K$7-'Advanced Entry'!K$6)),1))),"No data"))</f>
        <v/>
      </c>
      <c r="L129" s="17">
        <f>IF('Advanced Entry'!L129="","",IFERROR(MAX(0,MIN(10,ROUND(IF('Advanced Entry'!L$8="Decrease Risk",10-10*((IF('Advanced Entry'!L$5="Logarithm",LN(0.001+'Advanced Entry'!L129),IF('Advanced Entry'!L$5="Exponential",EXP('Advanced Entry'!L129),'Advanced Entry'!L129)))-'Advanced Entry'!L$6)/('Advanced Entry'!L$7-'Advanced Entry'!L$6),10*((IF('Advanced Entry'!L$5="Logarithm",LN(0.001+'Advanced Entry'!L129),IF('Advanced Entry'!L$5="Exponential",EXP('Advanced Entry'!L129),'Advanced Entry'!L129)))-'Advanced Entry'!L$6)/('Advanced Entry'!L$7-'Advanced Entry'!L$6)),1))),"No data"))</f>
        <v/>
      </c>
      <c r="M129" s="17">
        <f>IF('Advanced Entry'!M129="","",IFERROR(MAX(0,MIN(10,ROUND(IF('Advanced Entry'!M$8="Decrease Risk",10-10*((IF('Advanced Entry'!M$5="Logarithm",LN(0.001+'Advanced Entry'!M129),IF('Advanced Entry'!M$5="Exponential",EXP('Advanced Entry'!M129),'Advanced Entry'!M129)))-'Advanced Entry'!M$6)/('Advanced Entry'!M$7-'Advanced Entry'!M$6),10*((IF('Advanced Entry'!M$5="Logarithm",LN(0.001+'Advanced Entry'!M129),IF('Advanced Entry'!M$5="Exponential",EXP('Advanced Entry'!M129),'Advanced Entry'!M129)))-'Advanced Entry'!M$6)/('Advanced Entry'!M$7-'Advanced Entry'!M$6)),1))),"No data"))</f>
        <v/>
      </c>
      <c r="N129" s="17">
        <f>IF('Advanced Entry'!N129="","",IFERROR(MAX(0,MIN(10,ROUND(IF('Advanced Entry'!N$8="Decrease Risk",10-10*((IF('Advanced Entry'!N$5="Logarithm",LN(0.001+'Advanced Entry'!N129),IF('Advanced Entry'!N$5="Exponential",EXP('Advanced Entry'!N129),'Advanced Entry'!N129)))-'Advanced Entry'!N$6)/('Advanced Entry'!N$7-'Advanced Entry'!N$6),10*((IF('Advanced Entry'!N$5="Logarithm",LN(0.001+'Advanced Entry'!N129),IF('Advanced Entry'!N$5="Exponential",EXP('Advanced Entry'!N129),'Advanced Entry'!N129)))-'Advanced Entry'!N$6)/('Advanced Entry'!N$7-'Advanced Entry'!N$6)),1))),"No data"))</f>
        <v/>
      </c>
      <c r="O129" s="17">
        <f>IF('Advanced Entry'!O129="","",IFERROR(MAX(0,MIN(10,ROUND(IF('Advanced Entry'!O$8="Decrease Risk",10-10*((IF('Advanced Entry'!O$5="Logarithm",LN(0.001+'Advanced Entry'!O129),IF('Advanced Entry'!O$5="Exponential",EXP('Advanced Entry'!O129),'Advanced Entry'!O129)))-'Advanced Entry'!O$6)/('Advanced Entry'!O$7-'Advanced Entry'!O$6),10*((IF('Advanced Entry'!O$5="Logarithm",LN(0.001+'Advanced Entry'!O129),IF('Advanced Entry'!O$5="Exponential",EXP('Advanced Entry'!O129),'Advanced Entry'!O129)))-'Advanced Entry'!O$6)/('Advanced Entry'!O$7-'Advanced Entry'!O$6)),1))),"No data"))</f>
        <v/>
      </c>
      <c r="P129" s="17">
        <f>IF('Advanced Entry'!P129="","",IFERROR(MAX(0,MIN(10,ROUND(IF('Advanced Entry'!P$8="Decrease Risk",10-10*((IF('Advanced Entry'!P$5="Logarithm",LN(0.001+'Advanced Entry'!P129),IF('Advanced Entry'!P$5="Exponential",EXP('Advanced Entry'!P129),'Advanced Entry'!P129)))-'Advanced Entry'!P$6)/('Advanced Entry'!P$7-'Advanced Entry'!P$6),10*((IF('Advanced Entry'!P$5="Logarithm",LN(0.001+'Advanced Entry'!P129),IF('Advanced Entry'!P$5="Exponential",EXP('Advanced Entry'!P129),'Advanced Entry'!P129)))-'Advanced Entry'!P$6)/('Advanced Entry'!P$7-'Advanced Entry'!P$6)),1))),"No data"))</f>
        <v/>
      </c>
      <c r="Q129" s="17">
        <f>IF('Advanced Entry'!Q129="","",IFERROR(MAX(0,MIN(10,ROUND(IF('Advanced Entry'!Q$8="Decrease Risk",10-10*((IF('Advanced Entry'!Q$5="Logarithm",LN(0.001+'Advanced Entry'!Q129),IF('Advanced Entry'!Q$5="Exponential",EXP('Advanced Entry'!Q129),'Advanced Entry'!Q129)))-'Advanced Entry'!Q$6)/('Advanced Entry'!Q$7-'Advanced Entry'!Q$6),10*((IF('Advanced Entry'!Q$5="Logarithm",LN(0.001+'Advanced Entry'!Q129),IF('Advanced Entry'!Q$5="Exponential",EXP('Advanced Entry'!Q129),'Advanced Entry'!Q129)))-'Advanced Entry'!Q$6)/('Advanced Entry'!Q$7-'Advanced Entry'!Q$6)),1))),"No data"))</f>
        <v/>
      </c>
      <c r="R129" s="17">
        <f>IF('Advanced Entry'!R129="","",IFERROR(MAX(0,MIN(10,ROUND(IF('Advanced Entry'!R$8="Decrease Risk",10-10*((IF('Advanced Entry'!R$5="Logarithm",LN(0.001+'Advanced Entry'!R129),IF('Advanced Entry'!R$5="Exponential",EXP('Advanced Entry'!R129),'Advanced Entry'!R129)))-'Advanced Entry'!R$6)/('Advanced Entry'!R$7-'Advanced Entry'!R$6),10*((IF('Advanced Entry'!R$5="Logarithm",LN(0.001+'Advanced Entry'!R129),IF('Advanced Entry'!R$5="Exponential",EXP('Advanced Entry'!R129),'Advanced Entry'!R129)))-'Advanced Entry'!R$6)/('Advanced Entry'!R$7-'Advanced Entry'!R$6)),1))),"No data"))</f>
        <v/>
      </c>
      <c r="S129" s="17">
        <f>IF('Advanced Entry'!S129="","",IFERROR(MAX(0,MIN(10,ROUND(IF('Advanced Entry'!S$8="Decrease Risk",10-10*((IF('Advanced Entry'!S$5="Logarithm",LN(0.001+'Advanced Entry'!S129),IF('Advanced Entry'!S$5="Exponential",EXP('Advanced Entry'!S129),'Advanced Entry'!S129)))-'Advanced Entry'!S$6)/('Advanced Entry'!S$7-'Advanced Entry'!S$6),10*((IF('Advanced Entry'!S$5="Logarithm",LN(0.001+'Advanced Entry'!S129),IF('Advanced Entry'!S$5="Exponential",EXP('Advanced Entry'!S129),'Advanced Entry'!S129)))-'Advanced Entry'!S$6)/('Advanced Entry'!S$7-'Advanced Entry'!S$6)),1))),"No data"))</f>
        <v/>
      </c>
      <c r="T129" s="17">
        <f>IF('Advanced Entry'!T129="","",IFERROR(MAX(0,MIN(10,ROUND(IF('Advanced Entry'!T$8="Decrease Risk",10-10*((IF('Advanced Entry'!T$5="Logarithm",LN(0.001+'Advanced Entry'!T129),IF('Advanced Entry'!T$5="Exponential",EXP('Advanced Entry'!T129),'Advanced Entry'!T129)))-'Advanced Entry'!T$6)/('Advanced Entry'!T$7-'Advanced Entry'!T$6),10*((IF('Advanced Entry'!T$5="Logarithm",LN(0.001+'Advanced Entry'!T129),IF('Advanced Entry'!T$5="Exponential",EXP('Advanced Entry'!T129),'Advanced Entry'!T129)))-'Advanced Entry'!T$6)/('Advanced Entry'!T$7-'Advanced Entry'!T$6)),1))),"No data"))</f>
        <v/>
      </c>
      <c r="U129" s="17">
        <f>IF('Advanced Entry'!U129="","",IFERROR(MAX(0,MIN(10,ROUND(IF('Advanced Entry'!U$8="Decrease Risk",10-10*((IF('Advanced Entry'!U$5="Logarithm",LN(0.001+'Advanced Entry'!U129),IF('Advanced Entry'!U$5="Exponential",EXP('Advanced Entry'!U129),'Advanced Entry'!U129)))-'Advanced Entry'!U$6)/('Advanced Entry'!U$7-'Advanced Entry'!U$6),10*((IF('Advanced Entry'!U$5="Logarithm",LN(0.001+'Advanced Entry'!U129),IF('Advanced Entry'!U$5="Exponential",EXP('Advanced Entry'!U129),'Advanced Entry'!U129)))-'Advanced Entry'!U$6)/('Advanced Entry'!U$7-'Advanced Entry'!U$6)),1))),"No data"))</f>
        <v/>
      </c>
      <c r="V129" s="17">
        <f>IF('Advanced Entry'!V129="","",IFERROR(MAX(0,MIN(10,ROUND(IF('Advanced Entry'!V$8="Decrease Risk",10-10*((IF('Advanced Entry'!V$5="Logarithm",LN(0.001+'Advanced Entry'!V129),IF('Advanced Entry'!V$5="Exponential",EXP('Advanced Entry'!V129),'Advanced Entry'!V129)))-'Advanced Entry'!V$6)/('Advanced Entry'!V$7-'Advanced Entry'!V$6),10*((IF('Advanced Entry'!V$5="Logarithm",LN(0.001+'Advanced Entry'!V129),IF('Advanced Entry'!V$5="Exponential",EXP('Advanced Entry'!V129),'Advanced Entry'!V129)))-'Advanced Entry'!V$6)/('Advanced Entry'!V$7-'Advanced Entry'!V$6)),1))),"No data"))</f>
        <v/>
      </c>
      <c r="W129" s="17">
        <f>IF('Advanced Entry'!W129="","",IFERROR(MAX(0,MIN(10,ROUND(IF('Advanced Entry'!W$8="Decrease Risk",10-10*((IF('Advanced Entry'!W$5="Logarithm",LN(0.001+'Advanced Entry'!W129),IF('Advanced Entry'!W$5="Exponential",EXP('Advanced Entry'!W129),'Advanced Entry'!W129)))-'Advanced Entry'!W$6)/('Advanced Entry'!W$7-'Advanced Entry'!W$6),10*((IF('Advanced Entry'!W$5="Logarithm",LN(0.001+'Advanced Entry'!W129),IF('Advanced Entry'!W$5="Exponential",EXP('Advanced Entry'!W129),'Advanced Entry'!W129)))-'Advanced Entry'!W$6)/('Advanced Entry'!W$7-'Advanced Entry'!W$6)),1))),"No data"))</f>
        <v/>
      </c>
      <c r="X129" s="17">
        <f>IF('Advanced Entry'!X129="","",IFERROR(MAX(0,MIN(10,ROUND(IF('Advanced Entry'!X$8="Decrease Risk",10-10*((IF('Advanced Entry'!X$5="Logarithm",LN(0.001+'Advanced Entry'!X129),IF('Advanced Entry'!X$5="Exponential",EXP('Advanced Entry'!X129),'Advanced Entry'!X129)))-'Advanced Entry'!X$6)/('Advanced Entry'!X$7-'Advanced Entry'!X$6),10*((IF('Advanced Entry'!X$5="Logarithm",LN(0.001+'Advanced Entry'!X129),IF('Advanced Entry'!X$5="Exponential",EXP('Advanced Entry'!X129),'Advanced Entry'!X129)))-'Advanced Entry'!X$6)/('Advanced Entry'!X$7-'Advanced Entry'!X$6)),1))),"No data"))</f>
        <v/>
      </c>
      <c r="Y129" s="17">
        <f>IF('Advanced Entry'!Y129="","",IFERROR(MAX(0,MIN(10,ROUND(IF('Advanced Entry'!Y$8="Decrease Risk",10-10*((IF('Advanced Entry'!Y$5="Logarithm",LN(0.001+'Advanced Entry'!Y129),IF('Advanced Entry'!Y$5="Exponential",EXP('Advanced Entry'!Y129),'Advanced Entry'!Y129)))-'Advanced Entry'!Y$6)/('Advanced Entry'!Y$7-'Advanced Entry'!Y$6),10*((IF('Advanced Entry'!Y$5="Logarithm",LN(0.001+'Advanced Entry'!Y129),IF('Advanced Entry'!Y$5="Exponential",EXP('Advanced Entry'!Y129),'Advanced Entry'!Y129)))-'Advanced Entry'!Y$6)/('Advanced Entry'!Y$7-'Advanced Entry'!Y$6)),1))),"No data"))</f>
        <v/>
      </c>
      <c r="Z129" s="17">
        <f>IF('Advanced Entry'!Z129="","",IFERROR(MAX(0,MIN(10,ROUND(IF('Advanced Entry'!Z$8="Decrease Risk",10-10*((IF('Advanced Entry'!Z$5="Logarithm",LN(0.001+'Advanced Entry'!Z129),IF('Advanced Entry'!Z$5="Exponential",EXP('Advanced Entry'!Z129),'Advanced Entry'!Z129)))-'Advanced Entry'!Z$6)/('Advanced Entry'!Z$7-'Advanced Entry'!Z$6),10*((IF('Advanced Entry'!Z$5="Logarithm",LN(0.001+'Advanced Entry'!Z129),IF('Advanced Entry'!Z$5="Exponential",EXP('Advanced Entry'!Z129),'Advanced Entry'!Z129)))-'Advanced Entry'!Z$6)/('Advanced Entry'!Z$7-'Advanced Entry'!Z$6)),1))),"No data"))</f>
        <v/>
      </c>
      <c r="AA129" s="17">
        <f>IF('Advanced Entry'!AA129="","",IFERROR(MAX(0,MIN(10,ROUND(IF('Advanced Entry'!AA$8="Decrease Risk",10-10*((IF('Advanced Entry'!AA$5="Logarithm",LN(0.001+'Advanced Entry'!AA129),IF('Advanced Entry'!AA$5="Exponential",EXP('Advanced Entry'!AA129),'Advanced Entry'!AA129)))-'Advanced Entry'!AA$6)/('Advanced Entry'!AA$7-'Advanced Entry'!AA$6),10*((IF('Advanced Entry'!AA$5="Logarithm",LN(0.001+'Advanced Entry'!AA129),IF('Advanced Entry'!AA$5="Exponential",EXP('Advanced Entry'!AA129),'Advanced Entry'!AA129)))-'Advanced Entry'!AA$6)/('Advanced Entry'!AA$7-'Advanced Entry'!AA$6)),1))),"No data"))</f>
        <v/>
      </c>
      <c r="AB129" s="17">
        <f>IF('Advanced Entry'!AB129="","",IFERROR(MAX(0,MIN(10,ROUND(IF('Advanced Entry'!AB$8="Decrease Risk",10-10*((IF('Advanced Entry'!AB$5="Logarithm",LN(0.001+'Advanced Entry'!AB129),IF('Advanced Entry'!AB$5="Exponential",EXP('Advanced Entry'!AB129),'Advanced Entry'!AB129)))-'Advanced Entry'!AB$6)/('Advanced Entry'!AB$7-'Advanced Entry'!AB$6),10*((IF('Advanced Entry'!AB$5="Logarithm",LN(0.001+'Advanced Entry'!AB129),IF('Advanced Entry'!AB$5="Exponential",EXP('Advanced Entry'!AB129),'Advanced Entry'!AB129)))-'Advanced Entry'!AB$6)/('Advanced Entry'!AB$7-'Advanced Entry'!AB$6)),1))),"No data"))</f>
        <v/>
      </c>
    </row>
    <row r="130">
      <c r="A130" t="inlineStr">
        <is>
          <t>Mwanza</t>
        </is>
      </c>
      <c r="B130" t="inlineStr">
        <is>
          <t>Kwimba District</t>
        </is>
      </c>
      <c r="C130" t="inlineStr">
        <is>
          <t>C136</t>
        </is>
      </c>
      <c r="D130" s="17">
        <f>IF('Advanced Entry'!D130="","",IFERROR(MAX(0,MIN(10,ROUND(IF('Advanced Entry'!D$8="Decrease Risk",10-10*((IF('Advanced Entry'!D$5="Logarithm",LN(0.001+'Advanced Entry'!D130),IF('Advanced Entry'!D$5="Exponential",EXP('Advanced Entry'!D130),'Advanced Entry'!D130)))-'Advanced Entry'!D$6)/('Advanced Entry'!D$7-'Advanced Entry'!D$6),10*((IF('Advanced Entry'!D$5="Logarithm",LN(0.001+'Advanced Entry'!D130),IF('Advanced Entry'!D$5="Exponential",EXP('Advanced Entry'!D130),'Advanced Entry'!D130)))-'Advanced Entry'!D$6)/('Advanced Entry'!D$7-'Advanced Entry'!D$6)),1))),"No data"))</f>
        <v/>
      </c>
      <c r="E130" s="17">
        <f>IF('Advanced Entry'!E130="","",IFERROR(MAX(0,MIN(10,ROUND(IF('Advanced Entry'!E$8="Decrease Risk",10-10*((IF('Advanced Entry'!E$5="Logarithm",LN(0.001+'Advanced Entry'!E130),IF('Advanced Entry'!E$5="Exponential",EXP('Advanced Entry'!E130),'Advanced Entry'!E130)))-'Advanced Entry'!E$6)/('Advanced Entry'!E$7-'Advanced Entry'!E$6),10*((IF('Advanced Entry'!E$5="Logarithm",LN(0.001+'Advanced Entry'!E130),IF('Advanced Entry'!E$5="Exponential",EXP('Advanced Entry'!E130),'Advanced Entry'!E130)))-'Advanced Entry'!E$6)/('Advanced Entry'!E$7-'Advanced Entry'!E$6)),1))),"No data"))</f>
        <v/>
      </c>
      <c r="F130" s="17">
        <f>IF('Advanced Entry'!F130="","",IFERROR(MAX(0,MIN(10,ROUND(IF('Advanced Entry'!F$8="Decrease Risk",10-10*((IF('Advanced Entry'!F$5="Logarithm",LN(0.001+'Advanced Entry'!F130),IF('Advanced Entry'!F$5="Exponential",EXP('Advanced Entry'!F130),'Advanced Entry'!F130)))-'Advanced Entry'!F$6)/('Advanced Entry'!F$7-'Advanced Entry'!F$6),10*((IF('Advanced Entry'!F$5="Logarithm",LN(0.001+'Advanced Entry'!F130),IF('Advanced Entry'!F$5="Exponential",EXP('Advanced Entry'!F130),'Advanced Entry'!F130)))-'Advanced Entry'!F$6)/('Advanced Entry'!F$7-'Advanced Entry'!F$6)),1))),"No data"))</f>
        <v/>
      </c>
      <c r="G130" s="17">
        <f>IF('Advanced Entry'!G130="","",IFERROR(MAX(0,MIN(10,ROUND(IF('Advanced Entry'!G$8="Decrease Risk",10-10*((IF('Advanced Entry'!G$5="Logarithm",LN(0.001+'Advanced Entry'!G130),IF('Advanced Entry'!G$5="Exponential",EXP('Advanced Entry'!G130),'Advanced Entry'!G130)))-'Advanced Entry'!G$6)/('Advanced Entry'!G$7-'Advanced Entry'!G$6),10*((IF('Advanced Entry'!G$5="Logarithm",LN(0.001+'Advanced Entry'!G130),IF('Advanced Entry'!G$5="Exponential",EXP('Advanced Entry'!G130),'Advanced Entry'!G130)))-'Advanced Entry'!G$6)/('Advanced Entry'!G$7-'Advanced Entry'!G$6)),1))),"No data"))</f>
        <v/>
      </c>
      <c r="H130" s="17">
        <f>IF('Advanced Entry'!H130="","",IFERROR(MAX(0,MIN(10,ROUND(IF('Advanced Entry'!H$8="Decrease Risk",10-10*((IF('Advanced Entry'!H$5="Logarithm",LN(0.001+'Advanced Entry'!H130),IF('Advanced Entry'!H$5="Exponential",EXP('Advanced Entry'!H130),'Advanced Entry'!H130)))-'Advanced Entry'!H$6)/('Advanced Entry'!H$7-'Advanced Entry'!H$6),10*((IF('Advanced Entry'!H$5="Logarithm",LN(0.001+'Advanced Entry'!H130),IF('Advanced Entry'!H$5="Exponential",EXP('Advanced Entry'!H130),'Advanced Entry'!H130)))-'Advanced Entry'!H$6)/('Advanced Entry'!H$7-'Advanced Entry'!H$6)),1))),"No data"))</f>
        <v/>
      </c>
      <c r="I130" s="17">
        <f>IF('Advanced Entry'!I130="","",IFERROR(MAX(0,MIN(10,ROUND(IF('Advanced Entry'!I$8="Decrease Risk",10-10*((IF('Advanced Entry'!I$5="Logarithm",LN(0.001+'Advanced Entry'!I130),IF('Advanced Entry'!I$5="Exponential",EXP('Advanced Entry'!I130),'Advanced Entry'!I130)))-'Advanced Entry'!I$6)/('Advanced Entry'!I$7-'Advanced Entry'!I$6),10*((IF('Advanced Entry'!I$5="Logarithm",LN(0.001+'Advanced Entry'!I130),IF('Advanced Entry'!I$5="Exponential",EXP('Advanced Entry'!I130),'Advanced Entry'!I130)))-'Advanced Entry'!I$6)/('Advanced Entry'!I$7-'Advanced Entry'!I$6)),1))),"No data"))</f>
        <v/>
      </c>
      <c r="J130" s="17">
        <f>IF('Advanced Entry'!J130="","",IFERROR(MAX(0,MIN(10,ROUND(IF('Advanced Entry'!J$8="Decrease Risk",10-10*((IF('Advanced Entry'!J$5="Logarithm",LN(0.001+'Advanced Entry'!J130),IF('Advanced Entry'!J$5="Exponential",EXP('Advanced Entry'!J130),'Advanced Entry'!J130)))-'Advanced Entry'!J$6)/('Advanced Entry'!J$7-'Advanced Entry'!J$6),10*((IF('Advanced Entry'!J$5="Logarithm",LN(0.001+'Advanced Entry'!J130),IF('Advanced Entry'!J$5="Exponential",EXP('Advanced Entry'!J130),'Advanced Entry'!J130)))-'Advanced Entry'!J$6)/('Advanced Entry'!J$7-'Advanced Entry'!J$6)),1))),"No data"))</f>
        <v/>
      </c>
      <c r="K130" s="17">
        <f>IF('Advanced Entry'!K130="","",IFERROR(MAX(0,MIN(10,ROUND(IF('Advanced Entry'!K$8="Decrease Risk",10-10*((IF('Advanced Entry'!K$5="Logarithm",LN(0.001+'Advanced Entry'!K130),IF('Advanced Entry'!K$5="Exponential",EXP('Advanced Entry'!K130),'Advanced Entry'!K130)))-'Advanced Entry'!K$6)/('Advanced Entry'!K$7-'Advanced Entry'!K$6),10*((IF('Advanced Entry'!K$5="Logarithm",LN(0.001+'Advanced Entry'!K130),IF('Advanced Entry'!K$5="Exponential",EXP('Advanced Entry'!K130),'Advanced Entry'!K130)))-'Advanced Entry'!K$6)/('Advanced Entry'!K$7-'Advanced Entry'!K$6)),1))),"No data"))</f>
        <v/>
      </c>
      <c r="L130" s="17">
        <f>IF('Advanced Entry'!L130="","",IFERROR(MAX(0,MIN(10,ROUND(IF('Advanced Entry'!L$8="Decrease Risk",10-10*((IF('Advanced Entry'!L$5="Logarithm",LN(0.001+'Advanced Entry'!L130),IF('Advanced Entry'!L$5="Exponential",EXP('Advanced Entry'!L130),'Advanced Entry'!L130)))-'Advanced Entry'!L$6)/('Advanced Entry'!L$7-'Advanced Entry'!L$6),10*((IF('Advanced Entry'!L$5="Logarithm",LN(0.001+'Advanced Entry'!L130),IF('Advanced Entry'!L$5="Exponential",EXP('Advanced Entry'!L130),'Advanced Entry'!L130)))-'Advanced Entry'!L$6)/('Advanced Entry'!L$7-'Advanced Entry'!L$6)),1))),"No data"))</f>
        <v/>
      </c>
      <c r="M130" s="17">
        <f>IF('Advanced Entry'!M130="","",IFERROR(MAX(0,MIN(10,ROUND(IF('Advanced Entry'!M$8="Decrease Risk",10-10*((IF('Advanced Entry'!M$5="Logarithm",LN(0.001+'Advanced Entry'!M130),IF('Advanced Entry'!M$5="Exponential",EXP('Advanced Entry'!M130),'Advanced Entry'!M130)))-'Advanced Entry'!M$6)/('Advanced Entry'!M$7-'Advanced Entry'!M$6),10*((IF('Advanced Entry'!M$5="Logarithm",LN(0.001+'Advanced Entry'!M130),IF('Advanced Entry'!M$5="Exponential",EXP('Advanced Entry'!M130),'Advanced Entry'!M130)))-'Advanced Entry'!M$6)/('Advanced Entry'!M$7-'Advanced Entry'!M$6)),1))),"No data"))</f>
        <v/>
      </c>
      <c r="N130" s="17">
        <f>IF('Advanced Entry'!N130="","",IFERROR(MAX(0,MIN(10,ROUND(IF('Advanced Entry'!N$8="Decrease Risk",10-10*((IF('Advanced Entry'!N$5="Logarithm",LN(0.001+'Advanced Entry'!N130),IF('Advanced Entry'!N$5="Exponential",EXP('Advanced Entry'!N130),'Advanced Entry'!N130)))-'Advanced Entry'!N$6)/('Advanced Entry'!N$7-'Advanced Entry'!N$6),10*((IF('Advanced Entry'!N$5="Logarithm",LN(0.001+'Advanced Entry'!N130),IF('Advanced Entry'!N$5="Exponential",EXP('Advanced Entry'!N130),'Advanced Entry'!N130)))-'Advanced Entry'!N$6)/('Advanced Entry'!N$7-'Advanced Entry'!N$6)),1))),"No data"))</f>
        <v/>
      </c>
      <c r="O130" s="17">
        <f>IF('Advanced Entry'!O130="","",IFERROR(MAX(0,MIN(10,ROUND(IF('Advanced Entry'!O$8="Decrease Risk",10-10*((IF('Advanced Entry'!O$5="Logarithm",LN(0.001+'Advanced Entry'!O130),IF('Advanced Entry'!O$5="Exponential",EXP('Advanced Entry'!O130),'Advanced Entry'!O130)))-'Advanced Entry'!O$6)/('Advanced Entry'!O$7-'Advanced Entry'!O$6),10*((IF('Advanced Entry'!O$5="Logarithm",LN(0.001+'Advanced Entry'!O130),IF('Advanced Entry'!O$5="Exponential",EXP('Advanced Entry'!O130),'Advanced Entry'!O130)))-'Advanced Entry'!O$6)/('Advanced Entry'!O$7-'Advanced Entry'!O$6)),1))),"No data"))</f>
        <v/>
      </c>
      <c r="P130" s="17">
        <f>IF('Advanced Entry'!P130="","",IFERROR(MAX(0,MIN(10,ROUND(IF('Advanced Entry'!P$8="Decrease Risk",10-10*((IF('Advanced Entry'!P$5="Logarithm",LN(0.001+'Advanced Entry'!P130),IF('Advanced Entry'!P$5="Exponential",EXP('Advanced Entry'!P130),'Advanced Entry'!P130)))-'Advanced Entry'!P$6)/('Advanced Entry'!P$7-'Advanced Entry'!P$6),10*((IF('Advanced Entry'!P$5="Logarithm",LN(0.001+'Advanced Entry'!P130),IF('Advanced Entry'!P$5="Exponential",EXP('Advanced Entry'!P130),'Advanced Entry'!P130)))-'Advanced Entry'!P$6)/('Advanced Entry'!P$7-'Advanced Entry'!P$6)),1))),"No data"))</f>
        <v/>
      </c>
      <c r="Q130" s="17">
        <f>IF('Advanced Entry'!Q130="","",IFERROR(MAX(0,MIN(10,ROUND(IF('Advanced Entry'!Q$8="Decrease Risk",10-10*((IF('Advanced Entry'!Q$5="Logarithm",LN(0.001+'Advanced Entry'!Q130),IF('Advanced Entry'!Q$5="Exponential",EXP('Advanced Entry'!Q130),'Advanced Entry'!Q130)))-'Advanced Entry'!Q$6)/('Advanced Entry'!Q$7-'Advanced Entry'!Q$6),10*((IF('Advanced Entry'!Q$5="Logarithm",LN(0.001+'Advanced Entry'!Q130),IF('Advanced Entry'!Q$5="Exponential",EXP('Advanced Entry'!Q130),'Advanced Entry'!Q130)))-'Advanced Entry'!Q$6)/('Advanced Entry'!Q$7-'Advanced Entry'!Q$6)),1))),"No data"))</f>
        <v/>
      </c>
      <c r="R130" s="17">
        <f>IF('Advanced Entry'!R130="","",IFERROR(MAX(0,MIN(10,ROUND(IF('Advanced Entry'!R$8="Decrease Risk",10-10*((IF('Advanced Entry'!R$5="Logarithm",LN(0.001+'Advanced Entry'!R130),IF('Advanced Entry'!R$5="Exponential",EXP('Advanced Entry'!R130),'Advanced Entry'!R130)))-'Advanced Entry'!R$6)/('Advanced Entry'!R$7-'Advanced Entry'!R$6),10*((IF('Advanced Entry'!R$5="Logarithm",LN(0.001+'Advanced Entry'!R130),IF('Advanced Entry'!R$5="Exponential",EXP('Advanced Entry'!R130),'Advanced Entry'!R130)))-'Advanced Entry'!R$6)/('Advanced Entry'!R$7-'Advanced Entry'!R$6)),1))),"No data"))</f>
        <v/>
      </c>
      <c r="S130" s="17">
        <f>IF('Advanced Entry'!S130="","",IFERROR(MAX(0,MIN(10,ROUND(IF('Advanced Entry'!S$8="Decrease Risk",10-10*((IF('Advanced Entry'!S$5="Logarithm",LN(0.001+'Advanced Entry'!S130),IF('Advanced Entry'!S$5="Exponential",EXP('Advanced Entry'!S130),'Advanced Entry'!S130)))-'Advanced Entry'!S$6)/('Advanced Entry'!S$7-'Advanced Entry'!S$6),10*((IF('Advanced Entry'!S$5="Logarithm",LN(0.001+'Advanced Entry'!S130),IF('Advanced Entry'!S$5="Exponential",EXP('Advanced Entry'!S130),'Advanced Entry'!S130)))-'Advanced Entry'!S$6)/('Advanced Entry'!S$7-'Advanced Entry'!S$6)),1))),"No data"))</f>
        <v/>
      </c>
      <c r="T130" s="17">
        <f>IF('Advanced Entry'!T130="","",IFERROR(MAX(0,MIN(10,ROUND(IF('Advanced Entry'!T$8="Decrease Risk",10-10*((IF('Advanced Entry'!T$5="Logarithm",LN(0.001+'Advanced Entry'!T130),IF('Advanced Entry'!T$5="Exponential",EXP('Advanced Entry'!T130),'Advanced Entry'!T130)))-'Advanced Entry'!T$6)/('Advanced Entry'!T$7-'Advanced Entry'!T$6),10*((IF('Advanced Entry'!T$5="Logarithm",LN(0.001+'Advanced Entry'!T130),IF('Advanced Entry'!T$5="Exponential",EXP('Advanced Entry'!T130),'Advanced Entry'!T130)))-'Advanced Entry'!T$6)/('Advanced Entry'!T$7-'Advanced Entry'!T$6)),1))),"No data"))</f>
        <v/>
      </c>
      <c r="U130" s="17">
        <f>IF('Advanced Entry'!U130="","",IFERROR(MAX(0,MIN(10,ROUND(IF('Advanced Entry'!U$8="Decrease Risk",10-10*((IF('Advanced Entry'!U$5="Logarithm",LN(0.001+'Advanced Entry'!U130),IF('Advanced Entry'!U$5="Exponential",EXP('Advanced Entry'!U130),'Advanced Entry'!U130)))-'Advanced Entry'!U$6)/('Advanced Entry'!U$7-'Advanced Entry'!U$6),10*((IF('Advanced Entry'!U$5="Logarithm",LN(0.001+'Advanced Entry'!U130),IF('Advanced Entry'!U$5="Exponential",EXP('Advanced Entry'!U130),'Advanced Entry'!U130)))-'Advanced Entry'!U$6)/('Advanced Entry'!U$7-'Advanced Entry'!U$6)),1))),"No data"))</f>
        <v/>
      </c>
      <c r="V130" s="17">
        <f>IF('Advanced Entry'!V130="","",IFERROR(MAX(0,MIN(10,ROUND(IF('Advanced Entry'!V$8="Decrease Risk",10-10*((IF('Advanced Entry'!V$5="Logarithm",LN(0.001+'Advanced Entry'!V130),IF('Advanced Entry'!V$5="Exponential",EXP('Advanced Entry'!V130),'Advanced Entry'!V130)))-'Advanced Entry'!V$6)/('Advanced Entry'!V$7-'Advanced Entry'!V$6),10*((IF('Advanced Entry'!V$5="Logarithm",LN(0.001+'Advanced Entry'!V130),IF('Advanced Entry'!V$5="Exponential",EXP('Advanced Entry'!V130),'Advanced Entry'!V130)))-'Advanced Entry'!V$6)/('Advanced Entry'!V$7-'Advanced Entry'!V$6)),1))),"No data"))</f>
        <v/>
      </c>
      <c r="W130" s="17">
        <f>IF('Advanced Entry'!W130="","",IFERROR(MAX(0,MIN(10,ROUND(IF('Advanced Entry'!W$8="Decrease Risk",10-10*((IF('Advanced Entry'!W$5="Logarithm",LN(0.001+'Advanced Entry'!W130),IF('Advanced Entry'!W$5="Exponential",EXP('Advanced Entry'!W130),'Advanced Entry'!W130)))-'Advanced Entry'!W$6)/('Advanced Entry'!W$7-'Advanced Entry'!W$6),10*((IF('Advanced Entry'!W$5="Logarithm",LN(0.001+'Advanced Entry'!W130),IF('Advanced Entry'!W$5="Exponential",EXP('Advanced Entry'!W130),'Advanced Entry'!W130)))-'Advanced Entry'!W$6)/('Advanced Entry'!W$7-'Advanced Entry'!W$6)),1))),"No data"))</f>
        <v/>
      </c>
      <c r="X130" s="17">
        <f>IF('Advanced Entry'!X130="","",IFERROR(MAX(0,MIN(10,ROUND(IF('Advanced Entry'!X$8="Decrease Risk",10-10*((IF('Advanced Entry'!X$5="Logarithm",LN(0.001+'Advanced Entry'!X130),IF('Advanced Entry'!X$5="Exponential",EXP('Advanced Entry'!X130),'Advanced Entry'!X130)))-'Advanced Entry'!X$6)/('Advanced Entry'!X$7-'Advanced Entry'!X$6),10*((IF('Advanced Entry'!X$5="Logarithm",LN(0.001+'Advanced Entry'!X130),IF('Advanced Entry'!X$5="Exponential",EXP('Advanced Entry'!X130),'Advanced Entry'!X130)))-'Advanced Entry'!X$6)/('Advanced Entry'!X$7-'Advanced Entry'!X$6)),1))),"No data"))</f>
        <v/>
      </c>
      <c r="Y130" s="17">
        <f>IF('Advanced Entry'!Y130="","",IFERROR(MAX(0,MIN(10,ROUND(IF('Advanced Entry'!Y$8="Decrease Risk",10-10*((IF('Advanced Entry'!Y$5="Logarithm",LN(0.001+'Advanced Entry'!Y130),IF('Advanced Entry'!Y$5="Exponential",EXP('Advanced Entry'!Y130),'Advanced Entry'!Y130)))-'Advanced Entry'!Y$6)/('Advanced Entry'!Y$7-'Advanced Entry'!Y$6),10*((IF('Advanced Entry'!Y$5="Logarithm",LN(0.001+'Advanced Entry'!Y130),IF('Advanced Entry'!Y$5="Exponential",EXP('Advanced Entry'!Y130),'Advanced Entry'!Y130)))-'Advanced Entry'!Y$6)/('Advanced Entry'!Y$7-'Advanced Entry'!Y$6)),1))),"No data"))</f>
        <v/>
      </c>
      <c r="Z130" s="17">
        <f>IF('Advanced Entry'!Z130="","",IFERROR(MAX(0,MIN(10,ROUND(IF('Advanced Entry'!Z$8="Decrease Risk",10-10*((IF('Advanced Entry'!Z$5="Logarithm",LN(0.001+'Advanced Entry'!Z130),IF('Advanced Entry'!Z$5="Exponential",EXP('Advanced Entry'!Z130),'Advanced Entry'!Z130)))-'Advanced Entry'!Z$6)/('Advanced Entry'!Z$7-'Advanced Entry'!Z$6),10*((IF('Advanced Entry'!Z$5="Logarithm",LN(0.001+'Advanced Entry'!Z130),IF('Advanced Entry'!Z$5="Exponential",EXP('Advanced Entry'!Z130),'Advanced Entry'!Z130)))-'Advanced Entry'!Z$6)/('Advanced Entry'!Z$7-'Advanced Entry'!Z$6)),1))),"No data"))</f>
        <v/>
      </c>
      <c r="AA130" s="17">
        <f>IF('Advanced Entry'!AA130="","",IFERROR(MAX(0,MIN(10,ROUND(IF('Advanced Entry'!AA$8="Decrease Risk",10-10*((IF('Advanced Entry'!AA$5="Logarithm",LN(0.001+'Advanced Entry'!AA130),IF('Advanced Entry'!AA$5="Exponential",EXP('Advanced Entry'!AA130),'Advanced Entry'!AA130)))-'Advanced Entry'!AA$6)/('Advanced Entry'!AA$7-'Advanced Entry'!AA$6),10*((IF('Advanced Entry'!AA$5="Logarithm",LN(0.001+'Advanced Entry'!AA130),IF('Advanced Entry'!AA$5="Exponential",EXP('Advanced Entry'!AA130),'Advanced Entry'!AA130)))-'Advanced Entry'!AA$6)/('Advanced Entry'!AA$7-'Advanced Entry'!AA$6)),1))),"No data"))</f>
        <v/>
      </c>
      <c r="AB130" s="17">
        <f>IF('Advanced Entry'!AB130="","",IFERROR(MAX(0,MIN(10,ROUND(IF('Advanced Entry'!AB$8="Decrease Risk",10-10*((IF('Advanced Entry'!AB$5="Logarithm",LN(0.001+'Advanced Entry'!AB130),IF('Advanced Entry'!AB$5="Exponential",EXP('Advanced Entry'!AB130),'Advanced Entry'!AB130)))-'Advanced Entry'!AB$6)/('Advanced Entry'!AB$7-'Advanced Entry'!AB$6),10*((IF('Advanced Entry'!AB$5="Logarithm",LN(0.001+'Advanced Entry'!AB130),IF('Advanced Entry'!AB$5="Exponential",EXP('Advanced Entry'!AB130),'Advanced Entry'!AB130)))-'Advanced Entry'!AB$6)/('Advanced Entry'!AB$7-'Advanced Entry'!AB$6)),1))),"No data"))</f>
        <v/>
      </c>
    </row>
    <row r="131">
      <c r="A131" t="inlineStr">
        <is>
          <t>Mwanza</t>
        </is>
      </c>
      <c r="B131" t="inlineStr">
        <is>
          <t>Magu District</t>
        </is>
      </c>
      <c r="C131" t="inlineStr">
        <is>
          <t>C134</t>
        </is>
      </c>
      <c r="D131" s="17">
        <f>IF('Advanced Entry'!D131="","",IFERROR(MAX(0,MIN(10,ROUND(IF('Advanced Entry'!D$8="Decrease Risk",10-10*((IF('Advanced Entry'!D$5="Logarithm",LN(0.001+'Advanced Entry'!D131),IF('Advanced Entry'!D$5="Exponential",EXP('Advanced Entry'!D131),'Advanced Entry'!D131)))-'Advanced Entry'!D$6)/('Advanced Entry'!D$7-'Advanced Entry'!D$6),10*((IF('Advanced Entry'!D$5="Logarithm",LN(0.001+'Advanced Entry'!D131),IF('Advanced Entry'!D$5="Exponential",EXP('Advanced Entry'!D131),'Advanced Entry'!D131)))-'Advanced Entry'!D$6)/('Advanced Entry'!D$7-'Advanced Entry'!D$6)),1))),"No data"))</f>
        <v/>
      </c>
      <c r="E131" s="17">
        <f>IF('Advanced Entry'!E131="","",IFERROR(MAX(0,MIN(10,ROUND(IF('Advanced Entry'!E$8="Decrease Risk",10-10*((IF('Advanced Entry'!E$5="Logarithm",LN(0.001+'Advanced Entry'!E131),IF('Advanced Entry'!E$5="Exponential",EXP('Advanced Entry'!E131),'Advanced Entry'!E131)))-'Advanced Entry'!E$6)/('Advanced Entry'!E$7-'Advanced Entry'!E$6),10*((IF('Advanced Entry'!E$5="Logarithm",LN(0.001+'Advanced Entry'!E131),IF('Advanced Entry'!E$5="Exponential",EXP('Advanced Entry'!E131),'Advanced Entry'!E131)))-'Advanced Entry'!E$6)/('Advanced Entry'!E$7-'Advanced Entry'!E$6)),1))),"No data"))</f>
        <v/>
      </c>
      <c r="F131" s="17">
        <f>IF('Advanced Entry'!F131="","",IFERROR(MAX(0,MIN(10,ROUND(IF('Advanced Entry'!F$8="Decrease Risk",10-10*((IF('Advanced Entry'!F$5="Logarithm",LN(0.001+'Advanced Entry'!F131),IF('Advanced Entry'!F$5="Exponential",EXP('Advanced Entry'!F131),'Advanced Entry'!F131)))-'Advanced Entry'!F$6)/('Advanced Entry'!F$7-'Advanced Entry'!F$6),10*((IF('Advanced Entry'!F$5="Logarithm",LN(0.001+'Advanced Entry'!F131),IF('Advanced Entry'!F$5="Exponential",EXP('Advanced Entry'!F131),'Advanced Entry'!F131)))-'Advanced Entry'!F$6)/('Advanced Entry'!F$7-'Advanced Entry'!F$6)),1))),"No data"))</f>
        <v/>
      </c>
      <c r="G131" s="17">
        <f>IF('Advanced Entry'!G131="","",IFERROR(MAX(0,MIN(10,ROUND(IF('Advanced Entry'!G$8="Decrease Risk",10-10*((IF('Advanced Entry'!G$5="Logarithm",LN(0.001+'Advanced Entry'!G131),IF('Advanced Entry'!G$5="Exponential",EXP('Advanced Entry'!G131),'Advanced Entry'!G131)))-'Advanced Entry'!G$6)/('Advanced Entry'!G$7-'Advanced Entry'!G$6),10*((IF('Advanced Entry'!G$5="Logarithm",LN(0.001+'Advanced Entry'!G131),IF('Advanced Entry'!G$5="Exponential",EXP('Advanced Entry'!G131),'Advanced Entry'!G131)))-'Advanced Entry'!G$6)/('Advanced Entry'!G$7-'Advanced Entry'!G$6)),1))),"No data"))</f>
        <v/>
      </c>
      <c r="H131" s="17">
        <f>IF('Advanced Entry'!H131="","",IFERROR(MAX(0,MIN(10,ROUND(IF('Advanced Entry'!H$8="Decrease Risk",10-10*((IF('Advanced Entry'!H$5="Logarithm",LN(0.001+'Advanced Entry'!H131),IF('Advanced Entry'!H$5="Exponential",EXP('Advanced Entry'!H131),'Advanced Entry'!H131)))-'Advanced Entry'!H$6)/('Advanced Entry'!H$7-'Advanced Entry'!H$6),10*((IF('Advanced Entry'!H$5="Logarithm",LN(0.001+'Advanced Entry'!H131),IF('Advanced Entry'!H$5="Exponential",EXP('Advanced Entry'!H131),'Advanced Entry'!H131)))-'Advanced Entry'!H$6)/('Advanced Entry'!H$7-'Advanced Entry'!H$6)),1))),"No data"))</f>
        <v/>
      </c>
      <c r="I131" s="17">
        <f>IF('Advanced Entry'!I131="","",IFERROR(MAX(0,MIN(10,ROUND(IF('Advanced Entry'!I$8="Decrease Risk",10-10*((IF('Advanced Entry'!I$5="Logarithm",LN(0.001+'Advanced Entry'!I131),IF('Advanced Entry'!I$5="Exponential",EXP('Advanced Entry'!I131),'Advanced Entry'!I131)))-'Advanced Entry'!I$6)/('Advanced Entry'!I$7-'Advanced Entry'!I$6),10*((IF('Advanced Entry'!I$5="Logarithm",LN(0.001+'Advanced Entry'!I131),IF('Advanced Entry'!I$5="Exponential",EXP('Advanced Entry'!I131),'Advanced Entry'!I131)))-'Advanced Entry'!I$6)/('Advanced Entry'!I$7-'Advanced Entry'!I$6)),1))),"No data"))</f>
        <v/>
      </c>
      <c r="J131" s="17">
        <f>IF('Advanced Entry'!J131="","",IFERROR(MAX(0,MIN(10,ROUND(IF('Advanced Entry'!J$8="Decrease Risk",10-10*((IF('Advanced Entry'!J$5="Logarithm",LN(0.001+'Advanced Entry'!J131),IF('Advanced Entry'!J$5="Exponential",EXP('Advanced Entry'!J131),'Advanced Entry'!J131)))-'Advanced Entry'!J$6)/('Advanced Entry'!J$7-'Advanced Entry'!J$6),10*((IF('Advanced Entry'!J$5="Logarithm",LN(0.001+'Advanced Entry'!J131),IF('Advanced Entry'!J$5="Exponential",EXP('Advanced Entry'!J131),'Advanced Entry'!J131)))-'Advanced Entry'!J$6)/('Advanced Entry'!J$7-'Advanced Entry'!J$6)),1))),"No data"))</f>
        <v/>
      </c>
      <c r="K131" s="17">
        <f>IF('Advanced Entry'!K131="","",IFERROR(MAX(0,MIN(10,ROUND(IF('Advanced Entry'!K$8="Decrease Risk",10-10*((IF('Advanced Entry'!K$5="Logarithm",LN(0.001+'Advanced Entry'!K131),IF('Advanced Entry'!K$5="Exponential",EXP('Advanced Entry'!K131),'Advanced Entry'!K131)))-'Advanced Entry'!K$6)/('Advanced Entry'!K$7-'Advanced Entry'!K$6),10*((IF('Advanced Entry'!K$5="Logarithm",LN(0.001+'Advanced Entry'!K131),IF('Advanced Entry'!K$5="Exponential",EXP('Advanced Entry'!K131),'Advanced Entry'!K131)))-'Advanced Entry'!K$6)/('Advanced Entry'!K$7-'Advanced Entry'!K$6)),1))),"No data"))</f>
        <v/>
      </c>
      <c r="L131" s="17">
        <f>IF('Advanced Entry'!L131="","",IFERROR(MAX(0,MIN(10,ROUND(IF('Advanced Entry'!L$8="Decrease Risk",10-10*((IF('Advanced Entry'!L$5="Logarithm",LN(0.001+'Advanced Entry'!L131),IF('Advanced Entry'!L$5="Exponential",EXP('Advanced Entry'!L131),'Advanced Entry'!L131)))-'Advanced Entry'!L$6)/('Advanced Entry'!L$7-'Advanced Entry'!L$6),10*((IF('Advanced Entry'!L$5="Logarithm",LN(0.001+'Advanced Entry'!L131),IF('Advanced Entry'!L$5="Exponential",EXP('Advanced Entry'!L131),'Advanced Entry'!L131)))-'Advanced Entry'!L$6)/('Advanced Entry'!L$7-'Advanced Entry'!L$6)),1))),"No data"))</f>
        <v/>
      </c>
      <c r="M131" s="17">
        <f>IF('Advanced Entry'!M131="","",IFERROR(MAX(0,MIN(10,ROUND(IF('Advanced Entry'!M$8="Decrease Risk",10-10*((IF('Advanced Entry'!M$5="Logarithm",LN(0.001+'Advanced Entry'!M131),IF('Advanced Entry'!M$5="Exponential",EXP('Advanced Entry'!M131),'Advanced Entry'!M131)))-'Advanced Entry'!M$6)/('Advanced Entry'!M$7-'Advanced Entry'!M$6),10*((IF('Advanced Entry'!M$5="Logarithm",LN(0.001+'Advanced Entry'!M131),IF('Advanced Entry'!M$5="Exponential",EXP('Advanced Entry'!M131),'Advanced Entry'!M131)))-'Advanced Entry'!M$6)/('Advanced Entry'!M$7-'Advanced Entry'!M$6)),1))),"No data"))</f>
        <v/>
      </c>
      <c r="N131" s="17">
        <f>IF('Advanced Entry'!N131="","",IFERROR(MAX(0,MIN(10,ROUND(IF('Advanced Entry'!N$8="Decrease Risk",10-10*((IF('Advanced Entry'!N$5="Logarithm",LN(0.001+'Advanced Entry'!N131),IF('Advanced Entry'!N$5="Exponential",EXP('Advanced Entry'!N131),'Advanced Entry'!N131)))-'Advanced Entry'!N$6)/('Advanced Entry'!N$7-'Advanced Entry'!N$6),10*((IF('Advanced Entry'!N$5="Logarithm",LN(0.001+'Advanced Entry'!N131),IF('Advanced Entry'!N$5="Exponential",EXP('Advanced Entry'!N131),'Advanced Entry'!N131)))-'Advanced Entry'!N$6)/('Advanced Entry'!N$7-'Advanced Entry'!N$6)),1))),"No data"))</f>
        <v/>
      </c>
      <c r="O131" s="17">
        <f>IF('Advanced Entry'!O131="","",IFERROR(MAX(0,MIN(10,ROUND(IF('Advanced Entry'!O$8="Decrease Risk",10-10*((IF('Advanced Entry'!O$5="Logarithm",LN(0.001+'Advanced Entry'!O131),IF('Advanced Entry'!O$5="Exponential",EXP('Advanced Entry'!O131),'Advanced Entry'!O131)))-'Advanced Entry'!O$6)/('Advanced Entry'!O$7-'Advanced Entry'!O$6),10*((IF('Advanced Entry'!O$5="Logarithm",LN(0.001+'Advanced Entry'!O131),IF('Advanced Entry'!O$5="Exponential",EXP('Advanced Entry'!O131),'Advanced Entry'!O131)))-'Advanced Entry'!O$6)/('Advanced Entry'!O$7-'Advanced Entry'!O$6)),1))),"No data"))</f>
        <v/>
      </c>
      <c r="P131" s="17">
        <f>IF('Advanced Entry'!P131="","",IFERROR(MAX(0,MIN(10,ROUND(IF('Advanced Entry'!P$8="Decrease Risk",10-10*((IF('Advanced Entry'!P$5="Logarithm",LN(0.001+'Advanced Entry'!P131),IF('Advanced Entry'!P$5="Exponential",EXP('Advanced Entry'!P131),'Advanced Entry'!P131)))-'Advanced Entry'!P$6)/('Advanced Entry'!P$7-'Advanced Entry'!P$6),10*((IF('Advanced Entry'!P$5="Logarithm",LN(0.001+'Advanced Entry'!P131),IF('Advanced Entry'!P$5="Exponential",EXP('Advanced Entry'!P131),'Advanced Entry'!P131)))-'Advanced Entry'!P$6)/('Advanced Entry'!P$7-'Advanced Entry'!P$6)),1))),"No data"))</f>
        <v/>
      </c>
      <c r="Q131" s="17">
        <f>IF('Advanced Entry'!Q131="","",IFERROR(MAX(0,MIN(10,ROUND(IF('Advanced Entry'!Q$8="Decrease Risk",10-10*((IF('Advanced Entry'!Q$5="Logarithm",LN(0.001+'Advanced Entry'!Q131),IF('Advanced Entry'!Q$5="Exponential",EXP('Advanced Entry'!Q131),'Advanced Entry'!Q131)))-'Advanced Entry'!Q$6)/('Advanced Entry'!Q$7-'Advanced Entry'!Q$6),10*((IF('Advanced Entry'!Q$5="Logarithm",LN(0.001+'Advanced Entry'!Q131),IF('Advanced Entry'!Q$5="Exponential",EXP('Advanced Entry'!Q131),'Advanced Entry'!Q131)))-'Advanced Entry'!Q$6)/('Advanced Entry'!Q$7-'Advanced Entry'!Q$6)),1))),"No data"))</f>
        <v/>
      </c>
      <c r="R131" s="17">
        <f>IF('Advanced Entry'!R131="","",IFERROR(MAX(0,MIN(10,ROUND(IF('Advanced Entry'!R$8="Decrease Risk",10-10*((IF('Advanced Entry'!R$5="Logarithm",LN(0.001+'Advanced Entry'!R131),IF('Advanced Entry'!R$5="Exponential",EXP('Advanced Entry'!R131),'Advanced Entry'!R131)))-'Advanced Entry'!R$6)/('Advanced Entry'!R$7-'Advanced Entry'!R$6),10*((IF('Advanced Entry'!R$5="Logarithm",LN(0.001+'Advanced Entry'!R131),IF('Advanced Entry'!R$5="Exponential",EXP('Advanced Entry'!R131),'Advanced Entry'!R131)))-'Advanced Entry'!R$6)/('Advanced Entry'!R$7-'Advanced Entry'!R$6)),1))),"No data"))</f>
        <v/>
      </c>
      <c r="S131" s="17">
        <f>IF('Advanced Entry'!S131="","",IFERROR(MAX(0,MIN(10,ROUND(IF('Advanced Entry'!S$8="Decrease Risk",10-10*((IF('Advanced Entry'!S$5="Logarithm",LN(0.001+'Advanced Entry'!S131),IF('Advanced Entry'!S$5="Exponential",EXP('Advanced Entry'!S131),'Advanced Entry'!S131)))-'Advanced Entry'!S$6)/('Advanced Entry'!S$7-'Advanced Entry'!S$6),10*((IF('Advanced Entry'!S$5="Logarithm",LN(0.001+'Advanced Entry'!S131),IF('Advanced Entry'!S$5="Exponential",EXP('Advanced Entry'!S131),'Advanced Entry'!S131)))-'Advanced Entry'!S$6)/('Advanced Entry'!S$7-'Advanced Entry'!S$6)),1))),"No data"))</f>
        <v/>
      </c>
      <c r="T131" s="17">
        <f>IF('Advanced Entry'!T131="","",IFERROR(MAX(0,MIN(10,ROUND(IF('Advanced Entry'!T$8="Decrease Risk",10-10*((IF('Advanced Entry'!T$5="Logarithm",LN(0.001+'Advanced Entry'!T131),IF('Advanced Entry'!T$5="Exponential",EXP('Advanced Entry'!T131),'Advanced Entry'!T131)))-'Advanced Entry'!T$6)/('Advanced Entry'!T$7-'Advanced Entry'!T$6),10*((IF('Advanced Entry'!T$5="Logarithm",LN(0.001+'Advanced Entry'!T131),IF('Advanced Entry'!T$5="Exponential",EXP('Advanced Entry'!T131),'Advanced Entry'!T131)))-'Advanced Entry'!T$6)/('Advanced Entry'!T$7-'Advanced Entry'!T$6)),1))),"No data"))</f>
        <v/>
      </c>
      <c r="U131" s="17">
        <f>IF('Advanced Entry'!U131="","",IFERROR(MAX(0,MIN(10,ROUND(IF('Advanced Entry'!U$8="Decrease Risk",10-10*((IF('Advanced Entry'!U$5="Logarithm",LN(0.001+'Advanced Entry'!U131),IF('Advanced Entry'!U$5="Exponential",EXP('Advanced Entry'!U131),'Advanced Entry'!U131)))-'Advanced Entry'!U$6)/('Advanced Entry'!U$7-'Advanced Entry'!U$6),10*((IF('Advanced Entry'!U$5="Logarithm",LN(0.001+'Advanced Entry'!U131),IF('Advanced Entry'!U$5="Exponential",EXP('Advanced Entry'!U131),'Advanced Entry'!U131)))-'Advanced Entry'!U$6)/('Advanced Entry'!U$7-'Advanced Entry'!U$6)),1))),"No data"))</f>
        <v/>
      </c>
      <c r="V131" s="17">
        <f>IF('Advanced Entry'!V131="","",IFERROR(MAX(0,MIN(10,ROUND(IF('Advanced Entry'!V$8="Decrease Risk",10-10*((IF('Advanced Entry'!V$5="Logarithm",LN(0.001+'Advanced Entry'!V131),IF('Advanced Entry'!V$5="Exponential",EXP('Advanced Entry'!V131),'Advanced Entry'!V131)))-'Advanced Entry'!V$6)/('Advanced Entry'!V$7-'Advanced Entry'!V$6),10*((IF('Advanced Entry'!V$5="Logarithm",LN(0.001+'Advanced Entry'!V131),IF('Advanced Entry'!V$5="Exponential",EXP('Advanced Entry'!V131),'Advanced Entry'!V131)))-'Advanced Entry'!V$6)/('Advanced Entry'!V$7-'Advanced Entry'!V$6)),1))),"No data"))</f>
        <v/>
      </c>
      <c r="W131" s="17">
        <f>IF('Advanced Entry'!W131="","",IFERROR(MAX(0,MIN(10,ROUND(IF('Advanced Entry'!W$8="Decrease Risk",10-10*((IF('Advanced Entry'!W$5="Logarithm",LN(0.001+'Advanced Entry'!W131),IF('Advanced Entry'!W$5="Exponential",EXP('Advanced Entry'!W131),'Advanced Entry'!W131)))-'Advanced Entry'!W$6)/('Advanced Entry'!W$7-'Advanced Entry'!W$6),10*((IF('Advanced Entry'!W$5="Logarithm",LN(0.001+'Advanced Entry'!W131),IF('Advanced Entry'!W$5="Exponential",EXP('Advanced Entry'!W131),'Advanced Entry'!W131)))-'Advanced Entry'!W$6)/('Advanced Entry'!W$7-'Advanced Entry'!W$6)),1))),"No data"))</f>
        <v/>
      </c>
      <c r="X131" s="17">
        <f>IF('Advanced Entry'!X131="","",IFERROR(MAX(0,MIN(10,ROUND(IF('Advanced Entry'!X$8="Decrease Risk",10-10*((IF('Advanced Entry'!X$5="Logarithm",LN(0.001+'Advanced Entry'!X131),IF('Advanced Entry'!X$5="Exponential",EXP('Advanced Entry'!X131),'Advanced Entry'!X131)))-'Advanced Entry'!X$6)/('Advanced Entry'!X$7-'Advanced Entry'!X$6),10*((IF('Advanced Entry'!X$5="Logarithm",LN(0.001+'Advanced Entry'!X131),IF('Advanced Entry'!X$5="Exponential",EXP('Advanced Entry'!X131),'Advanced Entry'!X131)))-'Advanced Entry'!X$6)/('Advanced Entry'!X$7-'Advanced Entry'!X$6)),1))),"No data"))</f>
        <v/>
      </c>
      <c r="Y131" s="17">
        <f>IF('Advanced Entry'!Y131="","",IFERROR(MAX(0,MIN(10,ROUND(IF('Advanced Entry'!Y$8="Decrease Risk",10-10*((IF('Advanced Entry'!Y$5="Logarithm",LN(0.001+'Advanced Entry'!Y131),IF('Advanced Entry'!Y$5="Exponential",EXP('Advanced Entry'!Y131),'Advanced Entry'!Y131)))-'Advanced Entry'!Y$6)/('Advanced Entry'!Y$7-'Advanced Entry'!Y$6),10*((IF('Advanced Entry'!Y$5="Logarithm",LN(0.001+'Advanced Entry'!Y131),IF('Advanced Entry'!Y$5="Exponential",EXP('Advanced Entry'!Y131),'Advanced Entry'!Y131)))-'Advanced Entry'!Y$6)/('Advanced Entry'!Y$7-'Advanced Entry'!Y$6)),1))),"No data"))</f>
        <v/>
      </c>
      <c r="Z131" s="17">
        <f>IF('Advanced Entry'!Z131="","",IFERROR(MAX(0,MIN(10,ROUND(IF('Advanced Entry'!Z$8="Decrease Risk",10-10*((IF('Advanced Entry'!Z$5="Logarithm",LN(0.001+'Advanced Entry'!Z131),IF('Advanced Entry'!Z$5="Exponential",EXP('Advanced Entry'!Z131),'Advanced Entry'!Z131)))-'Advanced Entry'!Z$6)/('Advanced Entry'!Z$7-'Advanced Entry'!Z$6),10*((IF('Advanced Entry'!Z$5="Logarithm",LN(0.001+'Advanced Entry'!Z131),IF('Advanced Entry'!Z$5="Exponential",EXP('Advanced Entry'!Z131),'Advanced Entry'!Z131)))-'Advanced Entry'!Z$6)/('Advanced Entry'!Z$7-'Advanced Entry'!Z$6)),1))),"No data"))</f>
        <v/>
      </c>
      <c r="AA131" s="17">
        <f>IF('Advanced Entry'!AA131="","",IFERROR(MAX(0,MIN(10,ROUND(IF('Advanced Entry'!AA$8="Decrease Risk",10-10*((IF('Advanced Entry'!AA$5="Logarithm",LN(0.001+'Advanced Entry'!AA131),IF('Advanced Entry'!AA$5="Exponential",EXP('Advanced Entry'!AA131),'Advanced Entry'!AA131)))-'Advanced Entry'!AA$6)/('Advanced Entry'!AA$7-'Advanced Entry'!AA$6),10*((IF('Advanced Entry'!AA$5="Logarithm",LN(0.001+'Advanced Entry'!AA131),IF('Advanced Entry'!AA$5="Exponential",EXP('Advanced Entry'!AA131),'Advanced Entry'!AA131)))-'Advanced Entry'!AA$6)/('Advanced Entry'!AA$7-'Advanced Entry'!AA$6)),1))),"No data"))</f>
        <v/>
      </c>
      <c r="AB131" s="17">
        <f>IF('Advanced Entry'!AB131="","",IFERROR(MAX(0,MIN(10,ROUND(IF('Advanced Entry'!AB$8="Decrease Risk",10-10*((IF('Advanced Entry'!AB$5="Logarithm",LN(0.001+'Advanced Entry'!AB131),IF('Advanced Entry'!AB$5="Exponential",EXP('Advanced Entry'!AB131),'Advanced Entry'!AB131)))-'Advanced Entry'!AB$6)/('Advanced Entry'!AB$7-'Advanced Entry'!AB$6),10*((IF('Advanced Entry'!AB$5="Logarithm",LN(0.001+'Advanced Entry'!AB131),IF('Advanced Entry'!AB$5="Exponential",EXP('Advanced Entry'!AB131),'Advanced Entry'!AB131)))-'Advanced Entry'!AB$6)/('Advanced Entry'!AB$7-'Advanced Entry'!AB$6)),1))),"No data"))</f>
        <v/>
      </c>
    </row>
    <row r="132">
      <c r="A132" t="inlineStr">
        <is>
          <t>Mwanza</t>
        </is>
      </c>
      <c r="B132" t="inlineStr">
        <is>
          <t>Misungwi District</t>
        </is>
      </c>
      <c r="C132" t="inlineStr">
        <is>
          <t>C140</t>
        </is>
      </c>
      <c r="D132" s="17">
        <f>IF('Advanced Entry'!D132="","",IFERROR(MAX(0,MIN(10,ROUND(IF('Advanced Entry'!D$8="Decrease Risk",10-10*((IF('Advanced Entry'!D$5="Logarithm",LN(0.001+'Advanced Entry'!D132),IF('Advanced Entry'!D$5="Exponential",EXP('Advanced Entry'!D132),'Advanced Entry'!D132)))-'Advanced Entry'!D$6)/('Advanced Entry'!D$7-'Advanced Entry'!D$6),10*((IF('Advanced Entry'!D$5="Logarithm",LN(0.001+'Advanced Entry'!D132),IF('Advanced Entry'!D$5="Exponential",EXP('Advanced Entry'!D132),'Advanced Entry'!D132)))-'Advanced Entry'!D$6)/('Advanced Entry'!D$7-'Advanced Entry'!D$6)),1))),"No data"))</f>
        <v/>
      </c>
      <c r="E132" s="17">
        <f>IF('Advanced Entry'!E132="","",IFERROR(MAX(0,MIN(10,ROUND(IF('Advanced Entry'!E$8="Decrease Risk",10-10*((IF('Advanced Entry'!E$5="Logarithm",LN(0.001+'Advanced Entry'!E132),IF('Advanced Entry'!E$5="Exponential",EXP('Advanced Entry'!E132),'Advanced Entry'!E132)))-'Advanced Entry'!E$6)/('Advanced Entry'!E$7-'Advanced Entry'!E$6),10*((IF('Advanced Entry'!E$5="Logarithm",LN(0.001+'Advanced Entry'!E132),IF('Advanced Entry'!E$5="Exponential",EXP('Advanced Entry'!E132),'Advanced Entry'!E132)))-'Advanced Entry'!E$6)/('Advanced Entry'!E$7-'Advanced Entry'!E$6)),1))),"No data"))</f>
        <v/>
      </c>
      <c r="F132" s="17">
        <f>IF('Advanced Entry'!F132="","",IFERROR(MAX(0,MIN(10,ROUND(IF('Advanced Entry'!F$8="Decrease Risk",10-10*((IF('Advanced Entry'!F$5="Logarithm",LN(0.001+'Advanced Entry'!F132),IF('Advanced Entry'!F$5="Exponential",EXP('Advanced Entry'!F132),'Advanced Entry'!F132)))-'Advanced Entry'!F$6)/('Advanced Entry'!F$7-'Advanced Entry'!F$6),10*((IF('Advanced Entry'!F$5="Logarithm",LN(0.001+'Advanced Entry'!F132),IF('Advanced Entry'!F$5="Exponential",EXP('Advanced Entry'!F132),'Advanced Entry'!F132)))-'Advanced Entry'!F$6)/('Advanced Entry'!F$7-'Advanced Entry'!F$6)),1))),"No data"))</f>
        <v/>
      </c>
      <c r="G132" s="17">
        <f>IF('Advanced Entry'!G132="","",IFERROR(MAX(0,MIN(10,ROUND(IF('Advanced Entry'!G$8="Decrease Risk",10-10*((IF('Advanced Entry'!G$5="Logarithm",LN(0.001+'Advanced Entry'!G132),IF('Advanced Entry'!G$5="Exponential",EXP('Advanced Entry'!G132),'Advanced Entry'!G132)))-'Advanced Entry'!G$6)/('Advanced Entry'!G$7-'Advanced Entry'!G$6),10*((IF('Advanced Entry'!G$5="Logarithm",LN(0.001+'Advanced Entry'!G132),IF('Advanced Entry'!G$5="Exponential",EXP('Advanced Entry'!G132),'Advanced Entry'!G132)))-'Advanced Entry'!G$6)/('Advanced Entry'!G$7-'Advanced Entry'!G$6)),1))),"No data"))</f>
        <v/>
      </c>
      <c r="H132" s="17">
        <f>IF('Advanced Entry'!H132="","",IFERROR(MAX(0,MIN(10,ROUND(IF('Advanced Entry'!H$8="Decrease Risk",10-10*((IF('Advanced Entry'!H$5="Logarithm",LN(0.001+'Advanced Entry'!H132),IF('Advanced Entry'!H$5="Exponential",EXP('Advanced Entry'!H132),'Advanced Entry'!H132)))-'Advanced Entry'!H$6)/('Advanced Entry'!H$7-'Advanced Entry'!H$6),10*((IF('Advanced Entry'!H$5="Logarithm",LN(0.001+'Advanced Entry'!H132),IF('Advanced Entry'!H$5="Exponential",EXP('Advanced Entry'!H132),'Advanced Entry'!H132)))-'Advanced Entry'!H$6)/('Advanced Entry'!H$7-'Advanced Entry'!H$6)),1))),"No data"))</f>
        <v/>
      </c>
      <c r="I132" s="17">
        <f>IF('Advanced Entry'!I132="","",IFERROR(MAX(0,MIN(10,ROUND(IF('Advanced Entry'!I$8="Decrease Risk",10-10*((IF('Advanced Entry'!I$5="Logarithm",LN(0.001+'Advanced Entry'!I132),IF('Advanced Entry'!I$5="Exponential",EXP('Advanced Entry'!I132),'Advanced Entry'!I132)))-'Advanced Entry'!I$6)/('Advanced Entry'!I$7-'Advanced Entry'!I$6),10*((IF('Advanced Entry'!I$5="Logarithm",LN(0.001+'Advanced Entry'!I132),IF('Advanced Entry'!I$5="Exponential",EXP('Advanced Entry'!I132),'Advanced Entry'!I132)))-'Advanced Entry'!I$6)/('Advanced Entry'!I$7-'Advanced Entry'!I$6)),1))),"No data"))</f>
        <v/>
      </c>
      <c r="J132" s="17">
        <f>IF('Advanced Entry'!J132="","",IFERROR(MAX(0,MIN(10,ROUND(IF('Advanced Entry'!J$8="Decrease Risk",10-10*((IF('Advanced Entry'!J$5="Logarithm",LN(0.001+'Advanced Entry'!J132),IF('Advanced Entry'!J$5="Exponential",EXP('Advanced Entry'!J132),'Advanced Entry'!J132)))-'Advanced Entry'!J$6)/('Advanced Entry'!J$7-'Advanced Entry'!J$6),10*((IF('Advanced Entry'!J$5="Logarithm",LN(0.001+'Advanced Entry'!J132),IF('Advanced Entry'!J$5="Exponential",EXP('Advanced Entry'!J132),'Advanced Entry'!J132)))-'Advanced Entry'!J$6)/('Advanced Entry'!J$7-'Advanced Entry'!J$6)),1))),"No data"))</f>
        <v/>
      </c>
      <c r="K132" s="17">
        <f>IF('Advanced Entry'!K132="","",IFERROR(MAX(0,MIN(10,ROUND(IF('Advanced Entry'!K$8="Decrease Risk",10-10*((IF('Advanced Entry'!K$5="Logarithm",LN(0.001+'Advanced Entry'!K132),IF('Advanced Entry'!K$5="Exponential",EXP('Advanced Entry'!K132),'Advanced Entry'!K132)))-'Advanced Entry'!K$6)/('Advanced Entry'!K$7-'Advanced Entry'!K$6),10*((IF('Advanced Entry'!K$5="Logarithm",LN(0.001+'Advanced Entry'!K132),IF('Advanced Entry'!K$5="Exponential",EXP('Advanced Entry'!K132),'Advanced Entry'!K132)))-'Advanced Entry'!K$6)/('Advanced Entry'!K$7-'Advanced Entry'!K$6)),1))),"No data"))</f>
        <v/>
      </c>
      <c r="L132" s="17">
        <f>IF('Advanced Entry'!L132="","",IFERROR(MAX(0,MIN(10,ROUND(IF('Advanced Entry'!L$8="Decrease Risk",10-10*((IF('Advanced Entry'!L$5="Logarithm",LN(0.001+'Advanced Entry'!L132),IF('Advanced Entry'!L$5="Exponential",EXP('Advanced Entry'!L132),'Advanced Entry'!L132)))-'Advanced Entry'!L$6)/('Advanced Entry'!L$7-'Advanced Entry'!L$6),10*((IF('Advanced Entry'!L$5="Logarithm",LN(0.001+'Advanced Entry'!L132),IF('Advanced Entry'!L$5="Exponential",EXP('Advanced Entry'!L132),'Advanced Entry'!L132)))-'Advanced Entry'!L$6)/('Advanced Entry'!L$7-'Advanced Entry'!L$6)),1))),"No data"))</f>
        <v/>
      </c>
      <c r="M132" s="17">
        <f>IF('Advanced Entry'!M132="","",IFERROR(MAX(0,MIN(10,ROUND(IF('Advanced Entry'!M$8="Decrease Risk",10-10*((IF('Advanced Entry'!M$5="Logarithm",LN(0.001+'Advanced Entry'!M132),IF('Advanced Entry'!M$5="Exponential",EXP('Advanced Entry'!M132),'Advanced Entry'!M132)))-'Advanced Entry'!M$6)/('Advanced Entry'!M$7-'Advanced Entry'!M$6),10*((IF('Advanced Entry'!M$5="Logarithm",LN(0.001+'Advanced Entry'!M132),IF('Advanced Entry'!M$5="Exponential",EXP('Advanced Entry'!M132),'Advanced Entry'!M132)))-'Advanced Entry'!M$6)/('Advanced Entry'!M$7-'Advanced Entry'!M$6)),1))),"No data"))</f>
        <v/>
      </c>
      <c r="N132" s="17">
        <f>IF('Advanced Entry'!N132="","",IFERROR(MAX(0,MIN(10,ROUND(IF('Advanced Entry'!N$8="Decrease Risk",10-10*((IF('Advanced Entry'!N$5="Logarithm",LN(0.001+'Advanced Entry'!N132),IF('Advanced Entry'!N$5="Exponential",EXP('Advanced Entry'!N132),'Advanced Entry'!N132)))-'Advanced Entry'!N$6)/('Advanced Entry'!N$7-'Advanced Entry'!N$6),10*((IF('Advanced Entry'!N$5="Logarithm",LN(0.001+'Advanced Entry'!N132),IF('Advanced Entry'!N$5="Exponential",EXP('Advanced Entry'!N132),'Advanced Entry'!N132)))-'Advanced Entry'!N$6)/('Advanced Entry'!N$7-'Advanced Entry'!N$6)),1))),"No data"))</f>
        <v/>
      </c>
      <c r="O132" s="17">
        <f>IF('Advanced Entry'!O132="","",IFERROR(MAX(0,MIN(10,ROUND(IF('Advanced Entry'!O$8="Decrease Risk",10-10*((IF('Advanced Entry'!O$5="Logarithm",LN(0.001+'Advanced Entry'!O132),IF('Advanced Entry'!O$5="Exponential",EXP('Advanced Entry'!O132),'Advanced Entry'!O132)))-'Advanced Entry'!O$6)/('Advanced Entry'!O$7-'Advanced Entry'!O$6),10*((IF('Advanced Entry'!O$5="Logarithm",LN(0.001+'Advanced Entry'!O132),IF('Advanced Entry'!O$5="Exponential",EXP('Advanced Entry'!O132),'Advanced Entry'!O132)))-'Advanced Entry'!O$6)/('Advanced Entry'!O$7-'Advanced Entry'!O$6)),1))),"No data"))</f>
        <v/>
      </c>
      <c r="P132" s="17">
        <f>IF('Advanced Entry'!P132="","",IFERROR(MAX(0,MIN(10,ROUND(IF('Advanced Entry'!P$8="Decrease Risk",10-10*((IF('Advanced Entry'!P$5="Logarithm",LN(0.001+'Advanced Entry'!P132),IF('Advanced Entry'!P$5="Exponential",EXP('Advanced Entry'!P132),'Advanced Entry'!P132)))-'Advanced Entry'!P$6)/('Advanced Entry'!P$7-'Advanced Entry'!P$6),10*((IF('Advanced Entry'!P$5="Logarithm",LN(0.001+'Advanced Entry'!P132),IF('Advanced Entry'!P$5="Exponential",EXP('Advanced Entry'!P132),'Advanced Entry'!P132)))-'Advanced Entry'!P$6)/('Advanced Entry'!P$7-'Advanced Entry'!P$6)),1))),"No data"))</f>
        <v/>
      </c>
      <c r="Q132" s="17">
        <f>IF('Advanced Entry'!Q132="","",IFERROR(MAX(0,MIN(10,ROUND(IF('Advanced Entry'!Q$8="Decrease Risk",10-10*((IF('Advanced Entry'!Q$5="Logarithm",LN(0.001+'Advanced Entry'!Q132),IF('Advanced Entry'!Q$5="Exponential",EXP('Advanced Entry'!Q132),'Advanced Entry'!Q132)))-'Advanced Entry'!Q$6)/('Advanced Entry'!Q$7-'Advanced Entry'!Q$6),10*((IF('Advanced Entry'!Q$5="Logarithm",LN(0.001+'Advanced Entry'!Q132),IF('Advanced Entry'!Q$5="Exponential",EXP('Advanced Entry'!Q132),'Advanced Entry'!Q132)))-'Advanced Entry'!Q$6)/('Advanced Entry'!Q$7-'Advanced Entry'!Q$6)),1))),"No data"))</f>
        <v/>
      </c>
      <c r="R132" s="17">
        <f>IF('Advanced Entry'!R132="","",IFERROR(MAX(0,MIN(10,ROUND(IF('Advanced Entry'!R$8="Decrease Risk",10-10*((IF('Advanced Entry'!R$5="Logarithm",LN(0.001+'Advanced Entry'!R132),IF('Advanced Entry'!R$5="Exponential",EXP('Advanced Entry'!R132),'Advanced Entry'!R132)))-'Advanced Entry'!R$6)/('Advanced Entry'!R$7-'Advanced Entry'!R$6),10*((IF('Advanced Entry'!R$5="Logarithm",LN(0.001+'Advanced Entry'!R132),IF('Advanced Entry'!R$5="Exponential",EXP('Advanced Entry'!R132),'Advanced Entry'!R132)))-'Advanced Entry'!R$6)/('Advanced Entry'!R$7-'Advanced Entry'!R$6)),1))),"No data"))</f>
        <v/>
      </c>
      <c r="S132" s="17">
        <f>IF('Advanced Entry'!S132="","",IFERROR(MAX(0,MIN(10,ROUND(IF('Advanced Entry'!S$8="Decrease Risk",10-10*((IF('Advanced Entry'!S$5="Logarithm",LN(0.001+'Advanced Entry'!S132),IF('Advanced Entry'!S$5="Exponential",EXP('Advanced Entry'!S132),'Advanced Entry'!S132)))-'Advanced Entry'!S$6)/('Advanced Entry'!S$7-'Advanced Entry'!S$6),10*((IF('Advanced Entry'!S$5="Logarithm",LN(0.001+'Advanced Entry'!S132),IF('Advanced Entry'!S$5="Exponential",EXP('Advanced Entry'!S132),'Advanced Entry'!S132)))-'Advanced Entry'!S$6)/('Advanced Entry'!S$7-'Advanced Entry'!S$6)),1))),"No data"))</f>
        <v/>
      </c>
      <c r="T132" s="17">
        <f>IF('Advanced Entry'!T132="","",IFERROR(MAX(0,MIN(10,ROUND(IF('Advanced Entry'!T$8="Decrease Risk",10-10*((IF('Advanced Entry'!T$5="Logarithm",LN(0.001+'Advanced Entry'!T132),IF('Advanced Entry'!T$5="Exponential",EXP('Advanced Entry'!T132),'Advanced Entry'!T132)))-'Advanced Entry'!T$6)/('Advanced Entry'!T$7-'Advanced Entry'!T$6),10*((IF('Advanced Entry'!T$5="Logarithm",LN(0.001+'Advanced Entry'!T132),IF('Advanced Entry'!T$5="Exponential",EXP('Advanced Entry'!T132),'Advanced Entry'!T132)))-'Advanced Entry'!T$6)/('Advanced Entry'!T$7-'Advanced Entry'!T$6)),1))),"No data"))</f>
        <v/>
      </c>
      <c r="U132" s="17">
        <f>IF('Advanced Entry'!U132="","",IFERROR(MAX(0,MIN(10,ROUND(IF('Advanced Entry'!U$8="Decrease Risk",10-10*((IF('Advanced Entry'!U$5="Logarithm",LN(0.001+'Advanced Entry'!U132),IF('Advanced Entry'!U$5="Exponential",EXP('Advanced Entry'!U132),'Advanced Entry'!U132)))-'Advanced Entry'!U$6)/('Advanced Entry'!U$7-'Advanced Entry'!U$6),10*((IF('Advanced Entry'!U$5="Logarithm",LN(0.001+'Advanced Entry'!U132),IF('Advanced Entry'!U$5="Exponential",EXP('Advanced Entry'!U132),'Advanced Entry'!U132)))-'Advanced Entry'!U$6)/('Advanced Entry'!U$7-'Advanced Entry'!U$6)),1))),"No data"))</f>
        <v/>
      </c>
      <c r="V132" s="17">
        <f>IF('Advanced Entry'!V132="","",IFERROR(MAX(0,MIN(10,ROUND(IF('Advanced Entry'!V$8="Decrease Risk",10-10*((IF('Advanced Entry'!V$5="Logarithm",LN(0.001+'Advanced Entry'!V132),IF('Advanced Entry'!V$5="Exponential",EXP('Advanced Entry'!V132),'Advanced Entry'!V132)))-'Advanced Entry'!V$6)/('Advanced Entry'!V$7-'Advanced Entry'!V$6),10*((IF('Advanced Entry'!V$5="Logarithm",LN(0.001+'Advanced Entry'!V132),IF('Advanced Entry'!V$5="Exponential",EXP('Advanced Entry'!V132),'Advanced Entry'!V132)))-'Advanced Entry'!V$6)/('Advanced Entry'!V$7-'Advanced Entry'!V$6)),1))),"No data"))</f>
        <v/>
      </c>
      <c r="W132" s="17">
        <f>IF('Advanced Entry'!W132="","",IFERROR(MAX(0,MIN(10,ROUND(IF('Advanced Entry'!W$8="Decrease Risk",10-10*((IF('Advanced Entry'!W$5="Logarithm",LN(0.001+'Advanced Entry'!W132),IF('Advanced Entry'!W$5="Exponential",EXP('Advanced Entry'!W132),'Advanced Entry'!W132)))-'Advanced Entry'!W$6)/('Advanced Entry'!W$7-'Advanced Entry'!W$6),10*((IF('Advanced Entry'!W$5="Logarithm",LN(0.001+'Advanced Entry'!W132),IF('Advanced Entry'!W$5="Exponential",EXP('Advanced Entry'!W132),'Advanced Entry'!W132)))-'Advanced Entry'!W$6)/('Advanced Entry'!W$7-'Advanced Entry'!W$6)),1))),"No data"))</f>
        <v/>
      </c>
      <c r="X132" s="17">
        <f>IF('Advanced Entry'!X132="","",IFERROR(MAX(0,MIN(10,ROUND(IF('Advanced Entry'!X$8="Decrease Risk",10-10*((IF('Advanced Entry'!X$5="Logarithm",LN(0.001+'Advanced Entry'!X132),IF('Advanced Entry'!X$5="Exponential",EXP('Advanced Entry'!X132),'Advanced Entry'!X132)))-'Advanced Entry'!X$6)/('Advanced Entry'!X$7-'Advanced Entry'!X$6),10*((IF('Advanced Entry'!X$5="Logarithm",LN(0.001+'Advanced Entry'!X132),IF('Advanced Entry'!X$5="Exponential",EXP('Advanced Entry'!X132),'Advanced Entry'!X132)))-'Advanced Entry'!X$6)/('Advanced Entry'!X$7-'Advanced Entry'!X$6)),1))),"No data"))</f>
        <v/>
      </c>
      <c r="Y132" s="17">
        <f>IF('Advanced Entry'!Y132="","",IFERROR(MAX(0,MIN(10,ROUND(IF('Advanced Entry'!Y$8="Decrease Risk",10-10*((IF('Advanced Entry'!Y$5="Logarithm",LN(0.001+'Advanced Entry'!Y132),IF('Advanced Entry'!Y$5="Exponential",EXP('Advanced Entry'!Y132),'Advanced Entry'!Y132)))-'Advanced Entry'!Y$6)/('Advanced Entry'!Y$7-'Advanced Entry'!Y$6),10*((IF('Advanced Entry'!Y$5="Logarithm",LN(0.001+'Advanced Entry'!Y132),IF('Advanced Entry'!Y$5="Exponential",EXP('Advanced Entry'!Y132),'Advanced Entry'!Y132)))-'Advanced Entry'!Y$6)/('Advanced Entry'!Y$7-'Advanced Entry'!Y$6)),1))),"No data"))</f>
        <v/>
      </c>
      <c r="Z132" s="17">
        <f>IF('Advanced Entry'!Z132="","",IFERROR(MAX(0,MIN(10,ROUND(IF('Advanced Entry'!Z$8="Decrease Risk",10-10*((IF('Advanced Entry'!Z$5="Logarithm",LN(0.001+'Advanced Entry'!Z132),IF('Advanced Entry'!Z$5="Exponential",EXP('Advanced Entry'!Z132),'Advanced Entry'!Z132)))-'Advanced Entry'!Z$6)/('Advanced Entry'!Z$7-'Advanced Entry'!Z$6),10*((IF('Advanced Entry'!Z$5="Logarithm",LN(0.001+'Advanced Entry'!Z132),IF('Advanced Entry'!Z$5="Exponential",EXP('Advanced Entry'!Z132),'Advanced Entry'!Z132)))-'Advanced Entry'!Z$6)/('Advanced Entry'!Z$7-'Advanced Entry'!Z$6)),1))),"No data"))</f>
        <v/>
      </c>
      <c r="AA132" s="17">
        <f>IF('Advanced Entry'!AA132="","",IFERROR(MAX(0,MIN(10,ROUND(IF('Advanced Entry'!AA$8="Decrease Risk",10-10*((IF('Advanced Entry'!AA$5="Logarithm",LN(0.001+'Advanced Entry'!AA132),IF('Advanced Entry'!AA$5="Exponential",EXP('Advanced Entry'!AA132),'Advanced Entry'!AA132)))-'Advanced Entry'!AA$6)/('Advanced Entry'!AA$7-'Advanced Entry'!AA$6),10*((IF('Advanced Entry'!AA$5="Logarithm",LN(0.001+'Advanced Entry'!AA132),IF('Advanced Entry'!AA$5="Exponential",EXP('Advanced Entry'!AA132),'Advanced Entry'!AA132)))-'Advanced Entry'!AA$6)/('Advanced Entry'!AA$7-'Advanced Entry'!AA$6)),1))),"No data"))</f>
        <v/>
      </c>
      <c r="AB132" s="17">
        <f>IF('Advanced Entry'!AB132="","",IFERROR(MAX(0,MIN(10,ROUND(IF('Advanced Entry'!AB$8="Decrease Risk",10-10*((IF('Advanced Entry'!AB$5="Logarithm",LN(0.001+'Advanced Entry'!AB132),IF('Advanced Entry'!AB$5="Exponential",EXP('Advanced Entry'!AB132),'Advanced Entry'!AB132)))-'Advanced Entry'!AB$6)/('Advanced Entry'!AB$7-'Advanced Entry'!AB$6),10*((IF('Advanced Entry'!AB$5="Logarithm",LN(0.001+'Advanced Entry'!AB132),IF('Advanced Entry'!AB$5="Exponential",EXP('Advanced Entry'!AB132),'Advanced Entry'!AB132)))-'Advanced Entry'!AB$6)/('Advanced Entry'!AB$7-'Advanced Entry'!AB$6)),1))),"No data"))</f>
        <v/>
      </c>
    </row>
    <row r="133">
      <c r="A133" t="inlineStr">
        <is>
          <t>Mwanza</t>
        </is>
      </c>
      <c r="B133" t="inlineStr">
        <is>
          <t>Mwanza City</t>
        </is>
      </c>
      <c r="C133" t="inlineStr">
        <is>
          <t>C135</t>
        </is>
      </c>
      <c r="D133" s="17">
        <f>IF('Advanced Entry'!D133="","",IFERROR(MAX(0,MIN(10,ROUND(IF('Advanced Entry'!D$8="Decrease Risk",10-10*((IF('Advanced Entry'!D$5="Logarithm",LN(0.001+'Advanced Entry'!D133),IF('Advanced Entry'!D$5="Exponential",EXP('Advanced Entry'!D133),'Advanced Entry'!D133)))-'Advanced Entry'!D$6)/('Advanced Entry'!D$7-'Advanced Entry'!D$6),10*((IF('Advanced Entry'!D$5="Logarithm",LN(0.001+'Advanced Entry'!D133),IF('Advanced Entry'!D$5="Exponential",EXP('Advanced Entry'!D133),'Advanced Entry'!D133)))-'Advanced Entry'!D$6)/('Advanced Entry'!D$7-'Advanced Entry'!D$6)),1))),"No data"))</f>
        <v/>
      </c>
      <c r="E133" s="17">
        <f>IF('Advanced Entry'!E133="","",IFERROR(MAX(0,MIN(10,ROUND(IF('Advanced Entry'!E$8="Decrease Risk",10-10*((IF('Advanced Entry'!E$5="Logarithm",LN(0.001+'Advanced Entry'!E133),IF('Advanced Entry'!E$5="Exponential",EXP('Advanced Entry'!E133),'Advanced Entry'!E133)))-'Advanced Entry'!E$6)/('Advanced Entry'!E$7-'Advanced Entry'!E$6),10*((IF('Advanced Entry'!E$5="Logarithm",LN(0.001+'Advanced Entry'!E133),IF('Advanced Entry'!E$5="Exponential",EXP('Advanced Entry'!E133),'Advanced Entry'!E133)))-'Advanced Entry'!E$6)/('Advanced Entry'!E$7-'Advanced Entry'!E$6)),1))),"No data"))</f>
        <v/>
      </c>
      <c r="F133" s="17">
        <f>IF('Advanced Entry'!F133="","",IFERROR(MAX(0,MIN(10,ROUND(IF('Advanced Entry'!F$8="Decrease Risk",10-10*((IF('Advanced Entry'!F$5="Logarithm",LN(0.001+'Advanced Entry'!F133),IF('Advanced Entry'!F$5="Exponential",EXP('Advanced Entry'!F133),'Advanced Entry'!F133)))-'Advanced Entry'!F$6)/('Advanced Entry'!F$7-'Advanced Entry'!F$6),10*((IF('Advanced Entry'!F$5="Logarithm",LN(0.001+'Advanced Entry'!F133),IF('Advanced Entry'!F$5="Exponential",EXP('Advanced Entry'!F133),'Advanced Entry'!F133)))-'Advanced Entry'!F$6)/('Advanced Entry'!F$7-'Advanced Entry'!F$6)),1))),"No data"))</f>
        <v/>
      </c>
      <c r="G133" s="17">
        <f>IF('Advanced Entry'!G133="","",IFERROR(MAX(0,MIN(10,ROUND(IF('Advanced Entry'!G$8="Decrease Risk",10-10*((IF('Advanced Entry'!G$5="Logarithm",LN(0.001+'Advanced Entry'!G133),IF('Advanced Entry'!G$5="Exponential",EXP('Advanced Entry'!G133),'Advanced Entry'!G133)))-'Advanced Entry'!G$6)/('Advanced Entry'!G$7-'Advanced Entry'!G$6),10*((IF('Advanced Entry'!G$5="Logarithm",LN(0.001+'Advanced Entry'!G133),IF('Advanced Entry'!G$5="Exponential",EXP('Advanced Entry'!G133),'Advanced Entry'!G133)))-'Advanced Entry'!G$6)/('Advanced Entry'!G$7-'Advanced Entry'!G$6)),1))),"No data"))</f>
        <v/>
      </c>
      <c r="H133" s="17">
        <f>IF('Advanced Entry'!H133="","",IFERROR(MAX(0,MIN(10,ROUND(IF('Advanced Entry'!H$8="Decrease Risk",10-10*((IF('Advanced Entry'!H$5="Logarithm",LN(0.001+'Advanced Entry'!H133),IF('Advanced Entry'!H$5="Exponential",EXP('Advanced Entry'!H133),'Advanced Entry'!H133)))-'Advanced Entry'!H$6)/('Advanced Entry'!H$7-'Advanced Entry'!H$6),10*((IF('Advanced Entry'!H$5="Logarithm",LN(0.001+'Advanced Entry'!H133),IF('Advanced Entry'!H$5="Exponential",EXP('Advanced Entry'!H133),'Advanced Entry'!H133)))-'Advanced Entry'!H$6)/('Advanced Entry'!H$7-'Advanced Entry'!H$6)),1))),"No data"))</f>
        <v/>
      </c>
      <c r="I133" s="17">
        <f>IF('Advanced Entry'!I133="","",IFERROR(MAX(0,MIN(10,ROUND(IF('Advanced Entry'!I$8="Decrease Risk",10-10*((IF('Advanced Entry'!I$5="Logarithm",LN(0.001+'Advanced Entry'!I133),IF('Advanced Entry'!I$5="Exponential",EXP('Advanced Entry'!I133),'Advanced Entry'!I133)))-'Advanced Entry'!I$6)/('Advanced Entry'!I$7-'Advanced Entry'!I$6),10*((IF('Advanced Entry'!I$5="Logarithm",LN(0.001+'Advanced Entry'!I133),IF('Advanced Entry'!I$5="Exponential",EXP('Advanced Entry'!I133),'Advanced Entry'!I133)))-'Advanced Entry'!I$6)/('Advanced Entry'!I$7-'Advanced Entry'!I$6)),1))),"No data"))</f>
        <v/>
      </c>
      <c r="J133" s="17">
        <f>IF('Advanced Entry'!J133="","",IFERROR(MAX(0,MIN(10,ROUND(IF('Advanced Entry'!J$8="Decrease Risk",10-10*((IF('Advanced Entry'!J$5="Logarithm",LN(0.001+'Advanced Entry'!J133),IF('Advanced Entry'!J$5="Exponential",EXP('Advanced Entry'!J133),'Advanced Entry'!J133)))-'Advanced Entry'!J$6)/('Advanced Entry'!J$7-'Advanced Entry'!J$6),10*((IF('Advanced Entry'!J$5="Logarithm",LN(0.001+'Advanced Entry'!J133),IF('Advanced Entry'!J$5="Exponential",EXP('Advanced Entry'!J133),'Advanced Entry'!J133)))-'Advanced Entry'!J$6)/('Advanced Entry'!J$7-'Advanced Entry'!J$6)),1))),"No data"))</f>
        <v/>
      </c>
      <c r="K133" s="17">
        <f>IF('Advanced Entry'!K133="","",IFERROR(MAX(0,MIN(10,ROUND(IF('Advanced Entry'!K$8="Decrease Risk",10-10*((IF('Advanced Entry'!K$5="Logarithm",LN(0.001+'Advanced Entry'!K133),IF('Advanced Entry'!K$5="Exponential",EXP('Advanced Entry'!K133),'Advanced Entry'!K133)))-'Advanced Entry'!K$6)/('Advanced Entry'!K$7-'Advanced Entry'!K$6),10*((IF('Advanced Entry'!K$5="Logarithm",LN(0.001+'Advanced Entry'!K133),IF('Advanced Entry'!K$5="Exponential",EXP('Advanced Entry'!K133),'Advanced Entry'!K133)))-'Advanced Entry'!K$6)/('Advanced Entry'!K$7-'Advanced Entry'!K$6)),1))),"No data"))</f>
        <v/>
      </c>
      <c r="L133" s="17">
        <f>IF('Advanced Entry'!L133="","",IFERROR(MAX(0,MIN(10,ROUND(IF('Advanced Entry'!L$8="Decrease Risk",10-10*((IF('Advanced Entry'!L$5="Logarithm",LN(0.001+'Advanced Entry'!L133),IF('Advanced Entry'!L$5="Exponential",EXP('Advanced Entry'!L133),'Advanced Entry'!L133)))-'Advanced Entry'!L$6)/('Advanced Entry'!L$7-'Advanced Entry'!L$6),10*((IF('Advanced Entry'!L$5="Logarithm",LN(0.001+'Advanced Entry'!L133),IF('Advanced Entry'!L$5="Exponential",EXP('Advanced Entry'!L133),'Advanced Entry'!L133)))-'Advanced Entry'!L$6)/('Advanced Entry'!L$7-'Advanced Entry'!L$6)),1))),"No data"))</f>
        <v/>
      </c>
      <c r="M133" s="17">
        <f>IF('Advanced Entry'!M133="","",IFERROR(MAX(0,MIN(10,ROUND(IF('Advanced Entry'!M$8="Decrease Risk",10-10*((IF('Advanced Entry'!M$5="Logarithm",LN(0.001+'Advanced Entry'!M133),IF('Advanced Entry'!M$5="Exponential",EXP('Advanced Entry'!M133),'Advanced Entry'!M133)))-'Advanced Entry'!M$6)/('Advanced Entry'!M$7-'Advanced Entry'!M$6),10*((IF('Advanced Entry'!M$5="Logarithm",LN(0.001+'Advanced Entry'!M133),IF('Advanced Entry'!M$5="Exponential",EXP('Advanced Entry'!M133),'Advanced Entry'!M133)))-'Advanced Entry'!M$6)/('Advanced Entry'!M$7-'Advanced Entry'!M$6)),1))),"No data"))</f>
        <v/>
      </c>
      <c r="N133" s="17">
        <f>IF('Advanced Entry'!N133="","",IFERROR(MAX(0,MIN(10,ROUND(IF('Advanced Entry'!N$8="Decrease Risk",10-10*((IF('Advanced Entry'!N$5="Logarithm",LN(0.001+'Advanced Entry'!N133),IF('Advanced Entry'!N$5="Exponential",EXP('Advanced Entry'!N133),'Advanced Entry'!N133)))-'Advanced Entry'!N$6)/('Advanced Entry'!N$7-'Advanced Entry'!N$6),10*((IF('Advanced Entry'!N$5="Logarithm",LN(0.001+'Advanced Entry'!N133),IF('Advanced Entry'!N$5="Exponential",EXP('Advanced Entry'!N133),'Advanced Entry'!N133)))-'Advanced Entry'!N$6)/('Advanced Entry'!N$7-'Advanced Entry'!N$6)),1))),"No data"))</f>
        <v/>
      </c>
      <c r="O133" s="17">
        <f>IF('Advanced Entry'!O133="","",IFERROR(MAX(0,MIN(10,ROUND(IF('Advanced Entry'!O$8="Decrease Risk",10-10*((IF('Advanced Entry'!O$5="Logarithm",LN(0.001+'Advanced Entry'!O133),IF('Advanced Entry'!O$5="Exponential",EXP('Advanced Entry'!O133),'Advanced Entry'!O133)))-'Advanced Entry'!O$6)/('Advanced Entry'!O$7-'Advanced Entry'!O$6),10*((IF('Advanced Entry'!O$5="Logarithm",LN(0.001+'Advanced Entry'!O133),IF('Advanced Entry'!O$5="Exponential",EXP('Advanced Entry'!O133),'Advanced Entry'!O133)))-'Advanced Entry'!O$6)/('Advanced Entry'!O$7-'Advanced Entry'!O$6)),1))),"No data"))</f>
        <v/>
      </c>
      <c r="P133" s="17">
        <f>IF('Advanced Entry'!P133="","",IFERROR(MAX(0,MIN(10,ROUND(IF('Advanced Entry'!P$8="Decrease Risk",10-10*((IF('Advanced Entry'!P$5="Logarithm",LN(0.001+'Advanced Entry'!P133),IF('Advanced Entry'!P$5="Exponential",EXP('Advanced Entry'!P133),'Advanced Entry'!P133)))-'Advanced Entry'!P$6)/('Advanced Entry'!P$7-'Advanced Entry'!P$6),10*((IF('Advanced Entry'!P$5="Logarithm",LN(0.001+'Advanced Entry'!P133),IF('Advanced Entry'!P$5="Exponential",EXP('Advanced Entry'!P133),'Advanced Entry'!P133)))-'Advanced Entry'!P$6)/('Advanced Entry'!P$7-'Advanced Entry'!P$6)),1))),"No data"))</f>
        <v/>
      </c>
      <c r="Q133" s="17">
        <f>IF('Advanced Entry'!Q133="","",IFERROR(MAX(0,MIN(10,ROUND(IF('Advanced Entry'!Q$8="Decrease Risk",10-10*((IF('Advanced Entry'!Q$5="Logarithm",LN(0.001+'Advanced Entry'!Q133),IF('Advanced Entry'!Q$5="Exponential",EXP('Advanced Entry'!Q133),'Advanced Entry'!Q133)))-'Advanced Entry'!Q$6)/('Advanced Entry'!Q$7-'Advanced Entry'!Q$6),10*((IF('Advanced Entry'!Q$5="Logarithm",LN(0.001+'Advanced Entry'!Q133),IF('Advanced Entry'!Q$5="Exponential",EXP('Advanced Entry'!Q133),'Advanced Entry'!Q133)))-'Advanced Entry'!Q$6)/('Advanced Entry'!Q$7-'Advanced Entry'!Q$6)),1))),"No data"))</f>
        <v/>
      </c>
      <c r="R133" s="17">
        <f>IF('Advanced Entry'!R133="","",IFERROR(MAX(0,MIN(10,ROUND(IF('Advanced Entry'!R$8="Decrease Risk",10-10*((IF('Advanced Entry'!R$5="Logarithm",LN(0.001+'Advanced Entry'!R133),IF('Advanced Entry'!R$5="Exponential",EXP('Advanced Entry'!R133),'Advanced Entry'!R133)))-'Advanced Entry'!R$6)/('Advanced Entry'!R$7-'Advanced Entry'!R$6),10*((IF('Advanced Entry'!R$5="Logarithm",LN(0.001+'Advanced Entry'!R133),IF('Advanced Entry'!R$5="Exponential",EXP('Advanced Entry'!R133),'Advanced Entry'!R133)))-'Advanced Entry'!R$6)/('Advanced Entry'!R$7-'Advanced Entry'!R$6)),1))),"No data"))</f>
        <v/>
      </c>
      <c r="S133" s="17">
        <f>IF('Advanced Entry'!S133="","",IFERROR(MAX(0,MIN(10,ROUND(IF('Advanced Entry'!S$8="Decrease Risk",10-10*((IF('Advanced Entry'!S$5="Logarithm",LN(0.001+'Advanced Entry'!S133),IF('Advanced Entry'!S$5="Exponential",EXP('Advanced Entry'!S133),'Advanced Entry'!S133)))-'Advanced Entry'!S$6)/('Advanced Entry'!S$7-'Advanced Entry'!S$6),10*((IF('Advanced Entry'!S$5="Logarithm",LN(0.001+'Advanced Entry'!S133),IF('Advanced Entry'!S$5="Exponential",EXP('Advanced Entry'!S133),'Advanced Entry'!S133)))-'Advanced Entry'!S$6)/('Advanced Entry'!S$7-'Advanced Entry'!S$6)),1))),"No data"))</f>
        <v/>
      </c>
      <c r="T133" s="17">
        <f>IF('Advanced Entry'!T133="","",IFERROR(MAX(0,MIN(10,ROUND(IF('Advanced Entry'!T$8="Decrease Risk",10-10*((IF('Advanced Entry'!T$5="Logarithm",LN(0.001+'Advanced Entry'!T133),IF('Advanced Entry'!T$5="Exponential",EXP('Advanced Entry'!T133),'Advanced Entry'!T133)))-'Advanced Entry'!T$6)/('Advanced Entry'!T$7-'Advanced Entry'!T$6),10*((IF('Advanced Entry'!T$5="Logarithm",LN(0.001+'Advanced Entry'!T133),IF('Advanced Entry'!T$5="Exponential",EXP('Advanced Entry'!T133),'Advanced Entry'!T133)))-'Advanced Entry'!T$6)/('Advanced Entry'!T$7-'Advanced Entry'!T$6)),1))),"No data"))</f>
        <v/>
      </c>
      <c r="U133" s="17">
        <f>IF('Advanced Entry'!U133="","",IFERROR(MAX(0,MIN(10,ROUND(IF('Advanced Entry'!U$8="Decrease Risk",10-10*((IF('Advanced Entry'!U$5="Logarithm",LN(0.001+'Advanced Entry'!U133),IF('Advanced Entry'!U$5="Exponential",EXP('Advanced Entry'!U133),'Advanced Entry'!U133)))-'Advanced Entry'!U$6)/('Advanced Entry'!U$7-'Advanced Entry'!U$6),10*((IF('Advanced Entry'!U$5="Logarithm",LN(0.001+'Advanced Entry'!U133),IF('Advanced Entry'!U$5="Exponential",EXP('Advanced Entry'!U133),'Advanced Entry'!U133)))-'Advanced Entry'!U$6)/('Advanced Entry'!U$7-'Advanced Entry'!U$6)),1))),"No data"))</f>
        <v/>
      </c>
      <c r="V133" s="17">
        <f>IF('Advanced Entry'!V133="","",IFERROR(MAX(0,MIN(10,ROUND(IF('Advanced Entry'!V$8="Decrease Risk",10-10*((IF('Advanced Entry'!V$5="Logarithm",LN(0.001+'Advanced Entry'!V133),IF('Advanced Entry'!V$5="Exponential",EXP('Advanced Entry'!V133),'Advanced Entry'!V133)))-'Advanced Entry'!V$6)/('Advanced Entry'!V$7-'Advanced Entry'!V$6),10*((IF('Advanced Entry'!V$5="Logarithm",LN(0.001+'Advanced Entry'!V133),IF('Advanced Entry'!V$5="Exponential",EXP('Advanced Entry'!V133),'Advanced Entry'!V133)))-'Advanced Entry'!V$6)/('Advanced Entry'!V$7-'Advanced Entry'!V$6)),1))),"No data"))</f>
        <v/>
      </c>
      <c r="W133" s="17">
        <f>IF('Advanced Entry'!W133="","",IFERROR(MAX(0,MIN(10,ROUND(IF('Advanced Entry'!W$8="Decrease Risk",10-10*((IF('Advanced Entry'!W$5="Logarithm",LN(0.001+'Advanced Entry'!W133),IF('Advanced Entry'!W$5="Exponential",EXP('Advanced Entry'!W133),'Advanced Entry'!W133)))-'Advanced Entry'!W$6)/('Advanced Entry'!W$7-'Advanced Entry'!W$6),10*((IF('Advanced Entry'!W$5="Logarithm",LN(0.001+'Advanced Entry'!W133),IF('Advanced Entry'!W$5="Exponential",EXP('Advanced Entry'!W133),'Advanced Entry'!W133)))-'Advanced Entry'!W$6)/('Advanced Entry'!W$7-'Advanced Entry'!W$6)),1))),"No data"))</f>
        <v/>
      </c>
      <c r="X133" s="17">
        <f>IF('Advanced Entry'!X133="","",IFERROR(MAX(0,MIN(10,ROUND(IF('Advanced Entry'!X$8="Decrease Risk",10-10*((IF('Advanced Entry'!X$5="Logarithm",LN(0.001+'Advanced Entry'!X133),IF('Advanced Entry'!X$5="Exponential",EXP('Advanced Entry'!X133),'Advanced Entry'!X133)))-'Advanced Entry'!X$6)/('Advanced Entry'!X$7-'Advanced Entry'!X$6),10*((IF('Advanced Entry'!X$5="Logarithm",LN(0.001+'Advanced Entry'!X133),IF('Advanced Entry'!X$5="Exponential",EXP('Advanced Entry'!X133),'Advanced Entry'!X133)))-'Advanced Entry'!X$6)/('Advanced Entry'!X$7-'Advanced Entry'!X$6)),1))),"No data"))</f>
        <v/>
      </c>
      <c r="Y133" s="17">
        <f>IF('Advanced Entry'!Y133="","",IFERROR(MAX(0,MIN(10,ROUND(IF('Advanced Entry'!Y$8="Decrease Risk",10-10*((IF('Advanced Entry'!Y$5="Logarithm",LN(0.001+'Advanced Entry'!Y133),IF('Advanced Entry'!Y$5="Exponential",EXP('Advanced Entry'!Y133),'Advanced Entry'!Y133)))-'Advanced Entry'!Y$6)/('Advanced Entry'!Y$7-'Advanced Entry'!Y$6),10*((IF('Advanced Entry'!Y$5="Logarithm",LN(0.001+'Advanced Entry'!Y133),IF('Advanced Entry'!Y$5="Exponential",EXP('Advanced Entry'!Y133),'Advanced Entry'!Y133)))-'Advanced Entry'!Y$6)/('Advanced Entry'!Y$7-'Advanced Entry'!Y$6)),1))),"No data"))</f>
        <v/>
      </c>
      <c r="Z133" s="17">
        <f>IF('Advanced Entry'!Z133="","",IFERROR(MAX(0,MIN(10,ROUND(IF('Advanced Entry'!Z$8="Decrease Risk",10-10*((IF('Advanced Entry'!Z$5="Logarithm",LN(0.001+'Advanced Entry'!Z133),IF('Advanced Entry'!Z$5="Exponential",EXP('Advanced Entry'!Z133),'Advanced Entry'!Z133)))-'Advanced Entry'!Z$6)/('Advanced Entry'!Z$7-'Advanced Entry'!Z$6),10*((IF('Advanced Entry'!Z$5="Logarithm",LN(0.001+'Advanced Entry'!Z133),IF('Advanced Entry'!Z$5="Exponential",EXP('Advanced Entry'!Z133),'Advanced Entry'!Z133)))-'Advanced Entry'!Z$6)/('Advanced Entry'!Z$7-'Advanced Entry'!Z$6)),1))),"No data"))</f>
        <v/>
      </c>
      <c r="AA133" s="17">
        <f>IF('Advanced Entry'!AA133="","",IFERROR(MAX(0,MIN(10,ROUND(IF('Advanced Entry'!AA$8="Decrease Risk",10-10*((IF('Advanced Entry'!AA$5="Logarithm",LN(0.001+'Advanced Entry'!AA133),IF('Advanced Entry'!AA$5="Exponential",EXP('Advanced Entry'!AA133),'Advanced Entry'!AA133)))-'Advanced Entry'!AA$6)/('Advanced Entry'!AA$7-'Advanced Entry'!AA$6),10*((IF('Advanced Entry'!AA$5="Logarithm",LN(0.001+'Advanced Entry'!AA133),IF('Advanced Entry'!AA$5="Exponential",EXP('Advanced Entry'!AA133),'Advanced Entry'!AA133)))-'Advanced Entry'!AA$6)/('Advanced Entry'!AA$7-'Advanced Entry'!AA$6)),1))),"No data"))</f>
        <v/>
      </c>
      <c r="AB133" s="17">
        <f>IF('Advanced Entry'!AB133="","",IFERROR(MAX(0,MIN(10,ROUND(IF('Advanced Entry'!AB$8="Decrease Risk",10-10*((IF('Advanced Entry'!AB$5="Logarithm",LN(0.001+'Advanced Entry'!AB133),IF('Advanced Entry'!AB$5="Exponential",EXP('Advanced Entry'!AB133),'Advanced Entry'!AB133)))-'Advanced Entry'!AB$6)/('Advanced Entry'!AB$7-'Advanced Entry'!AB$6),10*((IF('Advanced Entry'!AB$5="Logarithm",LN(0.001+'Advanced Entry'!AB133),IF('Advanced Entry'!AB$5="Exponential",EXP('Advanced Entry'!AB133),'Advanced Entry'!AB133)))-'Advanced Entry'!AB$6)/('Advanced Entry'!AB$7-'Advanced Entry'!AB$6)),1))),"No data"))</f>
        <v/>
      </c>
    </row>
    <row r="134">
      <c r="A134" t="inlineStr">
        <is>
          <t>Mwanza</t>
        </is>
      </c>
      <c r="B134" t="inlineStr">
        <is>
          <t>Sengerema District</t>
        </is>
      </c>
      <c r="C134" t="inlineStr">
        <is>
          <t>C137</t>
        </is>
      </c>
      <c r="D134" s="17">
        <f>IF('Advanced Entry'!D134="","",IFERROR(MAX(0,MIN(10,ROUND(IF('Advanced Entry'!D$8="Decrease Risk",10-10*((IF('Advanced Entry'!D$5="Logarithm",LN(0.001+'Advanced Entry'!D134),IF('Advanced Entry'!D$5="Exponential",EXP('Advanced Entry'!D134),'Advanced Entry'!D134)))-'Advanced Entry'!D$6)/('Advanced Entry'!D$7-'Advanced Entry'!D$6),10*((IF('Advanced Entry'!D$5="Logarithm",LN(0.001+'Advanced Entry'!D134),IF('Advanced Entry'!D$5="Exponential",EXP('Advanced Entry'!D134),'Advanced Entry'!D134)))-'Advanced Entry'!D$6)/('Advanced Entry'!D$7-'Advanced Entry'!D$6)),1))),"No data"))</f>
        <v/>
      </c>
      <c r="E134" s="17">
        <f>IF('Advanced Entry'!E134="","",IFERROR(MAX(0,MIN(10,ROUND(IF('Advanced Entry'!E$8="Decrease Risk",10-10*((IF('Advanced Entry'!E$5="Logarithm",LN(0.001+'Advanced Entry'!E134),IF('Advanced Entry'!E$5="Exponential",EXP('Advanced Entry'!E134),'Advanced Entry'!E134)))-'Advanced Entry'!E$6)/('Advanced Entry'!E$7-'Advanced Entry'!E$6),10*((IF('Advanced Entry'!E$5="Logarithm",LN(0.001+'Advanced Entry'!E134),IF('Advanced Entry'!E$5="Exponential",EXP('Advanced Entry'!E134),'Advanced Entry'!E134)))-'Advanced Entry'!E$6)/('Advanced Entry'!E$7-'Advanced Entry'!E$6)),1))),"No data"))</f>
        <v/>
      </c>
      <c r="F134" s="17">
        <f>IF('Advanced Entry'!F134="","",IFERROR(MAX(0,MIN(10,ROUND(IF('Advanced Entry'!F$8="Decrease Risk",10-10*((IF('Advanced Entry'!F$5="Logarithm",LN(0.001+'Advanced Entry'!F134),IF('Advanced Entry'!F$5="Exponential",EXP('Advanced Entry'!F134),'Advanced Entry'!F134)))-'Advanced Entry'!F$6)/('Advanced Entry'!F$7-'Advanced Entry'!F$6),10*((IF('Advanced Entry'!F$5="Logarithm",LN(0.001+'Advanced Entry'!F134),IF('Advanced Entry'!F$5="Exponential",EXP('Advanced Entry'!F134),'Advanced Entry'!F134)))-'Advanced Entry'!F$6)/('Advanced Entry'!F$7-'Advanced Entry'!F$6)),1))),"No data"))</f>
        <v/>
      </c>
      <c r="G134" s="17">
        <f>IF('Advanced Entry'!G134="","",IFERROR(MAX(0,MIN(10,ROUND(IF('Advanced Entry'!G$8="Decrease Risk",10-10*((IF('Advanced Entry'!G$5="Logarithm",LN(0.001+'Advanced Entry'!G134),IF('Advanced Entry'!G$5="Exponential",EXP('Advanced Entry'!G134),'Advanced Entry'!G134)))-'Advanced Entry'!G$6)/('Advanced Entry'!G$7-'Advanced Entry'!G$6),10*((IF('Advanced Entry'!G$5="Logarithm",LN(0.001+'Advanced Entry'!G134),IF('Advanced Entry'!G$5="Exponential",EXP('Advanced Entry'!G134),'Advanced Entry'!G134)))-'Advanced Entry'!G$6)/('Advanced Entry'!G$7-'Advanced Entry'!G$6)),1))),"No data"))</f>
        <v/>
      </c>
      <c r="H134" s="17">
        <f>IF('Advanced Entry'!H134="","",IFERROR(MAX(0,MIN(10,ROUND(IF('Advanced Entry'!H$8="Decrease Risk",10-10*((IF('Advanced Entry'!H$5="Logarithm",LN(0.001+'Advanced Entry'!H134),IF('Advanced Entry'!H$5="Exponential",EXP('Advanced Entry'!H134),'Advanced Entry'!H134)))-'Advanced Entry'!H$6)/('Advanced Entry'!H$7-'Advanced Entry'!H$6),10*((IF('Advanced Entry'!H$5="Logarithm",LN(0.001+'Advanced Entry'!H134),IF('Advanced Entry'!H$5="Exponential",EXP('Advanced Entry'!H134),'Advanced Entry'!H134)))-'Advanced Entry'!H$6)/('Advanced Entry'!H$7-'Advanced Entry'!H$6)),1))),"No data"))</f>
        <v/>
      </c>
      <c r="I134" s="17">
        <f>IF('Advanced Entry'!I134="","",IFERROR(MAX(0,MIN(10,ROUND(IF('Advanced Entry'!I$8="Decrease Risk",10-10*((IF('Advanced Entry'!I$5="Logarithm",LN(0.001+'Advanced Entry'!I134),IF('Advanced Entry'!I$5="Exponential",EXP('Advanced Entry'!I134),'Advanced Entry'!I134)))-'Advanced Entry'!I$6)/('Advanced Entry'!I$7-'Advanced Entry'!I$6),10*((IF('Advanced Entry'!I$5="Logarithm",LN(0.001+'Advanced Entry'!I134),IF('Advanced Entry'!I$5="Exponential",EXP('Advanced Entry'!I134),'Advanced Entry'!I134)))-'Advanced Entry'!I$6)/('Advanced Entry'!I$7-'Advanced Entry'!I$6)),1))),"No data"))</f>
        <v/>
      </c>
      <c r="J134" s="17">
        <f>IF('Advanced Entry'!J134="","",IFERROR(MAX(0,MIN(10,ROUND(IF('Advanced Entry'!J$8="Decrease Risk",10-10*((IF('Advanced Entry'!J$5="Logarithm",LN(0.001+'Advanced Entry'!J134),IF('Advanced Entry'!J$5="Exponential",EXP('Advanced Entry'!J134),'Advanced Entry'!J134)))-'Advanced Entry'!J$6)/('Advanced Entry'!J$7-'Advanced Entry'!J$6),10*((IF('Advanced Entry'!J$5="Logarithm",LN(0.001+'Advanced Entry'!J134),IF('Advanced Entry'!J$5="Exponential",EXP('Advanced Entry'!J134),'Advanced Entry'!J134)))-'Advanced Entry'!J$6)/('Advanced Entry'!J$7-'Advanced Entry'!J$6)),1))),"No data"))</f>
        <v/>
      </c>
      <c r="K134" s="17">
        <f>IF('Advanced Entry'!K134="","",IFERROR(MAX(0,MIN(10,ROUND(IF('Advanced Entry'!K$8="Decrease Risk",10-10*((IF('Advanced Entry'!K$5="Logarithm",LN(0.001+'Advanced Entry'!K134),IF('Advanced Entry'!K$5="Exponential",EXP('Advanced Entry'!K134),'Advanced Entry'!K134)))-'Advanced Entry'!K$6)/('Advanced Entry'!K$7-'Advanced Entry'!K$6),10*((IF('Advanced Entry'!K$5="Logarithm",LN(0.001+'Advanced Entry'!K134),IF('Advanced Entry'!K$5="Exponential",EXP('Advanced Entry'!K134),'Advanced Entry'!K134)))-'Advanced Entry'!K$6)/('Advanced Entry'!K$7-'Advanced Entry'!K$6)),1))),"No data"))</f>
        <v/>
      </c>
      <c r="L134" s="17">
        <f>IF('Advanced Entry'!L134="","",IFERROR(MAX(0,MIN(10,ROUND(IF('Advanced Entry'!L$8="Decrease Risk",10-10*((IF('Advanced Entry'!L$5="Logarithm",LN(0.001+'Advanced Entry'!L134),IF('Advanced Entry'!L$5="Exponential",EXP('Advanced Entry'!L134),'Advanced Entry'!L134)))-'Advanced Entry'!L$6)/('Advanced Entry'!L$7-'Advanced Entry'!L$6),10*((IF('Advanced Entry'!L$5="Logarithm",LN(0.001+'Advanced Entry'!L134),IF('Advanced Entry'!L$5="Exponential",EXP('Advanced Entry'!L134),'Advanced Entry'!L134)))-'Advanced Entry'!L$6)/('Advanced Entry'!L$7-'Advanced Entry'!L$6)),1))),"No data"))</f>
        <v/>
      </c>
      <c r="M134" s="17">
        <f>IF('Advanced Entry'!M134="","",IFERROR(MAX(0,MIN(10,ROUND(IF('Advanced Entry'!M$8="Decrease Risk",10-10*((IF('Advanced Entry'!M$5="Logarithm",LN(0.001+'Advanced Entry'!M134),IF('Advanced Entry'!M$5="Exponential",EXP('Advanced Entry'!M134),'Advanced Entry'!M134)))-'Advanced Entry'!M$6)/('Advanced Entry'!M$7-'Advanced Entry'!M$6),10*((IF('Advanced Entry'!M$5="Logarithm",LN(0.001+'Advanced Entry'!M134),IF('Advanced Entry'!M$5="Exponential",EXP('Advanced Entry'!M134),'Advanced Entry'!M134)))-'Advanced Entry'!M$6)/('Advanced Entry'!M$7-'Advanced Entry'!M$6)),1))),"No data"))</f>
        <v/>
      </c>
      <c r="N134" s="17">
        <f>IF('Advanced Entry'!N134="","",IFERROR(MAX(0,MIN(10,ROUND(IF('Advanced Entry'!N$8="Decrease Risk",10-10*((IF('Advanced Entry'!N$5="Logarithm",LN(0.001+'Advanced Entry'!N134),IF('Advanced Entry'!N$5="Exponential",EXP('Advanced Entry'!N134),'Advanced Entry'!N134)))-'Advanced Entry'!N$6)/('Advanced Entry'!N$7-'Advanced Entry'!N$6),10*((IF('Advanced Entry'!N$5="Logarithm",LN(0.001+'Advanced Entry'!N134),IF('Advanced Entry'!N$5="Exponential",EXP('Advanced Entry'!N134),'Advanced Entry'!N134)))-'Advanced Entry'!N$6)/('Advanced Entry'!N$7-'Advanced Entry'!N$6)),1))),"No data"))</f>
        <v/>
      </c>
      <c r="O134" s="17">
        <f>IF('Advanced Entry'!O134="","",IFERROR(MAX(0,MIN(10,ROUND(IF('Advanced Entry'!O$8="Decrease Risk",10-10*((IF('Advanced Entry'!O$5="Logarithm",LN(0.001+'Advanced Entry'!O134),IF('Advanced Entry'!O$5="Exponential",EXP('Advanced Entry'!O134),'Advanced Entry'!O134)))-'Advanced Entry'!O$6)/('Advanced Entry'!O$7-'Advanced Entry'!O$6),10*((IF('Advanced Entry'!O$5="Logarithm",LN(0.001+'Advanced Entry'!O134),IF('Advanced Entry'!O$5="Exponential",EXP('Advanced Entry'!O134),'Advanced Entry'!O134)))-'Advanced Entry'!O$6)/('Advanced Entry'!O$7-'Advanced Entry'!O$6)),1))),"No data"))</f>
        <v/>
      </c>
      <c r="P134" s="17">
        <f>IF('Advanced Entry'!P134="","",IFERROR(MAX(0,MIN(10,ROUND(IF('Advanced Entry'!P$8="Decrease Risk",10-10*((IF('Advanced Entry'!P$5="Logarithm",LN(0.001+'Advanced Entry'!P134),IF('Advanced Entry'!P$5="Exponential",EXP('Advanced Entry'!P134),'Advanced Entry'!P134)))-'Advanced Entry'!P$6)/('Advanced Entry'!P$7-'Advanced Entry'!P$6),10*((IF('Advanced Entry'!P$5="Logarithm",LN(0.001+'Advanced Entry'!P134),IF('Advanced Entry'!P$5="Exponential",EXP('Advanced Entry'!P134),'Advanced Entry'!P134)))-'Advanced Entry'!P$6)/('Advanced Entry'!P$7-'Advanced Entry'!P$6)),1))),"No data"))</f>
        <v/>
      </c>
      <c r="Q134" s="17">
        <f>IF('Advanced Entry'!Q134="","",IFERROR(MAX(0,MIN(10,ROUND(IF('Advanced Entry'!Q$8="Decrease Risk",10-10*((IF('Advanced Entry'!Q$5="Logarithm",LN(0.001+'Advanced Entry'!Q134),IF('Advanced Entry'!Q$5="Exponential",EXP('Advanced Entry'!Q134),'Advanced Entry'!Q134)))-'Advanced Entry'!Q$6)/('Advanced Entry'!Q$7-'Advanced Entry'!Q$6),10*((IF('Advanced Entry'!Q$5="Logarithm",LN(0.001+'Advanced Entry'!Q134),IF('Advanced Entry'!Q$5="Exponential",EXP('Advanced Entry'!Q134),'Advanced Entry'!Q134)))-'Advanced Entry'!Q$6)/('Advanced Entry'!Q$7-'Advanced Entry'!Q$6)),1))),"No data"))</f>
        <v/>
      </c>
      <c r="R134" s="17">
        <f>IF('Advanced Entry'!R134="","",IFERROR(MAX(0,MIN(10,ROUND(IF('Advanced Entry'!R$8="Decrease Risk",10-10*((IF('Advanced Entry'!R$5="Logarithm",LN(0.001+'Advanced Entry'!R134),IF('Advanced Entry'!R$5="Exponential",EXP('Advanced Entry'!R134),'Advanced Entry'!R134)))-'Advanced Entry'!R$6)/('Advanced Entry'!R$7-'Advanced Entry'!R$6),10*((IF('Advanced Entry'!R$5="Logarithm",LN(0.001+'Advanced Entry'!R134),IF('Advanced Entry'!R$5="Exponential",EXP('Advanced Entry'!R134),'Advanced Entry'!R134)))-'Advanced Entry'!R$6)/('Advanced Entry'!R$7-'Advanced Entry'!R$6)),1))),"No data"))</f>
        <v/>
      </c>
      <c r="S134" s="17">
        <f>IF('Advanced Entry'!S134="","",IFERROR(MAX(0,MIN(10,ROUND(IF('Advanced Entry'!S$8="Decrease Risk",10-10*((IF('Advanced Entry'!S$5="Logarithm",LN(0.001+'Advanced Entry'!S134),IF('Advanced Entry'!S$5="Exponential",EXP('Advanced Entry'!S134),'Advanced Entry'!S134)))-'Advanced Entry'!S$6)/('Advanced Entry'!S$7-'Advanced Entry'!S$6),10*((IF('Advanced Entry'!S$5="Logarithm",LN(0.001+'Advanced Entry'!S134),IF('Advanced Entry'!S$5="Exponential",EXP('Advanced Entry'!S134),'Advanced Entry'!S134)))-'Advanced Entry'!S$6)/('Advanced Entry'!S$7-'Advanced Entry'!S$6)),1))),"No data"))</f>
        <v/>
      </c>
      <c r="T134" s="17">
        <f>IF('Advanced Entry'!T134="","",IFERROR(MAX(0,MIN(10,ROUND(IF('Advanced Entry'!T$8="Decrease Risk",10-10*((IF('Advanced Entry'!T$5="Logarithm",LN(0.001+'Advanced Entry'!T134),IF('Advanced Entry'!T$5="Exponential",EXP('Advanced Entry'!T134),'Advanced Entry'!T134)))-'Advanced Entry'!T$6)/('Advanced Entry'!T$7-'Advanced Entry'!T$6),10*((IF('Advanced Entry'!T$5="Logarithm",LN(0.001+'Advanced Entry'!T134),IF('Advanced Entry'!T$5="Exponential",EXP('Advanced Entry'!T134),'Advanced Entry'!T134)))-'Advanced Entry'!T$6)/('Advanced Entry'!T$7-'Advanced Entry'!T$6)),1))),"No data"))</f>
        <v/>
      </c>
      <c r="U134" s="17">
        <f>IF('Advanced Entry'!U134="","",IFERROR(MAX(0,MIN(10,ROUND(IF('Advanced Entry'!U$8="Decrease Risk",10-10*((IF('Advanced Entry'!U$5="Logarithm",LN(0.001+'Advanced Entry'!U134),IF('Advanced Entry'!U$5="Exponential",EXP('Advanced Entry'!U134),'Advanced Entry'!U134)))-'Advanced Entry'!U$6)/('Advanced Entry'!U$7-'Advanced Entry'!U$6),10*((IF('Advanced Entry'!U$5="Logarithm",LN(0.001+'Advanced Entry'!U134),IF('Advanced Entry'!U$5="Exponential",EXP('Advanced Entry'!U134),'Advanced Entry'!U134)))-'Advanced Entry'!U$6)/('Advanced Entry'!U$7-'Advanced Entry'!U$6)),1))),"No data"))</f>
        <v/>
      </c>
      <c r="V134" s="17">
        <f>IF('Advanced Entry'!V134="","",IFERROR(MAX(0,MIN(10,ROUND(IF('Advanced Entry'!V$8="Decrease Risk",10-10*((IF('Advanced Entry'!V$5="Logarithm",LN(0.001+'Advanced Entry'!V134),IF('Advanced Entry'!V$5="Exponential",EXP('Advanced Entry'!V134),'Advanced Entry'!V134)))-'Advanced Entry'!V$6)/('Advanced Entry'!V$7-'Advanced Entry'!V$6),10*((IF('Advanced Entry'!V$5="Logarithm",LN(0.001+'Advanced Entry'!V134),IF('Advanced Entry'!V$5="Exponential",EXP('Advanced Entry'!V134),'Advanced Entry'!V134)))-'Advanced Entry'!V$6)/('Advanced Entry'!V$7-'Advanced Entry'!V$6)),1))),"No data"))</f>
        <v/>
      </c>
      <c r="W134" s="17">
        <f>IF('Advanced Entry'!W134="","",IFERROR(MAX(0,MIN(10,ROUND(IF('Advanced Entry'!W$8="Decrease Risk",10-10*((IF('Advanced Entry'!W$5="Logarithm",LN(0.001+'Advanced Entry'!W134),IF('Advanced Entry'!W$5="Exponential",EXP('Advanced Entry'!W134),'Advanced Entry'!W134)))-'Advanced Entry'!W$6)/('Advanced Entry'!W$7-'Advanced Entry'!W$6),10*((IF('Advanced Entry'!W$5="Logarithm",LN(0.001+'Advanced Entry'!W134),IF('Advanced Entry'!W$5="Exponential",EXP('Advanced Entry'!W134),'Advanced Entry'!W134)))-'Advanced Entry'!W$6)/('Advanced Entry'!W$7-'Advanced Entry'!W$6)),1))),"No data"))</f>
        <v/>
      </c>
      <c r="X134" s="17">
        <f>IF('Advanced Entry'!X134="","",IFERROR(MAX(0,MIN(10,ROUND(IF('Advanced Entry'!X$8="Decrease Risk",10-10*((IF('Advanced Entry'!X$5="Logarithm",LN(0.001+'Advanced Entry'!X134),IF('Advanced Entry'!X$5="Exponential",EXP('Advanced Entry'!X134),'Advanced Entry'!X134)))-'Advanced Entry'!X$6)/('Advanced Entry'!X$7-'Advanced Entry'!X$6),10*((IF('Advanced Entry'!X$5="Logarithm",LN(0.001+'Advanced Entry'!X134),IF('Advanced Entry'!X$5="Exponential",EXP('Advanced Entry'!X134),'Advanced Entry'!X134)))-'Advanced Entry'!X$6)/('Advanced Entry'!X$7-'Advanced Entry'!X$6)),1))),"No data"))</f>
        <v/>
      </c>
      <c r="Y134" s="17">
        <f>IF('Advanced Entry'!Y134="","",IFERROR(MAX(0,MIN(10,ROUND(IF('Advanced Entry'!Y$8="Decrease Risk",10-10*((IF('Advanced Entry'!Y$5="Logarithm",LN(0.001+'Advanced Entry'!Y134),IF('Advanced Entry'!Y$5="Exponential",EXP('Advanced Entry'!Y134),'Advanced Entry'!Y134)))-'Advanced Entry'!Y$6)/('Advanced Entry'!Y$7-'Advanced Entry'!Y$6),10*((IF('Advanced Entry'!Y$5="Logarithm",LN(0.001+'Advanced Entry'!Y134),IF('Advanced Entry'!Y$5="Exponential",EXP('Advanced Entry'!Y134),'Advanced Entry'!Y134)))-'Advanced Entry'!Y$6)/('Advanced Entry'!Y$7-'Advanced Entry'!Y$6)),1))),"No data"))</f>
        <v/>
      </c>
      <c r="Z134" s="17">
        <f>IF('Advanced Entry'!Z134="","",IFERROR(MAX(0,MIN(10,ROUND(IF('Advanced Entry'!Z$8="Decrease Risk",10-10*((IF('Advanced Entry'!Z$5="Logarithm",LN(0.001+'Advanced Entry'!Z134),IF('Advanced Entry'!Z$5="Exponential",EXP('Advanced Entry'!Z134),'Advanced Entry'!Z134)))-'Advanced Entry'!Z$6)/('Advanced Entry'!Z$7-'Advanced Entry'!Z$6),10*((IF('Advanced Entry'!Z$5="Logarithm",LN(0.001+'Advanced Entry'!Z134),IF('Advanced Entry'!Z$5="Exponential",EXP('Advanced Entry'!Z134),'Advanced Entry'!Z134)))-'Advanced Entry'!Z$6)/('Advanced Entry'!Z$7-'Advanced Entry'!Z$6)),1))),"No data"))</f>
        <v/>
      </c>
      <c r="AA134" s="17">
        <f>IF('Advanced Entry'!AA134="","",IFERROR(MAX(0,MIN(10,ROUND(IF('Advanced Entry'!AA$8="Decrease Risk",10-10*((IF('Advanced Entry'!AA$5="Logarithm",LN(0.001+'Advanced Entry'!AA134),IF('Advanced Entry'!AA$5="Exponential",EXP('Advanced Entry'!AA134),'Advanced Entry'!AA134)))-'Advanced Entry'!AA$6)/('Advanced Entry'!AA$7-'Advanced Entry'!AA$6),10*((IF('Advanced Entry'!AA$5="Logarithm",LN(0.001+'Advanced Entry'!AA134),IF('Advanced Entry'!AA$5="Exponential",EXP('Advanced Entry'!AA134),'Advanced Entry'!AA134)))-'Advanced Entry'!AA$6)/('Advanced Entry'!AA$7-'Advanced Entry'!AA$6)),1))),"No data"))</f>
        <v/>
      </c>
      <c r="AB134" s="17">
        <f>IF('Advanced Entry'!AB134="","",IFERROR(MAX(0,MIN(10,ROUND(IF('Advanced Entry'!AB$8="Decrease Risk",10-10*((IF('Advanced Entry'!AB$5="Logarithm",LN(0.001+'Advanced Entry'!AB134),IF('Advanced Entry'!AB$5="Exponential",EXP('Advanced Entry'!AB134),'Advanced Entry'!AB134)))-'Advanced Entry'!AB$6)/('Advanced Entry'!AB$7-'Advanced Entry'!AB$6),10*((IF('Advanced Entry'!AB$5="Logarithm",LN(0.001+'Advanced Entry'!AB134),IF('Advanced Entry'!AB$5="Exponential",EXP('Advanced Entry'!AB134),'Advanced Entry'!AB134)))-'Advanced Entry'!AB$6)/('Advanced Entry'!AB$7-'Advanced Entry'!AB$6)),1))),"No data"))</f>
        <v/>
      </c>
    </row>
    <row r="135">
      <c r="A135" t="inlineStr">
        <is>
          <t>Mwanza</t>
        </is>
      </c>
      <c r="B135" t="inlineStr">
        <is>
          <t>Ukerewe District</t>
        </is>
      </c>
      <c r="C135" t="inlineStr">
        <is>
          <t>C133</t>
        </is>
      </c>
      <c r="D135" s="17">
        <f>IF('Advanced Entry'!D135="","",IFERROR(MAX(0,MIN(10,ROUND(IF('Advanced Entry'!D$8="Decrease Risk",10-10*((IF('Advanced Entry'!D$5="Logarithm",LN(0.001+'Advanced Entry'!D135),IF('Advanced Entry'!D$5="Exponential",EXP('Advanced Entry'!D135),'Advanced Entry'!D135)))-'Advanced Entry'!D$6)/('Advanced Entry'!D$7-'Advanced Entry'!D$6),10*((IF('Advanced Entry'!D$5="Logarithm",LN(0.001+'Advanced Entry'!D135),IF('Advanced Entry'!D$5="Exponential",EXP('Advanced Entry'!D135),'Advanced Entry'!D135)))-'Advanced Entry'!D$6)/('Advanced Entry'!D$7-'Advanced Entry'!D$6)),1))),"No data"))</f>
        <v/>
      </c>
      <c r="E135" s="17">
        <f>IF('Advanced Entry'!E135="","",IFERROR(MAX(0,MIN(10,ROUND(IF('Advanced Entry'!E$8="Decrease Risk",10-10*((IF('Advanced Entry'!E$5="Logarithm",LN(0.001+'Advanced Entry'!E135),IF('Advanced Entry'!E$5="Exponential",EXP('Advanced Entry'!E135),'Advanced Entry'!E135)))-'Advanced Entry'!E$6)/('Advanced Entry'!E$7-'Advanced Entry'!E$6),10*((IF('Advanced Entry'!E$5="Logarithm",LN(0.001+'Advanced Entry'!E135),IF('Advanced Entry'!E$5="Exponential",EXP('Advanced Entry'!E135),'Advanced Entry'!E135)))-'Advanced Entry'!E$6)/('Advanced Entry'!E$7-'Advanced Entry'!E$6)),1))),"No data"))</f>
        <v/>
      </c>
      <c r="F135" s="17">
        <f>IF('Advanced Entry'!F135="","",IFERROR(MAX(0,MIN(10,ROUND(IF('Advanced Entry'!F$8="Decrease Risk",10-10*((IF('Advanced Entry'!F$5="Logarithm",LN(0.001+'Advanced Entry'!F135),IF('Advanced Entry'!F$5="Exponential",EXP('Advanced Entry'!F135),'Advanced Entry'!F135)))-'Advanced Entry'!F$6)/('Advanced Entry'!F$7-'Advanced Entry'!F$6),10*((IF('Advanced Entry'!F$5="Logarithm",LN(0.001+'Advanced Entry'!F135),IF('Advanced Entry'!F$5="Exponential",EXP('Advanced Entry'!F135),'Advanced Entry'!F135)))-'Advanced Entry'!F$6)/('Advanced Entry'!F$7-'Advanced Entry'!F$6)),1))),"No data"))</f>
        <v/>
      </c>
      <c r="G135" s="17">
        <f>IF('Advanced Entry'!G135="","",IFERROR(MAX(0,MIN(10,ROUND(IF('Advanced Entry'!G$8="Decrease Risk",10-10*((IF('Advanced Entry'!G$5="Logarithm",LN(0.001+'Advanced Entry'!G135),IF('Advanced Entry'!G$5="Exponential",EXP('Advanced Entry'!G135),'Advanced Entry'!G135)))-'Advanced Entry'!G$6)/('Advanced Entry'!G$7-'Advanced Entry'!G$6),10*((IF('Advanced Entry'!G$5="Logarithm",LN(0.001+'Advanced Entry'!G135),IF('Advanced Entry'!G$5="Exponential",EXP('Advanced Entry'!G135),'Advanced Entry'!G135)))-'Advanced Entry'!G$6)/('Advanced Entry'!G$7-'Advanced Entry'!G$6)),1))),"No data"))</f>
        <v/>
      </c>
      <c r="H135" s="17">
        <f>IF('Advanced Entry'!H135="","",IFERROR(MAX(0,MIN(10,ROUND(IF('Advanced Entry'!H$8="Decrease Risk",10-10*((IF('Advanced Entry'!H$5="Logarithm",LN(0.001+'Advanced Entry'!H135),IF('Advanced Entry'!H$5="Exponential",EXP('Advanced Entry'!H135),'Advanced Entry'!H135)))-'Advanced Entry'!H$6)/('Advanced Entry'!H$7-'Advanced Entry'!H$6),10*((IF('Advanced Entry'!H$5="Logarithm",LN(0.001+'Advanced Entry'!H135),IF('Advanced Entry'!H$5="Exponential",EXP('Advanced Entry'!H135),'Advanced Entry'!H135)))-'Advanced Entry'!H$6)/('Advanced Entry'!H$7-'Advanced Entry'!H$6)),1))),"No data"))</f>
        <v/>
      </c>
      <c r="I135" s="17">
        <f>IF('Advanced Entry'!I135="","",IFERROR(MAX(0,MIN(10,ROUND(IF('Advanced Entry'!I$8="Decrease Risk",10-10*((IF('Advanced Entry'!I$5="Logarithm",LN(0.001+'Advanced Entry'!I135),IF('Advanced Entry'!I$5="Exponential",EXP('Advanced Entry'!I135),'Advanced Entry'!I135)))-'Advanced Entry'!I$6)/('Advanced Entry'!I$7-'Advanced Entry'!I$6),10*((IF('Advanced Entry'!I$5="Logarithm",LN(0.001+'Advanced Entry'!I135),IF('Advanced Entry'!I$5="Exponential",EXP('Advanced Entry'!I135),'Advanced Entry'!I135)))-'Advanced Entry'!I$6)/('Advanced Entry'!I$7-'Advanced Entry'!I$6)),1))),"No data"))</f>
        <v/>
      </c>
      <c r="J135" s="17">
        <f>IF('Advanced Entry'!J135="","",IFERROR(MAX(0,MIN(10,ROUND(IF('Advanced Entry'!J$8="Decrease Risk",10-10*((IF('Advanced Entry'!J$5="Logarithm",LN(0.001+'Advanced Entry'!J135),IF('Advanced Entry'!J$5="Exponential",EXP('Advanced Entry'!J135),'Advanced Entry'!J135)))-'Advanced Entry'!J$6)/('Advanced Entry'!J$7-'Advanced Entry'!J$6),10*((IF('Advanced Entry'!J$5="Logarithm",LN(0.001+'Advanced Entry'!J135),IF('Advanced Entry'!J$5="Exponential",EXP('Advanced Entry'!J135),'Advanced Entry'!J135)))-'Advanced Entry'!J$6)/('Advanced Entry'!J$7-'Advanced Entry'!J$6)),1))),"No data"))</f>
        <v/>
      </c>
      <c r="K135" s="17">
        <f>IF('Advanced Entry'!K135="","",IFERROR(MAX(0,MIN(10,ROUND(IF('Advanced Entry'!K$8="Decrease Risk",10-10*((IF('Advanced Entry'!K$5="Logarithm",LN(0.001+'Advanced Entry'!K135),IF('Advanced Entry'!K$5="Exponential",EXP('Advanced Entry'!K135),'Advanced Entry'!K135)))-'Advanced Entry'!K$6)/('Advanced Entry'!K$7-'Advanced Entry'!K$6),10*((IF('Advanced Entry'!K$5="Logarithm",LN(0.001+'Advanced Entry'!K135),IF('Advanced Entry'!K$5="Exponential",EXP('Advanced Entry'!K135),'Advanced Entry'!K135)))-'Advanced Entry'!K$6)/('Advanced Entry'!K$7-'Advanced Entry'!K$6)),1))),"No data"))</f>
        <v/>
      </c>
      <c r="L135" s="17">
        <f>IF('Advanced Entry'!L135="","",IFERROR(MAX(0,MIN(10,ROUND(IF('Advanced Entry'!L$8="Decrease Risk",10-10*((IF('Advanced Entry'!L$5="Logarithm",LN(0.001+'Advanced Entry'!L135),IF('Advanced Entry'!L$5="Exponential",EXP('Advanced Entry'!L135),'Advanced Entry'!L135)))-'Advanced Entry'!L$6)/('Advanced Entry'!L$7-'Advanced Entry'!L$6),10*((IF('Advanced Entry'!L$5="Logarithm",LN(0.001+'Advanced Entry'!L135),IF('Advanced Entry'!L$5="Exponential",EXP('Advanced Entry'!L135),'Advanced Entry'!L135)))-'Advanced Entry'!L$6)/('Advanced Entry'!L$7-'Advanced Entry'!L$6)),1))),"No data"))</f>
        <v/>
      </c>
      <c r="M135" s="17">
        <f>IF('Advanced Entry'!M135="","",IFERROR(MAX(0,MIN(10,ROUND(IF('Advanced Entry'!M$8="Decrease Risk",10-10*((IF('Advanced Entry'!M$5="Logarithm",LN(0.001+'Advanced Entry'!M135),IF('Advanced Entry'!M$5="Exponential",EXP('Advanced Entry'!M135),'Advanced Entry'!M135)))-'Advanced Entry'!M$6)/('Advanced Entry'!M$7-'Advanced Entry'!M$6),10*((IF('Advanced Entry'!M$5="Logarithm",LN(0.001+'Advanced Entry'!M135),IF('Advanced Entry'!M$5="Exponential",EXP('Advanced Entry'!M135),'Advanced Entry'!M135)))-'Advanced Entry'!M$6)/('Advanced Entry'!M$7-'Advanced Entry'!M$6)),1))),"No data"))</f>
        <v/>
      </c>
      <c r="N135" s="17">
        <f>IF('Advanced Entry'!N135="","",IFERROR(MAX(0,MIN(10,ROUND(IF('Advanced Entry'!N$8="Decrease Risk",10-10*((IF('Advanced Entry'!N$5="Logarithm",LN(0.001+'Advanced Entry'!N135),IF('Advanced Entry'!N$5="Exponential",EXP('Advanced Entry'!N135),'Advanced Entry'!N135)))-'Advanced Entry'!N$6)/('Advanced Entry'!N$7-'Advanced Entry'!N$6),10*((IF('Advanced Entry'!N$5="Logarithm",LN(0.001+'Advanced Entry'!N135),IF('Advanced Entry'!N$5="Exponential",EXP('Advanced Entry'!N135),'Advanced Entry'!N135)))-'Advanced Entry'!N$6)/('Advanced Entry'!N$7-'Advanced Entry'!N$6)),1))),"No data"))</f>
        <v/>
      </c>
      <c r="O135" s="17">
        <f>IF('Advanced Entry'!O135="","",IFERROR(MAX(0,MIN(10,ROUND(IF('Advanced Entry'!O$8="Decrease Risk",10-10*((IF('Advanced Entry'!O$5="Logarithm",LN(0.001+'Advanced Entry'!O135),IF('Advanced Entry'!O$5="Exponential",EXP('Advanced Entry'!O135),'Advanced Entry'!O135)))-'Advanced Entry'!O$6)/('Advanced Entry'!O$7-'Advanced Entry'!O$6),10*((IF('Advanced Entry'!O$5="Logarithm",LN(0.001+'Advanced Entry'!O135),IF('Advanced Entry'!O$5="Exponential",EXP('Advanced Entry'!O135),'Advanced Entry'!O135)))-'Advanced Entry'!O$6)/('Advanced Entry'!O$7-'Advanced Entry'!O$6)),1))),"No data"))</f>
        <v/>
      </c>
      <c r="P135" s="17">
        <f>IF('Advanced Entry'!P135="","",IFERROR(MAX(0,MIN(10,ROUND(IF('Advanced Entry'!P$8="Decrease Risk",10-10*((IF('Advanced Entry'!P$5="Logarithm",LN(0.001+'Advanced Entry'!P135),IF('Advanced Entry'!P$5="Exponential",EXP('Advanced Entry'!P135),'Advanced Entry'!P135)))-'Advanced Entry'!P$6)/('Advanced Entry'!P$7-'Advanced Entry'!P$6),10*((IF('Advanced Entry'!P$5="Logarithm",LN(0.001+'Advanced Entry'!P135),IF('Advanced Entry'!P$5="Exponential",EXP('Advanced Entry'!P135),'Advanced Entry'!P135)))-'Advanced Entry'!P$6)/('Advanced Entry'!P$7-'Advanced Entry'!P$6)),1))),"No data"))</f>
        <v/>
      </c>
      <c r="Q135" s="17">
        <f>IF('Advanced Entry'!Q135="","",IFERROR(MAX(0,MIN(10,ROUND(IF('Advanced Entry'!Q$8="Decrease Risk",10-10*((IF('Advanced Entry'!Q$5="Logarithm",LN(0.001+'Advanced Entry'!Q135),IF('Advanced Entry'!Q$5="Exponential",EXP('Advanced Entry'!Q135),'Advanced Entry'!Q135)))-'Advanced Entry'!Q$6)/('Advanced Entry'!Q$7-'Advanced Entry'!Q$6),10*((IF('Advanced Entry'!Q$5="Logarithm",LN(0.001+'Advanced Entry'!Q135),IF('Advanced Entry'!Q$5="Exponential",EXP('Advanced Entry'!Q135),'Advanced Entry'!Q135)))-'Advanced Entry'!Q$6)/('Advanced Entry'!Q$7-'Advanced Entry'!Q$6)),1))),"No data"))</f>
        <v/>
      </c>
      <c r="R135" s="17">
        <f>IF('Advanced Entry'!R135="","",IFERROR(MAX(0,MIN(10,ROUND(IF('Advanced Entry'!R$8="Decrease Risk",10-10*((IF('Advanced Entry'!R$5="Logarithm",LN(0.001+'Advanced Entry'!R135),IF('Advanced Entry'!R$5="Exponential",EXP('Advanced Entry'!R135),'Advanced Entry'!R135)))-'Advanced Entry'!R$6)/('Advanced Entry'!R$7-'Advanced Entry'!R$6),10*((IF('Advanced Entry'!R$5="Logarithm",LN(0.001+'Advanced Entry'!R135),IF('Advanced Entry'!R$5="Exponential",EXP('Advanced Entry'!R135),'Advanced Entry'!R135)))-'Advanced Entry'!R$6)/('Advanced Entry'!R$7-'Advanced Entry'!R$6)),1))),"No data"))</f>
        <v/>
      </c>
      <c r="S135" s="17">
        <f>IF('Advanced Entry'!S135="","",IFERROR(MAX(0,MIN(10,ROUND(IF('Advanced Entry'!S$8="Decrease Risk",10-10*((IF('Advanced Entry'!S$5="Logarithm",LN(0.001+'Advanced Entry'!S135),IF('Advanced Entry'!S$5="Exponential",EXP('Advanced Entry'!S135),'Advanced Entry'!S135)))-'Advanced Entry'!S$6)/('Advanced Entry'!S$7-'Advanced Entry'!S$6),10*((IF('Advanced Entry'!S$5="Logarithm",LN(0.001+'Advanced Entry'!S135),IF('Advanced Entry'!S$5="Exponential",EXP('Advanced Entry'!S135),'Advanced Entry'!S135)))-'Advanced Entry'!S$6)/('Advanced Entry'!S$7-'Advanced Entry'!S$6)),1))),"No data"))</f>
        <v/>
      </c>
      <c r="T135" s="17">
        <f>IF('Advanced Entry'!T135="","",IFERROR(MAX(0,MIN(10,ROUND(IF('Advanced Entry'!T$8="Decrease Risk",10-10*((IF('Advanced Entry'!T$5="Logarithm",LN(0.001+'Advanced Entry'!T135),IF('Advanced Entry'!T$5="Exponential",EXP('Advanced Entry'!T135),'Advanced Entry'!T135)))-'Advanced Entry'!T$6)/('Advanced Entry'!T$7-'Advanced Entry'!T$6),10*((IF('Advanced Entry'!T$5="Logarithm",LN(0.001+'Advanced Entry'!T135),IF('Advanced Entry'!T$5="Exponential",EXP('Advanced Entry'!T135),'Advanced Entry'!T135)))-'Advanced Entry'!T$6)/('Advanced Entry'!T$7-'Advanced Entry'!T$6)),1))),"No data"))</f>
        <v/>
      </c>
      <c r="U135" s="17">
        <f>IF('Advanced Entry'!U135="","",IFERROR(MAX(0,MIN(10,ROUND(IF('Advanced Entry'!U$8="Decrease Risk",10-10*((IF('Advanced Entry'!U$5="Logarithm",LN(0.001+'Advanced Entry'!U135),IF('Advanced Entry'!U$5="Exponential",EXP('Advanced Entry'!U135),'Advanced Entry'!U135)))-'Advanced Entry'!U$6)/('Advanced Entry'!U$7-'Advanced Entry'!U$6),10*((IF('Advanced Entry'!U$5="Logarithm",LN(0.001+'Advanced Entry'!U135),IF('Advanced Entry'!U$5="Exponential",EXP('Advanced Entry'!U135),'Advanced Entry'!U135)))-'Advanced Entry'!U$6)/('Advanced Entry'!U$7-'Advanced Entry'!U$6)),1))),"No data"))</f>
        <v/>
      </c>
      <c r="V135" s="17">
        <f>IF('Advanced Entry'!V135="","",IFERROR(MAX(0,MIN(10,ROUND(IF('Advanced Entry'!V$8="Decrease Risk",10-10*((IF('Advanced Entry'!V$5="Logarithm",LN(0.001+'Advanced Entry'!V135),IF('Advanced Entry'!V$5="Exponential",EXP('Advanced Entry'!V135),'Advanced Entry'!V135)))-'Advanced Entry'!V$6)/('Advanced Entry'!V$7-'Advanced Entry'!V$6),10*((IF('Advanced Entry'!V$5="Logarithm",LN(0.001+'Advanced Entry'!V135),IF('Advanced Entry'!V$5="Exponential",EXP('Advanced Entry'!V135),'Advanced Entry'!V135)))-'Advanced Entry'!V$6)/('Advanced Entry'!V$7-'Advanced Entry'!V$6)),1))),"No data"))</f>
        <v/>
      </c>
      <c r="W135" s="17">
        <f>IF('Advanced Entry'!W135="","",IFERROR(MAX(0,MIN(10,ROUND(IF('Advanced Entry'!W$8="Decrease Risk",10-10*((IF('Advanced Entry'!W$5="Logarithm",LN(0.001+'Advanced Entry'!W135),IF('Advanced Entry'!W$5="Exponential",EXP('Advanced Entry'!W135),'Advanced Entry'!W135)))-'Advanced Entry'!W$6)/('Advanced Entry'!W$7-'Advanced Entry'!W$6),10*((IF('Advanced Entry'!W$5="Logarithm",LN(0.001+'Advanced Entry'!W135),IF('Advanced Entry'!W$5="Exponential",EXP('Advanced Entry'!W135),'Advanced Entry'!W135)))-'Advanced Entry'!W$6)/('Advanced Entry'!W$7-'Advanced Entry'!W$6)),1))),"No data"))</f>
        <v/>
      </c>
      <c r="X135" s="17">
        <f>IF('Advanced Entry'!X135="","",IFERROR(MAX(0,MIN(10,ROUND(IF('Advanced Entry'!X$8="Decrease Risk",10-10*((IF('Advanced Entry'!X$5="Logarithm",LN(0.001+'Advanced Entry'!X135),IF('Advanced Entry'!X$5="Exponential",EXP('Advanced Entry'!X135),'Advanced Entry'!X135)))-'Advanced Entry'!X$6)/('Advanced Entry'!X$7-'Advanced Entry'!X$6),10*((IF('Advanced Entry'!X$5="Logarithm",LN(0.001+'Advanced Entry'!X135),IF('Advanced Entry'!X$5="Exponential",EXP('Advanced Entry'!X135),'Advanced Entry'!X135)))-'Advanced Entry'!X$6)/('Advanced Entry'!X$7-'Advanced Entry'!X$6)),1))),"No data"))</f>
        <v/>
      </c>
      <c r="Y135" s="17">
        <f>IF('Advanced Entry'!Y135="","",IFERROR(MAX(0,MIN(10,ROUND(IF('Advanced Entry'!Y$8="Decrease Risk",10-10*((IF('Advanced Entry'!Y$5="Logarithm",LN(0.001+'Advanced Entry'!Y135),IF('Advanced Entry'!Y$5="Exponential",EXP('Advanced Entry'!Y135),'Advanced Entry'!Y135)))-'Advanced Entry'!Y$6)/('Advanced Entry'!Y$7-'Advanced Entry'!Y$6),10*((IF('Advanced Entry'!Y$5="Logarithm",LN(0.001+'Advanced Entry'!Y135),IF('Advanced Entry'!Y$5="Exponential",EXP('Advanced Entry'!Y135),'Advanced Entry'!Y135)))-'Advanced Entry'!Y$6)/('Advanced Entry'!Y$7-'Advanced Entry'!Y$6)),1))),"No data"))</f>
        <v/>
      </c>
      <c r="Z135" s="17">
        <f>IF('Advanced Entry'!Z135="","",IFERROR(MAX(0,MIN(10,ROUND(IF('Advanced Entry'!Z$8="Decrease Risk",10-10*((IF('Advanced Entry'!Z$5="Logarithm",LN(0.001+'Advanced Entry'!Z135),IF('Advanced Entry'!Z$5="Exponential",EXP('Advanced Entry'!Z135),'Advanced Entry'!Z135)))-'Advanced Entry'!Z$6)/('Advanced Entry'!Z$7-'Advanced Entry'!Z$6),10*((IF('Advanced Entry'!Z$5="Logarithm",LN(0.001+'Advanced Entry'!Z135),IF('Advanced Entry'!Z$5="Exponential",EXP('Advanced Entry'!Z135),'Advanced Entry'!Z135)))-'Advanced Entry'!Z$6)/('Advanced Entry'!Z$7-'Advanced Entry'!Z$6)),1))),"No data"))</f>
        <v/>
      </c>
      <c r="AA135" s="17">
        <f>IF('Advanced Entry'!AA135="","",IFERROR(MAX(0,MIN(10,ROUND(IF('Advanced Entry'!AA$8="Decrease Risk",10-10*((IF('Advanced Entry'!AA$5="Logarithm",LN(0.001+'Advanced Entry'!AA135),IF('Advanced Entry'!AA$5="Exponential",EXP('Advanced Entry'!AA135),'Advanced Entry'!AA135)))-'Advanced Entry'!AA$6)/('Advanced Entry'!AA$7-'Advanced Entry'!AA$6),10*((IF('Advanced Entry'!AA$5="Logarithm",LN(0.001+'Advanced Entry'!AA135),IF('Advanced Entry'!AA$5="Exponential",EXP('Advanced Entry'!AA135),'Advanced Entry'!AA135)))-'Advanced Entry'!AA$6)/('Advanced Entry'!AA$7-'Advanced Entry'!AA$6)),1))),"No data"))</f>
        <v/>
      </c>
      <c r="AB135" s="17">
        <f>IF('Advanced Entry'!AB135="","",IFERROR(MAX(0,MIN(10,ROUND(IF('Advanced Entry'!AB$8="Decrease Risk",10-10*((IF('Advanced Entry'!AB$5="Logarithm",LN(0.001+'Advanced Entry'!AB135),IF('Advanced Entry'!AB$5="Exponential",EXP('Advanced Entry'!AB135),'Advanced Entry'!AB135)))-'Advanced Entry'!AB$6)/('Advanced Entry'!AB$7-'Advanced Entry'!AB$6),10*((IF('Advanced Entry'!AB$5="Logarithm",LN(0.001+'Advanced Entry'!AB135),IF('Advanced Entry'!AB$5="Exponential",EXP('Advanced Entry'!AB135),'Advanced Entry'!AB135)))-'Advanced Entry'!AB$6)/('Advanced Entry'!AB$7-'Advanced Entry'!AB$6)),1))),"No data"))</f>
        <v/>
      </c>
    </row>
    <row r="136">
      <c r="A136" t="inlineStr">
        <is>
          <t>Njombe</t>
        </is>
      </c>
      <c r="B136" t="inlineStr">
        <is>
          <t>Ludewa District</t>
        </is>
      </c>
      <c r="C136" t="inlineStr">
        <is>
          <t>C160</t>
        </is>
      </c>
      <c r="D136" s="17">
        <f>IF('Advanced Entry'!D136="","",IFERROR(MAX(0,MIN(10,ROUND(IF('Advanced Entry'!D$8="Decrease Risk",10-10*((IF('Advanced Entry'!D$5="Logarithm",LN(0.001+'Advanced Entry'!D136),IF('Advanced Entry'!D$5="Exponential",EXP('Advanced Entry'!D136),'Advanced Entry'!D136)))-'Advanced Entry'!D$6)/('Advanced Entry'!D$7-'Advanced Entry'!D$6),10*((IF('Advanced Entry'!D$5="Logarithm",LN(0.001+'Advanced Entry'!D136),IF('Advanced Entry'!D$5="Exponential",EXP('Advanced Entry'!D136),'Advanced Entry'!D136)))-'Advanced Entry'!D$6)/('Advanced Entry'!D$7-'Advanced Entry'!D$6)),1))),"No data"))</f>
        <v/>
      </c>
      <c r="E136" s="17">
        <f>IF('Advanced Entry'!E136="","",IFERROR(MAX(0,MIN(10,ROUND(IF('Advanced Entry'!E$8="Decrease Risk",10-10*((IF('Advanced Entry'!E$5="Logarithm",LN(0.001+'Advanced Entry'!E136),IF('Advanced Entry'!E$5="Exponential",EXP('Advanced Entry'!E136),'Advanced Entry'!E136)))-'Advanced Entry'!E$6)/('Advanced Entry'!E$7-'Advanced Entry'!E$6),10*((IF('Advanced Entry'!E$5="Logarithm",LN(0.001+'Advanced Entry'!E136),IF('Advanced Entry'!E$5="Exponential",EXP('Advanced Entry'!E136),'Advanced Entry'!E136)))-'Advanced Entry'!E$6)/('Advanced Entry'!E$7-'Advanced Entry'!E$6)),1))),"No data"))</f>
        <v/>
      </c>
      <c r="F136" s="17">
        <f>IF('Advanced Entry'!F136="","",IFERROR(MAX(0,MIN(10,ROUND(IF('Advanced Entry'!F$8="Decrease Risk",10-10*((IF('Advanced Entry'!F$5="Logarithm",LN(0.001+'Advanced Entry'!F136),IF('Advanced Entry'!F$5="Exponential",EXP('Advanced Entry'!F136),'Advanced Entry'!F136)))-'Advanced Entry'!F$6)/('Advanced Entry'!F$7-'Advanced Entry'!F$6),10*((IF('Advanced Entry'!F$5="Logarithm",LN(0.001+'Advanced Entry'!F136),IF('Advanced Entry'!F$5="Exponential",EXP('Advanced Entry'!F136),'Advanced Entry'!F136)))-'Advanced Entry'!F$6)/('Advanced Entry'!F$7-'Advanced Entry'!F$6)),1))),"No data"))</f>
        <v/>
      </c>
      <c r="G136" s="17">
        <f>IF('Advanced Entry'!G136="","",IFERROR(MAX(0,MIN(10,ROUND(IF('Advanced Entry'!G$8="Decrease Risk",10-10*((IF('Advanced Entry'!G$5="Logarithm",LN(0.001+'Advanced Entry'!G136),IF('Advanced Entry'!G$5="Exponential",EXP('Advanced Entry'!G136),'Advanced Entry'!G136)))-'Advanced Entry'!G$6)/('Advanced Entry'!G$7-'Advanced Entry'!G$6),10*((IF('Advanced Entry'!G$5="Logarithm",LN(0.001+'Advanced Entry'!G136),IF('Advanced Entry'!G$5="Exponential",EXP('Advanced Entry'!G136),'Advanced Entry'!G136)))-'Advanced Entry'!G$6)/('Advanced Entry'!G$7-'Advanced Entry'!G$6)),1))),"No data"))</f>
        <v/>
      </c>
      <c r="H136" s="17">
        <f>IF('Advanced Entry'!H136="","",IFERROR(MAX(0,MIN(10,ROUND(IF('Advanced Entry'!H$8="Decrease Risk",10-10*((IF('Advanced Entry'!H$5="Logarithm",LN(0.001+'Advanced Entry'!H136),IF('Advanced Entry'!H$5="Exponential",EXP('Advanced Entry'!H136),'Advanced Entry'!H136)))-'Advanced Entry'!H$6)/('Advanced Entry'!H$7-'Advanced Entry'!H$6),10*((IF('Advanced Entry'!H$5="Logarithm",LN(0.001+'Advanced Entry'!H136),IF('Advanced Entry'!H$5="Exponential",EXP('Advanced Entry'!H136),'Advanced Entry'!H136)))-'Advanced Entry'!H$6)/('Advanced Entry'!H$7-'Advanced Entry'!H$6)),1))),"No data"))</f>
        <v/>
      </c>
      <c r="I136" s="17">
        <f>IF('Advanced Entry'!I136="","",IFERROR(MAX(0,MIN(10,ROUND(IF('Advanced Entry'!I$8="Decrease Risk",10-10*((IF('Advanced Entry'!I$5="Logarithm",LN(0.001+'Advanced Entry'!I136),IF('Advanced Entry'!I$5="Exponential",EXP('Advanced Entry'!I136),'Advanced Entry'!I136)))-'Advanced Entry'!I$6)/('Advanced Entry'!I$7-'Advanced Entry'!I$6),10*((IF('Advanced Entry'!I$5="Logarithm",LN(0.001+'Advanced Entry'!I136),IF('Advanced Entry'!I$5="Exponential",EXP('Advanced Entry'!I136),'Advanced Entry'!I136)))-'Advanced Entry'!I$6)/('Advanced Entry'!I$7-'Advanced Entry'!I$6)),1))),"No data"))</f>
        <v/>
      </c>
      <c r="J136" s="17">
        <f>IF('Advanced Entry'!J136="","",IFERROR(MAX(0,MIN(10,ROUND(IF('Advanced Entry'!J$8="Decrease Risk",10-10*((IF('Advanced Entry'!J$5="Logarithm",LN(0.001+'Advanced Entry'!J136),IF('Advanced Entry'!J$5="Exponential",EXP('Advanced Entry'!J136),'Advanced Entry'!J136)))-'Advanced Entry'!J$6)/('Advanced Entry'!J$7-'Advanced Entry'!J$6),10*((IF('Advanced Entry'!J$5="Logarithm",LN(0.001+'Advanced Entry'!J136),IF('Advanced Entry'!J$5="Exponential",EXP('Advanced Entry'!J136),'Advanced Entry'!J136)))-'Advanced Entry'!J$6)/('Advanced Entry'!J$7-'Advanced Entry'!J$6)),1))),"No data"))</f>
        <v/>
      </c>
      <c r="K136" s="17">
        <f>IF('Advanced Entry'!K136="","",IFERROR(MAX(0,MIN(10,ROUND(IF('Advanced Entry'!K$8="Decrease Risk",10-10*((IF('Advanced Entry'!K$5="Logarithm",LN(0.001+'Advanced Entry'!K136),IF('Advanced Entry'!K$5="Exponential",EXP('Advanced Entry'!K136),'Advanced Entry'!K136)))-'Advanced Entry'!K$6)/('Advanced Entry'!K$7-'Advanced Entry'!K$6),10*((IF('Advanced Entry'!K$5="Logarithm",LN(0.001+'Advanced Entry'!K136),IF('Advanced Entry'!K$5="Exponential",EXP('Advanced Entry'!K136),'Advanced Entry'!K136)))-'Advanced Entry'!K$6)/('Advanced Entry'!K$7-'Advanced Entry'!K$6)),1))),"No data"))</f>
        <v/>
      </c>
      <c r="L136" s="17">
        <f>IF('Advanced Entry'!L136="","",IFERROR(MAX(0,MIN(10,ROUND(IF('Advanced Entry'!L$8="Decrease Risk",10-10*((IF('Advanced Entry'!L$5="Logarithm",LN(0.001+'Advanced Entry'!L136),IF('Advanced Entry'!L$5="Exponential",EXP('Advanced Entry'!L136),'Advanced Entry'!L136)))-'Advanced Entry'!L$6)/('Advanced Entry'!L$7-'Advanced Entry'!L$6),10*((IF('Advanced Entry'!L$5="Logarithm",LN(0.001+'Advanced Entry'!L136),IF('Advanced Entry'!L$5="Exponential",EXP('Advanced Entry'!L136),'Advanced Entry'!L136)))-'Advanced Entry'!L$6)/('Advanced Entry'!L$7-'Advanced Entry'!L$6)),1))),"No data"))</f>
        <v/>
      </c>
      <c r="M136" s="17">
        <f>IF('Advanced Entry'!M136="","",IFERROR(MAX(0,MIN(10,ROUND(IF('Advanced Entry'!M$8="Decrease Risk",10-10*((IF('Advanced Entry'!M$5="Logarithm",LN(0.001+'Advanced Entry'!M136),IF('Advanced Entry'!M$5="Exponential",EXP('Advanced Entry'!M136),'Advanced Entry'!M136)))-'Advanced Entry'!M$6)/('Advanced Entry'!M$7-'Advanced Entry'!M$6),10*((IF('Advanced Entry'!M$5="Logarithm",LN(0.001+'Advanced Entry'!M136),IF('Advanced Entry'!M$5="Exponential",EXP('Advanced Entry'!M136),'Advanced Entry'!M136)))-'Advanced Entry'!M$6)/('Advanced Entry'!M$7-'Advanced Entry'!M$6)),1))),"No data"))</f>
        <v/>
      </c>
      <c r="N136" s="17">
        <f>IF('Advanced Entry'!N136="","",IFERROR(MAX(0,MIN(10,ROUND(IF('Advanced Entry'!N$8="Decrease Risk",10-10*((IF('Advanced Entry'!N$5="Logarithm",LN(0.001+'Advanced Entry'!N136),IF('Advanced Entry'!N$5="Exponential",EXP('Advanced Entry'!N136),'Advanced Entry'!N136)))-'Advanced Entry'!N$6)/('Advanced Entry'!N$7-'Advanced Entry'!N$6),10*((IF('Advanced Entry'!N$5="Logarithm",LN(0.001+'Advanced Entry'!N136),IF('Advanced Entry'!N$5="Exponential",EXP('Advanced Entry'!N136),'Advanced Entry'!N136)))-'Advanced Entry'!N$6)/('Advanced Entry'!N$7-'Advanced Entry'!N$6)),1))),"No data"))</f>
        <v/>
      </c>
      <c r="O136" s="17">
        <f>IF('Advanced Entry'!O136="","",IFERROR(MAX(0,MIN(10,ROUND(IF('Advanced Entry'!O$8="Decrease Risk",10-10*((IF('Advanced Entry'!O$5="Logarithm",LN(0.001+'Advanced Entry'!O136),IF('Advanced Entry'!O$5="Exponential",EXP('Advanced Entry'!O136),'Advanced Entry'!O136)))-'Advanced Entry'!O$6)/('Advanced Entry'!O$7-'Advanced Entry'!O$6),10*((IF('Advanced Entry'!O$5="Logarithm",LN(0.001+'Advanced Entry'!O136),IF('Advanced Entry'!O$5="Exponential",EXP('Advanced Entry'!O136),'Advanced Entry'!O136)))-'Advanced Entry'!O$6)/('Advanced Entry'!O$7-'Advanced Entry'!O$6)),1))),"No data"))</f>
        <v/>
      </c>
      <c r="P136" s="17">
        <f>IF('Advanced Entry'!P136="","",IFERROR(MAX(0,MIN(10,ROUND(IF('Advanced Entry'!P$8="Decrease Risk",10-10*((IF('Advanced Entry'!P$5="Logarithm",LN(0.001+'Advanced Entry'!P136),IF('Advanced Entry'!P$5="Exponential",EXP('Advanced Entry'!P136),'Advanced Entry'!P136)))-'Advanced Entry'!P$6)/('Advanced Entry'!P$7-'Advanced Entry'!P$6),10*((IF('Advanced Entry'!P$5="Logarithm",LN(0.001+'Advanced Entry'!P136),IF('Advanced Entry'!P$5="Exponential",EXP('Advanced Entry'!P136),'Advanced Entry'!P136)))-'Advanced Entry'!P$6)/('Advanced Entry'!P$7-'Advanced Entry'!P$6)),1))),"No data"))</f>
        <v/>
      </c>
      <c r="Q136" s="17">
        <f>IF('Advanced Entry'!Q136="","",IFERROR(MAX(0,MIN(10,ROUND(IF('Advanced Entry'!Q$8="Decrease Risk",10-10*((IF('Advanced Entry'!Q$5="Logarithm",LN(0.001+'Advanced Entry'!Q136),IF('Advanced Entry'!Q$5="Exponential",EXP('Advanced Entry'!Q136),'Advanced Entry'!Q136)))-'Advanced Entry'!Q$6)/('Advanced Entry'!Q$7-'Advanced Entry'!Q$6),10*((IF('Advanced Entry'!Q$5="Logarithm",LN(0.001+'Advanced Entry'!Q136),IF('Advanced Entry'!Q$5="Exponential",EXP('Advanced Entry'!Q136),'Advanced Entry'!Q136)))-'Advanced Entry'!Q$6)/('Advanced Entry'!Q$7-'Advanced Entry'!Q$6)),1))),"No data"))</f>
        <v/>
      </c>
      <c r="R136" s="17">
        <f>IF('Advanced Entry'!R136="","",IFERROR(MAX(0,MIN(10,ROUND(IF('Advanced Entry'!R$8="Decrease Risk",10-10*((IF('Advanced Entry'!R$5="Logarithm",LN(0.001+'Advanced Entry'!R136),IF('Advanced Entry'!R$5="Exponential",EXP('Advanced Entry'!R136),'Advanced Entry'!R136)))-'Advanced Entry'!R$6)/('Advanced Entry'!R$7-'Advanced Entry'!R$6),10*((IF('Advanced Entry'!R$5="Logarithm",LN(0.001+'Advanced Entry'!R136),IF('Advanced Entry'!R$5="Exponential",EXP('Advanced Entry'!R136),'Advanced Entry'!R136)))-'Advanced Entry'!R$6)/('Advanced Entry'!R$7-'Advanced Entry'!R$6)),1))),"No data"))</f>
        <v/>
      </c>
      <c r="S136" s="17">
        <f>IF('Advanced Entry'!S136="","",IFERROR(MAX(0,MIN(10,ROUND(IF('Advanced Entry'!S$8="Decrease Risk",10-10*((IF('Advanced Entry'!S$5="Logarithm",LN(0.001+'Advanced Entry'!S136),IF('Advanced Entry'!S$5="Exponential",EXP('Advanced Entry'!S136),'Advanced Entry'!S136)))-'Advanced Entry'!S$6)/('Advanced Entry'!S$7-'Advanced Entry'!S$6),10*((IF('Advanced Entry'!S$5="Logarithm",LN(0.001+'Advanced Entry'!S136),IF('Advanced Entry'!S$5="Exponential",EXP('Advanced Entry'!S136),'Advanced Entry'!S136)))-'Advanced Entry'!S$6)/('Advanced Entry'!S$7-'Advanced Entry'!S$6)),1))),"No data"))</f>
        <v/>
      </c>
      <c r="T136" s="17">
        <f>IF('Advanced Entry'!T136="","",IFERROR(MAX(0,MIN(10,ROUND(IF('Advanced Entry'!T$8="Decrease Risk",10-10*((IF('Advanced Entry'!T$5="Logarithm",LN(0.001+'Advanced Entry'!T136),IF('Advanced Entry'!T$5="Exponential",EXP('Advanced Entry'!T136),'Advanced Entry'!T136)))-'Advanced Entry'!T$6)/('Advanced Entry'!T$7-'Advanced Entry'!T$6),10*((IF('Advanced Entry'!T$5="Logarithm",LN(0.001+'Advanced Entry'!T136),IF('Advanced Entry'!T$5="Exponential",EXP('Advanced Entry'!T136),'Advanced Entry'!T136)))-'Advanced Entry'!T$6)/('Advanced Entry'!T$7-'Advanced Entry'!T$6)),1))),"No data"))</f>
        <v/>
      </c>
      <c r="U136" s="17">
        <f>IF('Advanced Entry'!U136="","",IFERROR(MAX(0,MIN(10,ROUND(IF('Advanced Entry'!U$8="Decrease Risk",10-10*((IF('Advanced Entry'!U$5="Logarithm",LN(0.001+'Advanced Entry'!U136),IF('Advanced Entry'!U$5="Exponential",EXP('Advanced Entry'!U136),'Advanced Entry'!U136)))-'Advanced Entry'!U$6)/('Advanced Entry'!U$7-'Advanced Entry'!U$6),10*((IF('Advanced Entry'!U$5="Logarithm",LN(0.001+'Advanced Entry'!U136),IF('Advanced Entry'!U$5="Exponential",EXP('Advanced Entry'!U136),'Advanced Entry'!U136)))-'Advanced Entry'!U$6)/('Advanced Entry'!U$7-'Advanced Entry'!U$6)),1))),"No data"))</f>
        <v/>
      </c>
      <c r="V136" s="17">
        <f>IF('Advanced Entry'!V136="","",IFERROR(MAX(0,MIN(10,ROUND(IF('Advanced Entry'!V$8="Decrease Risk",10-10*((IF('Advanced Entry'!V$5="Logarithm",LN(0.001+'Advanced Entry'!V136),IF('Advanced Entry'!V$5="Exponential",EXP('Advanced Entry'!V136),'Advanced Entry'!V136)))-'Advanced Entry'!V$6)/('Advanced Entry'!V$7-'Advanced Entry'!V$6),10*((IF('Advanced Entry'!V$5="Logarithm",LN(0.001+'Advanced Entry'!V136),IF('Advanced Entry'!V$5="Exponential",EXP('Advanced Entry'!V136),'Advanced Entry'!V136)))-'Advanced Entry'!V$6)/('Advanced Entry'!V$7-'Advanced Entry'!V$6)),1))),"No data"))</f>
        <v/>
      </c>
      <c r="W136" s="17">
        <f>IF('Advanced Entry'!W136="","",IFERROR(MAX(0,MIN(10,ROUND(IF('Advanced Entry'!W$8="Decrease Risk",10-10*((IF('Advanced Entry'!W$5="Logarithm",LN(0.001+'Advanced Entry'!W136),IF('Advanced Entry'!W$5="Exponential",EXP('Advanced Entry'!W136),'Advanced Entry'!W136)))-'Advanced Entry'!W$6)/('Advanced Entry'!W$7-'Advanced Entry'!W$6),10*((IF('Advanced Entry'!W$5="Logarithm",LN(0.001+'Advanced Entry'!W136),IF('Advanced Entry'!W$5="Exponential",EXP('Advanced Entry'!W136),'Advanced Entry'!W136)))-'Advanced Entry'!W$6)/('Advanced Entry'!W$7-'Advanced Entry'!W$6)),1))),"No data"))</f>
        <v/>
      </c>
      <c r="X136" s="17">
        <f>IF('Advanced Entry'!X136="","",IFERROR(MAX(0,MIN(10,ROUND(IF('Advanced Entry'!X$8="Decrease Risk",10-10*((IF('Advanced Entry'!X$5="Logarithm",LN(0.001+'Advanced Entry'!X136),IF('Advanced Entry'!X$5="Exponential",EXP('Advanced Entry'!X136),'Advanced Entry'!X136)))-'Advanced Entry'!X$6)/('Advanced Entry'!X$7-'Advanced Entry'!X$6),10*((IF('Advanced Entry'!X$5="Logarithm",LN(0.001+'Advanced Entry'!X136),IF('Advanced Entry'!X$5="Exponential",EXP('Advanced Entry'!X136),'Advanced Entry'!X136)))-'Advanced Entry'!X$6)/('Advanced Entry'!X$7-'Advanced Entry'!X$6)),1))),"No data"))</f>
        <v/>
      </c>
      <c r="Y136" s="17">
        <f>IF('Advanced Entry'!Y136="","",IFERROR(MAX(0,MIN(10,ROUND(IF('Advanced Entry'!Y$8="Decrease Risk",10-10*((IF('Advanced Entry'!Y$5="Logarithm",LN(0.001+'Advanced Entry'!Y136),IF('Advanced Entry'!Y$5="Exponential",EXP('Advanced Entry'!Y136),'Advanced Entry'!Y136)))-'Advanced Entry'!Y$6)/('Advanced Entry'!Y$7-'Advanced Entry'!Y$6),10*((IF('Advanced Entry'!Y$5="Logarithm",LN(0.001+'Advanced Entry'!Y136),IF('Advanced Entry'!Y$5="Exponential",EXP('Advanced Entry'!Y136),'Advanced Entry'!Y136)))-'Advanced Entry'!Y$6)/('Advanced Entry'!Y$7-'Advanced Entry'!Y$6)),1))),"No data"))</f>
        <v/>
      </c>
      <c r="Z136" s="17">
        <f>IF('Advanced Entry'!Z136="","",IFERROR(MAX(0,MIN(10,ROUND(IF('Advanced Entry'!Z$8="Decrease Risk",10-10*((IF('Advanced Entry'!Z$5="Logarithm",LN(0.001+'Advanced Entry'!Z136),IF('Advanced Entry'!Z$5="Exponential",EXP('Advanced Entry'!Z136),'Advanced Entry'!Z136)))-'Advanced Entry'!Z$6)/('Advanced Entry'!Z$7-'Advanced Entry'!Z$6),10*((IF('Advanced Entry'!Z$5="Logarithm",LN(0.001+'Advanced Entry'!Z136),IF('Advanced Entry'!Z$5="Exponential",EXP('Advanced Entry'!Z136),'Advanced Entry'!Z136)))-'Advanced Entry'!Z$6)/('Advanced Entry'!Z$7-'Advanced Entry'!Z$6)),1))),"No data"))</f>
        <v/>
      </c>
      <c r="AA136" s="17">
        <f>IF('Advanced Entry'!AA136="","",IFERROR(MAX(0,MIN(10,ROUND(IF('Advanced Entry'!AA$8="Decrease Risk",10-10*((IF('Advanced Entry'!AA$5="Logarithm",LN(0.001+'Advanced Entry'!AA136),IF('Advanced Entry'!AA$5="Exponential",EXP('Advanced Entry'!AA136),'Advanced Entry'!AA136)))-'Advanced Entry'!AA$6)/('Advanced Entry'!AA$7-'Advanced Entry'!AA$6),10*((IF('Advanced Entry'!AA$5="Logarithm",LN(0.001+'Advanced Entry'!AA136),IF('Advanced Entry'!AA$5="Exponential",EXP('Advanced Entry'!AA136),'Advanced Entry'!AA136)))-'Advanced Entry'!AA$6)/('Advanced Entry'!AA$7-'Advanced Entry'!AA$6)),1))),"No data"))</f>
        <v/>
      </c>
      <c r="AB136" s="17">
        <f>IF('Advanced Entry'!AB136="","",IFERROR(MAX(0,MIN(10,ROUND(IF('Advanced Entry'!AB$8="Decrease Risk",10-10*((IF('Advanced Entry'!AB$5="Logarithm",LN(0.001+'Advanced Entry'!AB136),IF('Advanced Entry'!AB$5="Exponential",EXP('Advanced Entry'!AB136),'Advanced Entry'!AB136)))-'Advanced Entry'!AB$6)/('Advanced Entry'!AB$7-'Advanced Entry'!AB$6),10*((IF('Advanced Entry'!AB$5="Logarithm",LN(0.001+'Advanced Entry'!AB136),IF('Advanced Entry'!AB$5="Exponential",EXP('Advanced Entry'!AB136),'Advanced Entry'!AB136)))-'Advanced Entry'!AB$6)/('Advanced Entry'!AB$7-'Advanced Entry'!AB$6)),1))),"No data"))</f>
        <v/>
      </c>
    </row>
    <row r="137">
      <c r="A137" t="inlineStr">
        <is>
          <t>Njombe</t>
        </is>
      </c>
      <c r="B137" t="inlineStr">
        <is>
          <t>Makambako Town</t>
        </is>
      </c>
      <c r="C137" t="inlineStr">
        <is>
          <t>C159</t>
        </is>
      </c>
      <c r="D137" s="17">
        <f>IF('Advanced Entry'!D137="","",IFERROR(MAX(0,MIN(10,ROUND(IF('Advanced Entry'!D$8="Decrease Risk",10-10*((IF('Advanced Entry'!D$5="Logarithm",LN(0.001+'Advanced Entry'!D137),IF('Advanced Entry'!D$5="Exponential",EXP('Advanced Entry'!D137),'Advanced Entry'!D137)))-'Advanced Entry'!D$6)/('Advanced Entry'!D$7-'Advanced Entry'!D$6),10*((IF('Advanced Entry'!D$5="Logarithm",LN(0.001+'Advanced Entry'!D137),IF('Advanced Entry'!D$5="Exponential",EXP('Advanced Entry'!D137),'Advanced Entry'!D137)))-'Advanced Entry'!D$6)/('Advanced Entry'!D$7-'Advanced Entry'!D$6)),1))),"No data"))</f>
        <v/>
      </c>
      <c r="E137" s="17">
        <f>IF('Advanced Entry'!E137="","",IFERROR(MAX(0,MIN(10,ROUND(IF('Advanced Entry'!E$8="Decrease Risk",10-10*((IF('Advanced Entry'!E$5="Logarithm",LN(0.001+'Advanced Entry'!E137),IF('Advanced Entry'!E$5="Exponential",EXP('Advanced Entry'!E137),'Advanced Entry'!E137)))-'Advanced Entry'!E$6)/('Advanced Entry'!E$7-'Advanced Entry'!E$6),10*((IF('Advanced Entry'!E$5="Logarithm",LN(0.001+'Advanced Entry'!E137),IF('Advanced Entry'!E$5="Exponential",EXP('Advanced Entry'!E137),'Advanced Entry'!E137)))-'Advanced Entry'!E$6)/('Advanced Entry'!E$7-'Advanced Entry'!E$6)),1))),"No data"))</f>
        <v/>
      </c>
      <c r="F137" s="17">
        <f>IF('Advanced Entry'!F137="","",IFERROR(MAX(0,MIN(10,ROUND(IF('Advanced Entry'!F$8="Decrease Risk",10-10*((IF('Advanced Entry'!F$5="Logarithm",LN(0.001+'Advanced Entry'!F137),IF('Advanced Entry'!F$5="Exponential",EXP('Advanced Entry'!F137),'Advanced Entry'!F137)))-'Advanced Entry'!F$6)/('Advanced Entry'!F$7-'Advanced Entry'!F$6),10*((IF('Advanced Entry'!F$5="Logarithm",LN(0.001+'Advanced Entry'!F137),IF('Advanced Entry'!F$5="Exponential",EXP('Advanced Entry'!F137),'Advanced Entry'!F137)))-'Advanced Entry'!F$6)/('Advanced Entry'!F$7-'Advanced Entry'!F$6)),1))),"No data"))</f>
        <v/>
      </c>
      <c r="G137" s="17">
        <f>IF('Advanced Entry'!G137="","",IFERROR(MAX(0,MIN(10,ROUND(IF('Advanced Entry'!G$8="Decrease Risk",10-10*((IF('Advanced Entry'!G$5="Logarithm",LN(0.001+'Advanced Entry'!G137),IF('Advanced Entry'!G$5="Exponential",EXP('Advanced Entry'!G137),'Advanced Entry'!G137)))-'Advanced Entry'!G$6)/('Advanced Entry'!G$7-'Advanced Entry'!G$6),10*((IF('Advanced Entry'!G$5="Logarithm",LN(0.001+'Advanced Entry'!G137),IF('Advanced Entry'!G$5="Exponential",EXP('Advanced Entry'!G137),'Advanced Entry'!G137)))-'Advanced Entry'!G$6)/('Advanced Entry'!G$7-'Advanced Entry'!G$6)),1))),"No data"))</f>
        <v/>
      </c>
      <c r="H137" s="17">
        <f>IF('Advanced Entry'!H137="","",IFERROR(MAX(0,MIN(10,ROUND(IF('Advanced Entry'!H$8="Decrease Risk",10-10*((IF('Advanced Entry'!H$5="Logarithm",LN(0.001+'Advanced Entry'!H137),IF('Advanced Entry'!H$5="Exponential",EXP('Advanced Entry'!H137),'Advanced Entry'!H137)))-'Advanced Entry'!H$6)/('Advanced Entry'!H$7-'Advanced Entry'!H$6),10*((IF('Advanced Entry'!H$5="Logarithm",LN(0.001+'Advanced Entry'!H137),IF('Advanced Entry'!H$5="Exponential",EXP('Advanced Entry'!H137),'Advanced Entry'!H137)))-'Advanced Entry'!H$6)/('Advanced Entry'!H$7-'Advanced Entry'!H$6)),1))),"No data"))</f>
        <v/>
      </c>
      <c r="I137" s="17">
        <f>IF('Advanced Entry'!I137="","",IFERROR(MAX(0,MIN(10,ROUND(IF('Advanced Entry'!I$8="Decrease Risk",10-10*((IF('Advanced Entry'!I$5="Logarithm",LN(0.001+'Advanced Entry'!I137),IF('Advanced Entry'!I$5="Exponential",EXP('Advanced Entry'!I137),'Advanced Entry'!I137)))-'Advanced Entry'!I$6)/('Advanced Entry'!I$7-'Advanced Entry'!I$6),10*((IF('Advanced Entry'!I$5="Logarithm",LN(0.001+'Advanced Entry'!I137),IF('Advanced Entry'!I$5="Exponential",EXP('Advanced Entry'!I137),'Advanced Entry'!I137)))-'Advanced Entry'!I$6)/('Advanced Entry'!I$7-'Advanced Entry'!I$6)),1))),"No data"))</f>
        <v/>
      </c>
      <c r="J137" s="17">
        <f>IF('Advanced Entry'!J137="","",IFERROR(MAX(0,MIN(10,ROUND(IF('Advanced Entry'!J$8="Decrease Risk",10-10*((IF('Advanced Entry'!J$5="Logarithm",LN(0.001+'Advanced Entry'!J137),IF('Advanced Entry'!J$5="Exponential",EXP('Advanced Entry'!J137),'Advanced Entry'!J137)))-'Advanced Entry'!J$6)/('Advanced Entry'!J$7-'Advanced Entry'!J$6),10*((IF('Advanced Entry'!J$5="Logarithm",LN(0.001+'Advanced Entry'!J137),IF('Advanced Entry'!J$5="Exponential",EXP('Advanced Entry'!J137),'Advanced Entry'!J137)))-'Advanced Entry'!J$6)/('Advanced Entry'!J$7-'Advanced Entry'!J$6)),1))),"No data"))</f>
        <v/>
      </c>
      <c r="K137" s="17">
        <f>IF('Advanced Entry'!K137="","",IFERROR(MAX(0,MIN(10,ROUND(IF('Advanced Entry'!K$8="Decrease Risk",10-10*((IF('Advanced Entry'!K$5="Logarithm",LN(0.001+'Advanced Entry'!K137),IF('Advanced Entry'!K$5="Exponential",EXP('Advanced Entry'!K137),'Advanced Entry'!K137)))-'Advanced Entry'!K$6)/('Advanced Entry'!K$7-'Advanced Entry'!K$6),10*((IF('Advanced Entry'!K$5="Logarithm",LN(0.001+'Advanced Entry'!K137),IF('Advanced Entry'!K$5="Exponential",EXP('Advanced Entry'!K137),'Advanced Entry'!K137)))-'Advanced Entry'!K$6)/('Advanced Entry'!K$7-'Advanced Entry'!K$6)),1))),"No data"))</f>
        <v/>
      </c>
      <c r="L137" s="17">
        <f>IF('Advanced Entry'!L137="","",IFERROR(MAX(0,MIN(10,ROUND(IF('Advanced Entry'!L$8="Decrease Risk",10-10*((IF('Advanced Entry'!L$5="Logarithm",LN(0.001+'Advanced Entry'!L137),IF('Advanced Entry'!L$5="Exponential",EXP('Advanced Entry'!L137),'Advanced Entry'!L137)))-'Advanced Entry'!L$6)/('Advanced Entry'!L$7-'Advanced Entry'!L$6),10*((IF('Advanced Entry'!L$5="Logarithm",LN(0.001+'Advanced Entry'!L137),IF('Advanced Entry'!L$5="Exponential",EXP('Advanced Entry'!L137),'Advanced Entry'!L137)))-'Advanced Entry'!L$6)/('Advanced Entry'!L$7-'Advanced Entry'!L$6)),1))),"No data"))</f>
        <v/>
      </c>
      <c r="M137" s="17">
        <f>IF('Advanced Entry'!M137="","",IFERROR(MAX(0,MIN(10,ROUND(IF('Advanced Entry'!M$8="Decrease Risk",10-10*((IF('Advanced Entry'!M$5="Logarithm",LN(0.001+'Advanced Entry'!M137),IF('Advanced Entry'!M$5="Exponential",EXP('Advanced Entry'!M137),'Advanced Entry'!M137)))-'Advanced Entry'!M$6)/('Advanced Entry'!M$7-'Advanced Entry'!M$6),10*((IF('Advanced Entry'!M$5="Logarithm",LN(0.001+'Advanced Entry'!M137),IF('Advanced Entry'!M$5="Exponential",EXP('Advanced Entry'!M137),'Advanced Entry'!M137)))-'Advanced Entry'!M$6)/('Advanced Entry'!M$7-'Advanced Entry'!M$6)),1))),"No data"))</f>
        <v/>
      </c>
      <c r="N137" s="17">
        <f>IF('Advanced Entry'!N137="","",IFERROR(MAX(0,MIN(10,ROUND(IF('Advanced Entry'!N$8="Decrease Risk",10-10*((IF('Advanced Entry'!N$5="Logarithm",LN(0.001+'Advanced Entry'!N137),IF('Advanced Entry'!N$5="Exponential",EXP('Advanced Entry'!N137),'Advanced Entry'!N137)))-'Advanced Entry'!N$6)/('Advanced Entry'!N$7-'Advanced Entry'!N$6),10*((IF('Advanced Entry'!N$5="Logarithm",LN(0.001+'Advanced Entry'!N137),IF('Advanced Entry'!N$5="Exponential",EXP('Advanced Entry'!N137),'Advanced Entry'!N137)))-'Advanced Entry'!N$6)/('Advanced Entry'!N$7-'Advanced Entry'!N$6)),1))),"No data"))</f>
        <v/>
      </c>
      <c r="O137" s="17">
        <f>IF('Advanced Entry'!O137="","",IFERROR(MAX(0,MIN(10,ROUND(IF('Advanced Entry'!O$8="Decrease Risk",10-10*((IF('Advanced Entry'!O$5="Logarithm",LN(0.001+'Advanced Entry'!O137),IF('Advanced Entry'!O$5="Exponential",EXP('Advanced Entry'!O137),'Advanced Entry'!O137)))-'Advanced Entry'!O$6)/('Advanced Entry'!O$7-'Advanced Entry'!O$6),10*((IF('Advanced Entry'!O$5="Logarithm",LN(0.001+'Advanced Entry'!O137),IF('Advanced Entry'!O$5="Exponential",EXP('Advanced Entry'!O137),'Advanced Entry'!O137)))-'Advanced Entry'!O$6)/('Advanced Entry'!O$7-'Advanced Entry'!O$6)),1))),"No data"))</f>
        <v/>
      </c>
      <c r="P137" s="17">
        <f>IF('Advanced Entry'!P137="","",IFERROR(MAX(0,MIN(10,ROUND(IF('Advanced Entry'!P$8="Decrease Risk",10-10*((IF('Advanced Entry'!P$5="Logarithm",LN(0.001+'Advanced Entry'!P137),IF('Advanced Entry'!P$5="Exponential",EXP('Advanced Entry'!P137),'Advanced Entry'!P137)))-'Advanced Entry'!P$6)/('Advanced Entry'!P$7-'Advanced Entry'!P$6),10*((IF('Advanced Entry'!P$5="Logarithm",LN(0.001+'Advanced Entry'!P137),IF('Advanced Entry'!P$5="Exponential",EXP('Advanced Entry'!P137),'Advanced Entry'!P137)))-'Advanced Entry'!P$6)/('Advanced Entry'!P$7-'Advanced Entry'!P$6)),1))),"No data"))</f>
        <v/>
      </c>
      <c r="Q137" s="17">
        <f>IF('Advanced Entry'!Q137="","",IFERROR(MAX(0,MIN(10,ROUND(IF('Advanced Entry'!Q$8="Decrease Risk",10-10*((IF('Advanced Entry'!Q$5="Logarithm",LN(0.001+'Advanced Entry'!Q137),IF('Advanced Entry'!Q$5="Exponential",EXP('Advanced Entry'!Q137),'Advanced Entry'!Q137)))-'Advanced Entry'!Q$6)/('Advanced Entry'!Q$7-'Advanced Entry'!Q$6),10*((IF('Advanced Entry'!Q$5="Logarithm",LN(0.001+'Advanced Entry'!Q137),IF('Advanced Entry'!Q$5="Exponential",EXP('Advanced Entry'!Q137),'Advanced Entry'!Q137)))-'Advanced Entry'!Q$6)/('Advanced Entry'!Q$7-'Advanced Entry'!Q$6)),1))),"No data"))</f>
        <v/>
      </c>
      <c r="R137" s="17">
        <f>IF('Advanced Entry'!R137="","",IFERROR(MAX(0,MIN(10,ROUND(IF('Advanced Entry'!R$8="Decrease Risk",10-10*((IF('Advanced Entry'!R$5="Logarithm",LN(0.001+'Advanced Entry'!R137),IF('Advanced Entry'!R$5="Exponential",EXP('Advanced Entry'!R137),'Advanced Entry'!R137)))-'Advanced Entry'!R$6)/('Advanced Entry'!R$7-'Advanced Entry'!R$6),10*((IF('Advanced Entry'!R$5="Logarithm",LN(0.001+'Advanced Entry'!R137),IF('Advanced Entry'!R$5="Exponential",EXP('Advanced Entry'!R137),'Advanced Entry'!R137)))-'Advanced Entry'!R$6)/('Advanced Entry'!R$7-'Advanced Entry'!R$6)),1))),"No data"))</f>
        <v/>
      </c>
      <c r="S137" s="17">
        <f>IF('Advanced Entry'!S137="","",IFERROR(MAX(0,MIN(10,ROUND(IF('Advanced Entry'!S$8="Decrease Risk",10-10*((IF('Advanced Entry'!S$5="Logarithm",LN(0.001+'Advanced Entry'!S137),IF('Advanced Entry'!S$5="Exponential",EXP('Advanced Entry'!S137),'Advanced Entry'!S137)))-'Advanced Entry'!S$6)/('Advanced Entry'!S$7-'Advanced Entry'!S$6),10*((IF('Advanced Entry'!S$5="Logarithm",LN(0.001+'Advanced Entry'!S137),IF('Advanced Entry'!S$5="Exponential",EXP('Advanced Entry'!S137),'Advanced Entry'!S137)))-'Advanced Entry'!S$6)/('Advanced Entry'!S$7-'Advanced Entry'!S$6)),1))),"No data"))</f>
        <v/>
      </c>
      <c r="T137" s="17">
        <f>IF('Advanced Entry'!T137="","",IFERROR(MAX(0,MIN(10,ROUND(IF('Advanced Entry'!T$8="Decrease Risk",10-10*((IF('Advanced Entry'!T$5="Logarithm",LN(0.001+'Advanced Entry'!T137),IF('Advanced Entry'!T$5="Exponential",EXP('Advanced Entry'!T137),'Advanced Entry'!T137)))-'Advanced Entry'!T$6)/('Advanced Entry'!T$7-'Advanced Entry'!T$6),10*((IF('Advanced Entry'!T$5="Logarithm",LN(0.001+'Advanced Entry'!T137),IF('Advanced Entry'!T$5="Exponential",EXP('Advanced Entry'!T137),'Advanced Entry'!T137)))-'Advanced Entry'!T$6)/('Advanced Entry'!T$7-'Advanced Entry'!T$6)),1))),"No data"))</f>
        <v/>
      </c>
      <c r="U137" s="17">
        <f>IF('Advanced Entry'!U137="","",IFERROR(MAX(0,MIN(10,ROUND(IF('Advanced Entry'!U$8="Decrease Risk",10-10*((IF('Advanced Entry'!U$5="Logarithm",LN(0.001+'Advanced Entry'!U137),IF('Advanced Entry'!U$5="Exponential",EXP('Advanced Entry'!U137),'Advanced Entry'!U137)))-'Advanced Entry'!U$6)/('Advanced Entry'!U$7-'Advanced Entry'!U$6),10*((IF('Advanced Entry'!U$5="Logarithm",LN(0.001+'Advanced Entry'!U137),IF('Advanced Entry'!U$5="Exponential",EXP('Advanced Entry'!U137),'Advanced Entry'!U137)))-'Advanced Entry'!U$6)/('Advanced Entry'!U$7-'Advanced Entry'!U$6)),1))),"No data"))</f>
        <v/>
      </c>
      <c r="V137" s="17">
        <f>IF('Advanced Entry'!V137="","",IFERROR(MAX(0,MIN(10,ROUND(IF('Advanced Entry'!V$8="Decrease Risk",10-10*((IF('Advanced Entry'!V$5="Logarithm",LN(0.001+'Advanced Entry'!V137),IF('Advanced Entry'!V$5="Exponential",EXP('Advanced Entry'!V137),'Advanced Entry'!V137)))-'Advanced Entry'!V$6)/('Advanced Entry'!V$7-'Advanced Entry'!V$6),10*((IF('Advanced Entry'!V$5="Logarithm",LN(0.001+'Advanced Entry'!V137),IF('Advanced Entry'!V$5="Exponential",EXP('Advanced Entry'!V137),'Advanced Entry'!V137)))-'Advanced Entry'!V$6)/('Advanced Entry'!V$7-'Advanced Entry'!V$6)),1))),"No data"))</f>
        <v/>
      </c>
      <c r="W137" s="17">
        <f>IF('Advanced Entry'!W137="","",IFERROR(MAX(0,MIN(10,ROUND(IF('Advanced Entry'!W$8="Decrease Risk",10-10*((IF('Advanced Entry'!W$5="Logarithm",LN(0.001+'Advanced Entry'!W137),IF('Advanced Entry'!W$5="Exponential",EXP('Advanced Entry'!W137),'Advanced Entry'!W137)))-'Advanced Entry'!W$6)/('Advanced Entry'!W$7-'Advanced Entry'!W$6),10*((IF('Advanced Entry'!W$5="Logarithm",LN(0.001+'Advanced Entry'!W137),IF('Advanced Entry'!W$5="Exponential",EXP('Advanced Entry'!W137),'Advanced Entry'!W137)))-'Advanced Entry'!W$6)/('Advanced Entry'!W$7-'Advanced Entry'!W$6)),1))),"No data"))</f>
        <v/>
      </c>
      <c r="X137" s="17">
        <f>IF('Advanced Entry'!X137="","",IFERROR(MAX(0,MIN(10,ROUND(IF('Advanced Entry'!X$8="Decrease Risk",10-10*((IF('Advanced Entry'!X$5="Logarithm",LN(0.001+'Advanced Entry'!X137),IF('Advanced Entry'!X$5="Exponential",EXP('Advanced Entry'!X137),'Advanced Entry'!X137)))-'Advanced Entry'!X$6)/('Advanced Entry'!X$7-'Advanced Entry'!X$6),10*((IF('Advanced Entry'!X$5="Logarithm",LN(0.001+'Advanced Entry'!X137),IF('Advanced Entry'!X$5="Exponential",EXP('Advanced Entry'!X137),'Advanced Entry'!X137)))-'Advanced Entry'!X$6)/('Advanced Entry'!X$7-'Advanced Entry'!X$6)),1))),"No data"))</f>
        <v/>
      </c>
      <c r="Y137" s="17">
        <f>IF('Advanced Entry'!Y137="","",IFERROR(MAX(0,MIN(10,ROUND(IF('Advanced Entry'!Y$8="Decrease Risk",10-10*((IF('Advanced Entry'!Y$5="Logarithm",LN(0.001+'Advanced Entry'!Y137),IF('Advanced Entry'!Y$5="Exponential",EXP('Advanced Entry'!Y137),'Advanced Entry'!Y137)))-'Advanced Entry'!Y$6)/('Advanced Entry'!Y$7-'Advanced Entry'!Y$6),10*((IF('Advanced Entry'!Y$5="Logarithm",LN(0.001+'Advanced Entry'!Y137),IF('Advanced Entry'!Y$5="Exponential",EXP('Advanced Entry'!Y137),'Advanced Entry'!Y137)))-'Advanced Entry'!Y$6)/('Advanced Entry'!Y$7-'Advanced Entry'!Y$6)),1))),"No data"))</f>
        <v/>
      </c>
      <c r="Z137" s="17">
        <f>IF('Advanced Entry'!Z137="","",IFERROR(MAX(0,MIN(10,ROUND(IF('Advanced Entry'!Z$8="Decrease Risk",10-10*((IF('Advanced Entry'!Z$5="Logarithm",LN(0.001+'Advanced Entry'!Z137),IF('Advanced Entry'!Z$5="Exponential",EXP('Advanced Entry'!Z137),'Advanced Entry'!Z137)))-'Advanced Entry'!Z$6)/('Advanced Entry'!Z$7-'Advanced Entry'!Z$6),10*((IF('Advanced Entry'!Z$5="Logarithm",LN(0.001+'Advanced Entry'!Z137),IF('Advanced Entry'!Z$5="Exponential",EXP('Advanced Entry'!Z137),'Advanced Entry'!Z137)))-'Advanced Entry'!Z$6)/('Advanced Entry'!Z$7-'Advanced Entry'!Z$6)),1))),"No data"))</f>
        <v/>
      </c>
      <c r="AA137" s="17">
        <f>IF('Advanced Entry'!AA137="","",IFERROR(MAX(0,MIN(10,ROUND(IF('Advanced Entry'!AA$8="Decrease Risk",10-10*((IF('Advanced Entry'!AA$5="Logarithm",LN(0.001+'Advanced Entry'!AA137),IF('Advanced Entry'!AA$5="Exponential",EXP('Advanced Entry'!AA137),'Advanced Entry'!AA137)))-'Advanced Entry'!AA$6)/('Advanced Entry'!AA$7-'Advanced Entry'!AA$6),10*((IF('Advanced Entry'!AA$5="Logarithm",LN(0.001+'Advanced Entry'!AA137),IF('Advanced Entry'!AA$5="Exponential",EXP('Advanced Entry'!AA137),'Advanced Entry'!AA137)))-'Advanced Entry'!AA$6)/('Advanced Entry'!AA$7-'Advanced Entry'!AA$6)),1))),"No data"))</f>
        <v/>
      </c>
      <c r="AB137" s="17">
        <f>IF('Advanced Entry'!AB137="","",IFERROR(MAX(0,MIN(10,ROUND(IF('Advanced Entry'!AB$8="Decrease Risk",10-10*((IF('Advanced Entry'!AB$5="Logarithm",LN(0.001+'Advanced Entry'!AB137),IF('Advanced Entry'!AB$5="Exponential",EXP('Advanced Entry'!AB137),'Advanced Entry'!AB137)))-'Advanced Entry'!AB$6)/('Advanced Entry'!AB$7-'Advanced Entry'!AB$6),10*((IF('Advanced Entry'!AB$5="Logarithm",LN(0.001+'Advanced Entry'!AB137),IF('Advanced Entry'!AB$5="Exponential",EXP('Advanced Entry'!AB137),'Advanced Entry'!AB137)))-'Advanced Entry'!AB$6)/('Advanced Entry'!AB$7-'Advanced Entry'!AB$6)),1))),"No data"))</f>
        <v/>
      </c>
    </row>
    <row r="138">
      <c r="A138" t="inlineStr">
        <is>
          <t>Njombe</t>
        </is>
      </c>
      <c r="B138" t="inlineStr">
        <is>
          <t>Makete District</t>
        </is>
      </c>
      <c r="C138" t="inlineStr">
        <is>
          <t>C161</t>
        </is>
      </c>
      <c r="D138" s="17">
        <f>IF('Advanced Entry'!D138="","",IFERROR(MAX(0,MIN(10,ROUND(IF('Advanced Entry'!D$8="Decrease Risk",10-10*((IF('Advanced Entry'!D$5="Logarithm",LN(0.001+'Advanced Entry'!D138),IF('Advanced Entry'!D$5="Exponential",EXP('Advanced Entry'!D138),'Advanced Entry'!D138)))-'Advanced Entry'!D$6)/('Advanced Entry'!D$7-'Advanced Entry'!D$6),10*((IF('Advanced Entry'!D$5="Logarithm",LN(0.001+'Advanced Entry'!D138),IF('Advanced Entry'!D$5="Exponential",EXP('Advanced Entry'!D138),'Advanced Entry'!D138)))-'Advanced Entry'!D$6)/('Advanced Entry'!D$7-'Advanced Entry'!D$6)),1))),"No data"))</f>
        <v/>
      </c>
      <c r="E138" s="17">
        <f>IF('Advanced Entry'!E138="","",IFERROR(MAX(0,MIN(10,ROUND(IF('Advanced Entry'!E$8="Decrease Risk",10-10*((IF('Advanced Entry'!E$5="Logarithm",LN(0.001+'Advanced Entry'!E138),IF('Advanced Entry'!E$5="Exponential",EXP('Advanced Entry'!E138),'Advanced Entry'!E138)))-'Advanced Entry'!E$6)/('Advanced Entry'!E$7-'Advanced Entry'!E$6),10*((IF('Advanced Entry'!E$5="Logarithm",LN(0.001+'Advanced Entry'!E138),IF('Advanced Entry'!E$5="Exponential",EXP('Advanced Entry'!E138),'Advanced Entry'!E138)))-'Advanced Entry'!E$6)/('Advanced Entry'!E$7-'Advanced Entry'!E$6)),1))),"No data"))</f>
        <v/>
      </c>
      <c r="F138" s="17">
        <f>IF('Advanced Entry'!F138="","",IFERROR(MAX(0,MIN(10,ROUND(IF('Advanced Entry'!F$8="Decrease Risk",10-10*((IF('Advanced Entry'!F$5="Logarithm",LN(0.001+'Advanced Entry'!F138),IF('Advanced Entry'!F$5="Exponential",EXP('Advanced Entry'!F138),'Advanced Entry'!F138)))-'Advanced Entry'!F$6)/('Advanced Entry'!F$7-'Advanced Entry'!F$6),10*((IF('Advanced Entry'!F$5="Logarithm",LN(0.001+'Advanced Entry'!F138),IF('Advanced Entry'!F$5="Exponential",EXP('Advanced Entry'!F138),'Advanced Entry'!F138)))-'Advanced Entry'!F$6)/('Advanced Entry'!F$7-'Advanced Entry'!F$6)),1))),"No data"))</f>
        <v/>
      </c>
      <c r="G138" s="17">
        <f>IF('Advanced Entry'!G138="","",IFERROR(MAX(0,MIN(10,ROUND(IF('Advanced Entry'!G$8="Decrease Risk",10-10*((IF('Advanced Entry'!G$5="Logarithm",LN(0.001+'Advanced Entry'!G138),IF('Advanced Entry'!G$5="Exponential",EXP('Advanced Entry'!G138),'Advanced Entry'!G138)))-'Advanced Entry'!G$6)/('Advanced Entry'!G$7-'Advanced Entry'!G$6),10*((IF('Advanced Entry'!G$5="Logarithm",LN(0.001+'Advanced Entry'!G138),IF('Advanced Entry'!G$5="Exponential",EXP('Advanced Entry'!G138),'Advanced Entry'!G138)))-'Advanced Entry'!G$6)/('Advanced Entry'!G$7-'Advanced Entry'!G$6)),1))),"No data"))</f>
        <v/>
      </c>
      <c r="H138" s="17">
        <f>IF('Advanced Entry'!H138="","",IFERROR(MAX(0,MIN(10,ROUND(IF('Advanced Entry'!H$8="Decrease Risk",10-10*((IF('Advanced Entry'!H$5="Logarithm",LN(0.001+'Advanced Entry'!H138),IF('Advanced Entry'!H$5="Exponential",EXP('Advanced Entry'!H138),'Advanced Entry'!H138)))-'Advanced Entry'!H$6)/('Advanced Entry'!H$7-'Advanced Entry'!H$6),10*((IF('Advanced Entry'!H$5="Logarithm",LN(0.001+'Advanced Entry'!H138),IF('Advanced Entry'!H$5="Exponential",EXP('Advanced Entry'!H138),'Advanced Entry'!H138)))-'Advanced Entry'!H$6)/('Advanced Entry'!H$7-'Advanced Entry'!H$6)),1))),"No data"))</f>
        <v/>
      </c>
      <c r="I138" s="17">
        <f>IF('Advanced Entry'!I138="","",IFERROR(MAX(0,MIN(10,ROUND(IF('Advanced Entry'!I$8="Decrease Risk",10-10*((IF('Advanced Entry'!I$5="Logarithm",LN(0.001+'Advanced Entry'!I138),IF('Advanced Entry'!I$5="Exponential",EXP('Advanced Entry'!I138),'Advanced Entry'!I138)))-'Advanced Entry'!I$6)/('Advanced Entry'!I$7-'Advanced Entry'!I$6),10*((IF('Advanced Entry'!I$5="Logarithm",LN(0.001+'Advanced Entry'!I138),IF('Advanced Entry'!I$5="Exponential",EXP('Advanced Entry'!I138),'Advanced Entry'!I138)))-'Advanced Entry'!I$6)/('Advanced Entry'!I$7-'Advanced Entry'!I$6)),1))),"No data"))</f>
        <v/>
      </c>
      <c r="J138" s="17">
        <f>IF('Advanced Entry'!J138="","",IFERROR(MAX(0,MIN(10,ROUND(IF('Advanced Entry'!J$8="Decrease Risk",10-10*((IF('Advanced Entry'!J$5="Logarithm",LN(0.001+'Advanced Entry'!J138),IF('Advanced Entry'!J$5="Exponential",EXP('Advanced Entry'!J138),'Advanced Entry'!J138)))-'Advanced Entry'!J$6)/('Advanced Entry'!J$7-'Advanced Entry'!J$6),10*((IF('Advanced Entry'!J$5="Logarithm",LN(0.001+'Advanced Entry'!J138),IF('Advanced Entry'!J$5="Exponential",EXP('Advanced Entry'!J138),'Advanced Entry'!J138)))-'Advanced Entry'!J$6)/('Advanced Entry'!J$7-'Advanced Entry'!J$6)),1))),"No data"))</f>
        <v/>
      </c>
      <c r="K138" s="17">
        <f>IF('Advanced Entry'!K138="","",IFERROR(MAX(0,MIN(10,ROUND(IF('Advanced Entry'!K$8="Decrease Risk",10-10*((IF('Advanced Entry'!K$5="Logarithm",LN(0.001+'Advanced Entry'!K138),IF('Advanced Entry'!K$5="Exponential",EXP('Advanced Entry'!K138),'Advanced Entry'!K138)))-'Advanced Entry'!K$6)/('Advanced Entry'!K$7-'Advanced Entry'!K$6),10*((IF('Advanced Entry'!K$5="Logarithm",LN(0.001+'Advanced Entry'!K138),IF('Advanced Entry'!K$5="Exponential",EXP('Advanced Entry'!K138),'Advanced Entry'!K138)))-'Advanced Entry'!K$6)/('Advanced Entry'!K$7-'Advanced Entry'!K$6)),1))),"No data"))</f>
        <v/>
      </c>
      <c r="L138" s="17">
        <f>IF('Advanced Entry'!L138="","",IFERROR(MAX(0,MIN(10,ROUND(IF('Advanced Entry'!L$8="Decrease Risk",10-10*((IF('Advanced Entry'!L$5="Logarithm",LN(0.001+'Advanced Entry'!L138),IF('Advanced Entry'!L$5="Exponential",EXP('Advanced Entry'!L138),'Advanced Entry'!L138)))-'Advanced Entry'!L$6)/('Advanced Entry'!L$7-'Advanced Entry'!L$6),10*((IF('Advanced Entry'!L$5="Logarithm",LN(0.001+'Advanced Entry'!L138),IF('Advanced Entry'!L$5="Exponential",EXP('Advanced Entry'!L138),'Advanced Entry'!L138)))-'Advanced Entry'!L$6)/('Advanced Entry'!L$7-'Advanced Entry'!L$6)),1))),"No data"))</f>
        <v/>
      </c>
      <c r="M138" s="17">
        <f>IF('Advanced Entry'!M138="","",IFERROR(MAX(0,MIN(10,ROUND(IF('Advanced Entry'!M$8="Decrease Risk",10-10*((IF('Advanced Entry'!M$5="Logarithm",LN(0.001+'Advanced Entry'!M138),IF('Advanced Entry'!M$5="Exponential",EXP('Advanced Entry'!M138),'Advanced Entry'!M138)))-'Advanced Entry'!M$6)/('Advanced Entry'!M$7-'Advanced Entry'!M$6),10*((IF('Advanced Entry'!M$5="Logarithm",LN(0.001+'Advanced Entry'!M138),IF('Advanced Entry'!M$5="Exponential",EXP('Advanced Entry'!M138),'Advanced Entry'!M138)))-'Advanced Entry'!M$6)/('Advanced Entry'!M$7-'Advanced Entry'!M$6)),1))),"No data"))</f>
        <v/>
      </c>
      <c r="N138" s="17">
        <f>IF('Advanced Entry'!N138="","",IFERROR(MAX(0,MIN(10,ROUND(IF('Advanced Entry'!N$8="Decrease Risk",10-10*((IF('Advanced Entry'!N$5="Logarithm",LN(0.001+'Advanced Entry'!N138),IF('Advanced Entry'!N$5="Exponential",EXP('Advanced Entry'!N138),'Advanced Entry'!N138)))-'Advanced Entry'!N$6)/('Advanced Entry'!N$7-'Advanced Entry'!N$6),10*((IF('Advanced Entry'!N$5="Logarithm",LN(0.001+'Advanced Entry'!N138),IF('Advanced Entry'!N$5="Exponential",EXP('Advanced Entry'!N138),'Advanced Entry'!N138)))-'Advanced Entry'!N$6)/('Advanced Entry'!N$7-'Advanced Entry'!N$6)),1))),"No data"))</f>
        <v/>
      </c>
      <c r="O138" s="17">
        <f>IF('Advanced Entry'!O138="","",IFERROR(MAX(0,MIN(10,ROUND(IF('Advanced Entry'!O$8="Decrease Risk",10-10*((IF('Advanced Entry'!O$5="Logarithm",LN(0.001+'Advanced Entry'!O138),IF('Advanced Entry'!O$5="Exponential",EXP('Advanced Entry'!O138),'Advanced Entry'!O138)))-'Advanced Entry'!O$6)/('Advanced Entry'!O$7-'Advanced Entry'!O$6),10*((IF('Advanced Entry'!O$5="Logarithm",LN(0.001+'Advanced Entry'!O138),IF('Advanced Entry'!O$5="Exponential",EXP('Advanced Entry'!O138),'Advanced Entry'!O138)))-'Advanced Entry'!O$6)/('Advanced Entry'!O$7-'Advanced Entry'!O$6)),1))),"No data"))</f>
        <v/>
      </c>
      <c r="P138" s="17">
        <f>IF('Advanced Entry'!P138="","",IFERROR(MAX(0,MIN(10,ROUND(IF('Advanced Entry'!P$8="Decrease Risk",10-10*((IF('Advanced Entry'!P$5="Logarithm",LN(0.001+'Advanced Entry'!P138),IF('Advanced Entry'!P$5="Exponential",EXP('Advanced Entry'!P138),'Advanced Entry'!P138)))-'Advanced Entry'!P$6)/('Advanced Entry'!P$7-'Advanced Entry'!P$6),10*((IF('Advanced Entry'!P$5="Logarithm",LN(0.001+'Advanced Entry'!P138),IF('Advanced Entry'!P$5="Exponential",EXP('Advanced Entry'!P138),'Advanced Entry'!P138)))-'Advanced Entry'!P$6)/('Advanced Entry'!P$7-'Advanced Entry'!P$6)),1))),"No data"))</f>
        <v/>
      </c>
      <c r="Q138" s="17">
        <f>IF('Advanced Entry'!Q138="","",IFERROR(MAX(0,MIN(10,ROUND(IF('Advanced Entry'!Q$8="Decrease Risk",10-10*((IF('Advanced Entry'!Q$5="Logarithm",LN(0.001+'Advanced Entry'!Q138),IF('Advanced Entry'!Q$5="Exponential",EXP('Advanced Entry'!Q138),'Advanced Entry'!Q138)))-'Advanced Entry'!Q$6)/('Advanced Entry'!Q$7-'Advanced Entry'!Q$6),10*((IF('Advanced Entry'!Q$5="Logarithm",LN(0.001+'Advanced Entry'!Q138),IF('Advanced Entry'!Q$5="Exponential",EXP('Advanced Entry'!Q138),'Advanced Entry'!Q138)))-'Advanced Entry'!Q$6)/('Advanced Entry'!Q$7-'Advanced Entry'!Q$6)),1))),"No data"))</f>
        <v/>
      </c>
      <c r="R138" s="17">
        <f>IF('Advanced Entry'!R138="","",IFERROR(MAX(0,MIN(10,ROUND(IF('Advanced Entry'!R$8="Decrease Risk",10-10*((IF('Advanced Entry'!R$5="Logarithm",LN(0.001+'Advanced Entry'!R138),IF('Advanced Entry'!R$5="Exponential",EXP('Advanced Entry'!R138),'Advanced Entry'!R138)))-'Advanced Entry'!R$6)/('Advanced Entry'!R$7-'Advanced Entry'!R$6),10*((IF('Advanced Entry'!R$5="Logarithm",LN(0.001+'Advanced Entry'!R138),IF('Advanced Entry'!R$5="Exponential",EXP('Advanced Entry'!R138),'Advanced Entry'!R138)))-'Advanced Entry'!R$6)/('Advanced Entry'!R$7-'Advanced Entry'!R$6)),1))),"No data"))</f>
        <v/>
      </c>
      <c r="S138" s="17">
        <f>IF('Advanced Entry'!S138="","",IFERROR(MAX(0,MIN(10,ROUND(IF('Advanced Entry'!S$8="Decrease Risk",10-10*((IF('Advanced Entry'!S$5="Logarithm",LN(0.001+'Advanced Entry'!S138),IF('Advanced Entry'!S$5="Exponential",EXP('Advanced Entry'!S138),'Advanced Entry'!S138)))-'Advanced Entry'!S$6)/('Advanced Entry'!S$7-'Advanced Entry'!S$6),10*((IF('Advanced Entry'!S$5="Logarithm",LN(0.001+'Advanced Entry'!S138),IF('Advanced Entry'!S$5="Exponential",EXP('Advanced Entry'!S138),'Advanced Entry'!S138)))-'Advanced Entry'!S$6)/('Advanced Entry'!S$7-'Advanced Entry'!S$6)),1))),"No data"))</f>
        <v/>
      </c>
      <c r="T138" s="17">
        <f>IF('Advanced Entry'!T138="","",IFERROR(MAX(0,MIN(10,ROUND(IF('Advanced Entry'!T$8="Decrease Risk",10-10*((IF('Advanced Entry'!T$5="Logarithm",LN(0.001+'Advanced Entry'!T138),IF('Advanced Entry'!T$5="Exponential",EXP('Advanced Entry'!T138),'Advanced Entry'!T138)))-'Advanced Entry'!T$6)/('Advanced Entry'!T$7-'Advanced Entry'!T$6),10*((IF('Advanced Entry'!T$5="Logarithm",LN(0.001+'Advanced Entry'!T138),IF('Advanced Entry'!T$5="Exponential",EXP('Advanced Entry'!T138),'Advanced Entry'!T138)))-'Advanced Entry'!T$6)/('Advanced Entry'!T$7-'Advanced Entry'!T$6)),1))),"No data"))</f>
        <v/>
      </c>
      <c r="U138" s="17">
        <f>IF('Advanced Entry'!U138="","",IFERROR(MAX(0,MIN(10,ROUND(IF('Advanced Entry'!U$8="Decrease Risk",10-10*((IF('Advanced Entry'!U$5="Logarithm",LN(0.001+'Advanced Entry'!U138),IF('Advanced Entry'!U$5="Exponential",EXP('Advanced Entry'!U138),'Advanced Entry'!U138)))-'Advanced Entry'!U$6)/('Advanced Entry'!U$7-'Advanced Entry'!U$6),10*((IF('Advanced Entry'!U$5="Logarithm",LN(0.001+'Advanced Entry'!U138),IF('Advanced Entry'!U$5="Exponential",EXP('Advanced Entry'!U138),'Advanced Entry'!U138)))-'Advanced Entry'!U$6)/('Advanced Entry'!U$7-'Advanced Entry'!U$6)),1))),"No data"))</f>
        <v/>
      </c>
      <c r="V138" s="17">
        <f>IF('Advanced Entry'!V138="","",IFERROR(MAX(0,MIN(10,ROUND(IF('Advanced Entry'!V$8="Decrease Risk",10-10*((IF('Advanced Entry'!V$5="Logarithm",LN(0.001+'Advanced Entry'!V138),IF('Advanced Entry'!V$5="Exponential",EXP('Advanced Entry'!V138),'Advanced Entry'!V138)))-'Advanced Entry'!V$6)/('Advanced Entry'!V$7-'Advanced Entry'!V$6),10*((IF('Advanced Entry'!V$5="Logarithm",LN(0.001+'Advanced Entry'!V138),IF('Advanced Entry'!V$5="Exponential",EXP('Advanced Entry'!V138),'Advanced Entry'!V138)))-'Advanced Entry'!V$6)/('Advanced Entry'!V$7-'Advanced Entry'!V$6)),1))),"No data"))</f>
        <v/>
      </c>
      <c r="W138" s="17">
        <f>IF('Advanced Entry'!W138="","",IFERROR(MAX(0,MIN(10,ROUND(IF('Advanced Entry'!W$8="Decrease Risk",10-10*((IF('Advanced Entry'!W$5="Logarithm",LN(0.001+'Advanced Entry'!W138),IF('Advanced Entry'!W$5="Exponential",EXP('Advanced Entry'!W138),'Advanced Entry'!W138)))-'Advanced Entry'!W$6)/('Advanced Entry'!W$7-'Advanced Entry'!W$6),10*((IF('Advanced Entry'!W$5="Logarithm",LN(0.001+'Advanced Entry'!W138),IF('Advanced Entry'!W$5="Exponential",EXP('Advanced Entry'!W138),'Advanced Entry'!W138)))-'Advanced Entry'!W$6)/('Advanced Entry'!W$7-'Advanced Entry'!W$6)),1))),"No data"))</f>
        <v/>
      </c>
      <c r="X138" s="17">
        <f>IF('Advanced Entry'!X138="","",IFERROR(MAX(0,MIN(10,ROUND(IF('Advanced Entry'!X$8="Decrease Risk",10-10*((IF('Advanced Entry'!X$5="Logarithm",LN(0.001+'Advanced Entry'!X138),IF('Advanced Entry'!X$5="Exponential",EXP('Advanced Entry'!X138),'Advanced Entry'!X138)))-'Advanced Entry'!X$6)/('Advanced Entry'!X$7-'Advanced Entry'!X$6),10*((IF('Advanced Entry'!X$5="Logarithm",LN(0.001+'Advanced Entry'!X138),IF('Advanced Entry'!X$5="Exponential",EXP('Advanced Entry'!X138),'Advanced Entry'!X138)))-'Advanced Entry'!X$6)/('Advanced Entry'!X$7-'Advanced Entry'!X$6)),1))),"No data"))</f>
        <v/>
      </c>
      <c r="Y138" s="17">
        <f>IF('Advanced Entry'!Y138="","",IFERROR(MAX(0,MIN(10,ROUND(IF('Advanced Entry'!Y$8="Decrease Risk",10-10*((IF('Advanced Entry'!Y$5="Logarithm",LN(0.001+'Advanced Entry'!Y138),IF('Advanced Entry'!Y$5="Exponential",EXP('Advanced Entry'!Y138),'Advanced Entry'!Y138)))-'Advanced Entry'!Y$6)/('Advanced Entry'!Y$7-'Advanced Entry'!Y$6),10*((IF('Advanced Entry'!Y$5="Logarithm",LN(0.001+'Advanced Entry'!Y138),IF('Advanced Entry'!Y$5="Exponential",EXP('Advanced Entry'!Y138),'Advanced Entry'!Y138)))-'Advanced Entry'!Y$6)/('Advanced Entry'!Y$7-'Advanced Entry'!Y$6)),1))),"No data"))</f>
        <v/>
      </c>
      <c r="Z138" s="17">
        <f>IF('Advanced Entry'!Z138="","",IFERROR(MAX(0,MIN(10,ROUND(IF('Advanced Entry'!Z$8="Decrease Risk",10-10*((IF('Advanced Entry'!Z$5="Logarithm",LN(0.001+'Advanced Entry'!Z138),IF('Advanced Entry'!Z$5="Exponential",EXP('Advanced Entry'!Z138),'Advanced Entry'!Z138)))-'Advanced Entry'!Z$6)/('Advanced Entry'!Z$7-'Advanced Entry'!Z$6),10*((IF('Advanced Entry'!Z$5="Logarithm",LN(0.001+'Advanced Entry'!Z138),IF('Advanced Entry'!Z$5="Exponential",EXP('Advanced Entry'!Z138),'Advanced Entry'!Z138)))-'Advanced Entry'!Z$6)/('Advanced Entry'!Z$7-'Advanced Entry'!Z$6)),1))),"No data"))</f>
        <v/>
      </c>
      <c r="AA138" s="17">
        <f>IF('Advanced Entry'!AA138="","",IFERROR(MAX(0,MIN(10,ROUND(IF('Advanced Entry'!AA$8="Decrease Risk",10-10*((IF('Advanced Entry'!AA$5="Logarithm",LN(0.001+'Advanced Entry'!AA138),IF('Advanced Entry'!AA$5="Exponential",EXP('Advanced Entry'!AA138),'Advanced Entry'!AA138)))-'Advanced Entry'!AA$6)/('Advanced Entry'!AA$7-'Advanced Entry'!AA$6),10*((IF('Advanced Entry'!AA$5="Logarithm",LN(0.001+'Advanced Entry'!AA138),IF('Advanced Entry'!AA$5="Exponential",EXP('Advanced Entry'!AA138),'Advanced Entry'!AA138)))-'Advanced Entry'!AA$6)/('Advanced Entry'!AA$7-'Advanced Entry'!AA$6)),1))),"No data"))</f>
        <v/>
      </c>
      <c r="AB138" s="17">
        <f>IF('Advanced Entry'!AB138="","",IFERROR(MAX(0,MIN(10,ROUND(IF('Advanced Entry'!AB$8="Decrease Risk",10-10*((IF('Advanced Entry'!AB$5="Logarithm",LN(0.001+'Advanced Entry'!AB138),IF('Advanced Entry'!AB$5="Exponential",EXP('Advanced Entry'!AB138),'Advanced Entry'!AB138)))-'Advanced Entry'!AB$6)/('Advanced Entry'!AB$7-'Advanced Entry'!AB$6),10*((IF('Advanced Entry'!AB$5="Logarithm",LN(0.001+'Advanced Entry'!AB138),IF('Advanced Entry'!AB$5="Exponential",EXP('Advanced Entry'!AB138),'Advanced Entry'!AB138)))-'Advanced Entry'!AB$6)/('Advanced Entry'!AB$7-'Advanced Entry'!AB$6)),1))),"No data"))</f>
        <v/>
      </c>
    </row>
    <row r="139">
      <c r="A139" t="inlineStr">
        <is>
          <t>Njombe</t>
        </is>
      </c>
      <c r="B139" t="inlineStr">
        <is>
          <t>Njombe District</t>
        </is>
      </c>
      <c r="C139" t="inlineStr">
        <is>
          <t>C157</t>
        </is>
      </c>
      <c r="D139" s="17">
        <f>IF('Advanced Entry'!D139="","",IFERROR(MAX(0,MIN(10,ROUND(IF('Advanced Entry'!D$8="Decrease Risk",10-10*((IF('Advanced Entry'!D$5="Logarithm",LN(0.001+'Advanced Entry'!D139),IF('Advanced Entry'!D$5="Exponential",EXP('Advanced Entry'!D139),'Advanced Entry'!D139)))-'Advanced Entry'!D$6)/('Advanced Entry'!D$7-'Advanced Entry'!D$6),10*((IF('Advanced Entry'!D$5="Logarithm",LN(0.001+'Advanced Entry'!D139),IF('Advanced Entry'!D$5="Exponential",EXP('Advanced Entry'!D139),'Advanced Entry'!D139)))-'Advanced Entry'!D$6)/('Advanced Entry'!D$7-'Advanced Entry'!D$6)),1))),"No data"))</f>
        <v/>
      </c>
      <c r="E139" s="17">
        <f>IF('Advanced Entry'!E139="","",IFERROR(MAX(0,MIN(10,ROUND(IF('Advanced Entry'!E$8="Decrease Risk",10-10*((IF('Advanced Entry'!E$5="Logarithm",LN(0.001+'Advanced Entry'!E139),IF('Advanced Entry'!E$5="Exponential",EXP('Advanced Entry'!E139),'Advanced Entry'!E139)))-'Advanced Entry'!E$6)/('Advanced Entry'!E$7-'Advanced Entry'!E$6),10*((IF('Advanced Entry'!E$5="Logarithm",LN(0.001+'Advanced Entry'!E139),IF('Advanced Entry'!E$5="Exponential",EXP('Advanced Entry'!E139),'Advanced Entry'!E139)))-'Advanced Entry'!E$6)/('Advanced Entry'!E$7-'Advanced Entry'!E$6)),1))),"No data"))</f>
        <v/>
      </c>
      <c r="F139" s="17">
        <f>IF('Advanced Entry'!F139="","",IFERROR(MAX(0,MIN(10,ROUND(IF('Advanced Entry'!F$8="Decrease Risk",10-10*((IF('Advanced Entry'!F$5="Logarithm",LN(0.001+'Advanced Entry'!F139),IF('Advanced Entry'!F$5="Exponential",EXP('Advanced Entry'!F139),'Advanced Entry'!F139)))-'Advanced Entry'!F$6)/('Advanced Entry'!F$7-'Advanced Entry'!F$6),10*((IF('Advanced Entry'!F$5="Logarithm",LN(0.001+'Advanced Entry'!F139),IF('Advanced Entry'!F$5="Exponential",EXP('Advanced Entry'!F139),'Advanced Entry'!F139)))-'Advanced Entry'!F$6)/('Advanced Entry'!F$7-'Advanced Entry'!F$6)),1))),"No data"))</f>
        <v/>
      </c>
      <c r="G139" s="17">
        <f>IF('Advanced Entry'!G139="","",IFERROR(MAX(0,MIN(10,ROUND(IF('Advanced Entry'!G$8="Decrease Risk",10-10*((IF('Advanced Entry'!G$5="Logarithm",LN(0.001+'Advanced Entry'!G139),IF('Advanced Entry'!G$5="Exponential",EXP('Advanced Entry'!G139),'Advanced Entry'!G139)))-'Advanced Entry'!G$6)/('Advanced Entry'!G$7-'Advanced Entry'!G$6),10*((IF('Advanced Entry'!G$5="Logarithm",LN(0.001+'Advanced Entry'!G139),IF('Advanced Entry'!G$5="Exponential",EXP('Advanced Entry'!G139),'Advanced Entry'!G139)))-'Advanced Entry'!G$6)/('Advanced Entry'!G$7-'Advanced Entry'!G$6)),1))),"No data"))</f>
        <v/>
      </c>
      <c r="H139" s="17">
        <f>IF('Advanced Entry'!H139="","",IFERROR(MAX(0,MIN(10,ROUND(IF('Advanced Entry'!H$8="Decrease Risk",10-10*((IF('Advanced Entry'!H$5="Logarithm",LN(0.001+'Advanced Entry'!H139),IF('Advanced Entry'!H$5="Exponential",EXP('Advanced Entry'!H139),'Advanced Entry'!H139)))-'Advanced Entry'!H$6)/('Advanced Entry'!H$7-'Advanced Entry'!H$6),10*((IF('Advanced Entry'!H$5="Logarithm",LN(0.001+'Advanced Entry'!H139),IF('Advanced Entry'!H$5="Exponential",EXP('Advanced Entry'!H139),'Advanced Entry'!H139)))-'Advanced Entry'!H$6)/('Advanced Entry'!H$7-'Advanced Entry'!H$6)),1))),"No data"))</f>
        <v/>
      </c>
      <c r="I139" s="17">
        <f>IF('Advanced Entry'!I139="","",IFERROR(MAX(0,MIN(10,ROUND(IF('Advanced Entry'!I$8="Decrease Risk",10-10*((IF('Advanced Entry'!I$5="Logarithm",LN(0.001+'Advanced Entry'!I139),IF('Advanced Entry'!I$5="Exponential",EXP('Advanced Entry'!I139),'Advanced Entry'!I139)))-'Advanced Entry'!I$6)/('Advanced Entry'!I$7-'Advanced Entry'!I$6),10*((IF('Advanced Entry'!I$5="Logarithm",LN(0.001+'Advanced Entry'!I139),IF('Advanced Entry'!I$5="Exponential",EXP('Advanced Entry'!I139),'Advanced Entry'!I139)))-'Advanced Entry'!I$6)/('Advanced Entry'!I$7-'Advanced Entry'!I$6)),1))),"No data"))</f>
        <v/>
      </c>
      <c r="J139" s="17">
        <f>IF('Advanced Entry'!J139="","",IFERROR(MAX(0,MIN(10,ROUND(IF('Advanced Entry'!J$8="Decrease Risk",10-10*((IF('Advanced Entry'!J$5="Logarithm",LN(0.001+'Advanced Entry'!J139),IF('Advanced Entry'!J$5="Exponential",EXP('Advanced Entry'!J139),'Advanced Entry'!J139)))-'Advanced Entry'!J$6)/('Advanced Entry'!J$7-'Advanced Entry'!J$6),10*((IF('Advanced Entry'!J$5="Logarithm",LN(0.001+'Advanced Entry'!J139),IF('Advanced Entry'!J$5="Exponential",EXP('Advanced Entry'!J139),'Advanced Entry'!J139)))-'Advanced Entry'!J$6)/('Advanced Entry'!J$7-'Advanced Entry'!J$6)),1))),"No data"))</f>
        <v/>
      </c>
      <c r="K139" s="17">
        <f>IF('Advanced Entry'!K139="","",IFERROR(MAX(0,MIN(10,ROUND(IF('Advanced Entry'!K$8="Decrease Risk",10-10*((IF('Advanced Entry'!K$5="Logarithm",LN(0.001+'Advanced Entry'!K139),IF('Advanced Entry'!K$5="Exponential",EXP('Advanced Entry'!K139),'Advanced Entry'!K139)))-'Advanced Entry'!K$6)/('Advanced Entry'!K$7-'Advanced Entry'!K$6),10*((IF('Advanced Entry'!K$5="Logarithm",LN(0.001+'Advanced Entry'!K139),IF('Advanced Entry'!K$5="Exponential",EXP('Advanced Entry'!K139),'Advanced Entry'!K139)))-'Advanced Entry'!K$6)/('Advanced Entry'!K$7-'Advanced Entry'!K$6)),1))),"No data"))</f>
        <v/>
      </c>
      <c r="L139" s="17">
        <f>IF('Advanced Entry'!L139="","",IFERROR(MAX(0,MIN(10,ROUND(IF('Advanced Entry'!L$8="Decrease Risk",10-10*((IF('Advanced Entry'!L$5="Logarithm",LN(0.001+'Advanced Entry'!L139),IF('Advanced Entry'!L$5="Exponential",EXP('Advanced Entry'!L139),'Advanced Entry'!L139)))-'Advanced Entry'!L$6)/('Advanced Entry'!L$7-'Advanced Entry'!L$6),10*((IF('Advanced Entry'!L$5="Logarithm",LN(0.001+'Advanced Entry'!L139),IF('Advanced Entry'!L$5="Exponential",EXP('Advanced Entry'!L139),'Advanced Entry'!L139)))-'Advanced Entry'!L$6)/('Advanced Entry'!L$7-'Advanced Entry'!L$6)),1))),"No data"))</f>
        <v/>
      </c>
      <c r="M139" s="17">
        <f>IF('Advanced Entry'!M139="","",IFERROR(MAX(0,MIN(10,ROUND(IF('Advanced Entry'!M$8="Decrease Risk",10-10*((IF('Advanced Entry'!M$5="Logarithm",LN(0.001+'Advanced Entry'!M139),IF('Advanced Entry'!M$5="Exponential",EXP('Advanced Entry'!M139),'Advanced Entry'!M139)))-'Advanced Entry'!M$6)/('Advanced Entry'!M$7-'Advanced Entry'!M$6),10*((IF('Advanced Entry'!M$5="Logarithm",LN(0.001+'Advanced Entry'!M139),IF('Advanced Entry'!M$5="Exponential",EXP('Advanced Entry'!M139),'Advanced Entry'!M139)))-'Advanced Entry'!M$6)/('Advanced Entry'!M$7-'Advanced Entry'!M$6)),1))),"No data"))</f>
        <v/>
      </c>
      <c r="N139" s="17">
        <f>IF('Advanced Entry'!N139="","",IFERROR(MAX(0,MIN(10,ROUND(IF('Advanced Entry'!N$8="Decrease Risk",10-10*((IF('Advanced Entry'!N$5="Logarithm",LN(0.001+'Advanced Entry'!N139),IF('Advanced Entry'!N$5="Exponential",EXP('Advanced Entry'!N139),'Advanced Entry'!N139)))-'Advanced Entry'!N$6)/('Advanced Entry'!N$7-'Advanced Entry'!N$6),10*((IF('Advanced Entry'!N$5="Logarithm",LN(0.001+'Advanced Entry'!N139),IF('Advanced Entry'!N$5="Exponential",EXP('Advanced Entry'!N139),'Advanced Entry'!N139)))-'Advanced Entry'!N$6)/('Advanced Entry'!N$7-'Advanced Entry'!N$6)),1))),"No data"))</f>
        <v/>
      </c>
      <c r="O139" s="17">
        <f>IF('Advanced Entry'!O139="","",IFERROR(MAX(0,MIN(10,ROUND(IF('Advanced Entry'!O$8="Decrease Risk",10-10*((IF('Advanced Entry'!O$5="Logarithm",LN(0.001+'Advanced Entry'!O139),IF('Advanced Entry'!O$5="Exponential",EXP('Advanced Entry'!O139),'Advanced Entry'!O139)))-'Advanced Entry'!O$6)/('Advanced Entry'!O$7-'Advanced Entry'!O$6),10*((IF('Advanced Entry'!O$5="Logarithm",LN(0.001+'Advanced Entry'!O139),IF('Advanced Entry'!O$5="Exponential",EXP('Advanced Entry'!O139),'Advanced Entry'!O139)))-'Advanced Entry'!O$6)/('Advanced Entry'!O$7-'Advanced Entry'!O$6)),1))),"No data"))</f>
        <v/>
      </c>
      <c r="P139" s="17">
        <f>IF('Advanced Entry'!P139="","",IFERROR(MAX(0,MIN(10,ROUND(IF('Advanced Entry'!P$8="Decrease Risk",10-10*((IF('Advanced Entry'!P$5="Logarithm",LN(0.001+'Advanced Entry'!P139),IF('Advanced Entry'!P$5="Exponential",EXP('Advanced Entry'!P139),'Advanced Entry'!P139)))-'Advanced Entry'!P$6)/('Advanced Entry'!P$7-'Advanced Entry'!P$6),10*((IF('Advanced Entry'!P$5="Logarithm",LN(0.001+'Advanced Entry'!P139),IF('Advanced Entry'!P$5="Exponential",EXP('Advanced Entry'!P139),'Advanced Entry'!P139)))-'Advanced Entry'!P$6)/('Advanced Entry'!P$7-'Advanced Entry'!P$6)),1))),"No data"))</f>
        <v/>
      </c>
      <c r="Q139" s="17">
        <f>IF('Advanced Entry'!Q139="","",IFERROR(MAX(0,MIN(10,ROUND(IF('Advanced Entry'!Q$8="Decrease Risk",10-10*((IF('Advanced Entry'!Q$5="Logarithm",LN(0.001+'Advanced Entry'!Q139),IF('Advanced Entry'!Q$5="Exponential",EXP('Advanced Entry'!Q139),'Advanced Entry'!Q139)))-'Advanced Entry'!Q$6)/('Advanced Entry'!Q$7-'Advanced Entry'!Q$6),10*((IF('Advanced Entry'!Q$5="Logarithm",LN(0.001+'Advanced Entry'!Q139),IF('Advanced Entry'!Q$5="Exponential",EXP('Advanced Entry'!Q139),'Advanced Entry'!Q139)))-'Advanced Entry'!Q$6)/('Advanced Entry'!Q$7-'Advanced Entry'!Q$6)),1))),"No data"))</f>
        <v/>
      </c>
      <c r="R139" s="17">
        <f>IF('Advanced Entry'!R139="","",IFERROR(MAX(0,MIN(10,ROUND(IF('Advanced Entry'!R$8="Decrease Risk",10-10*((IF('Advanced Entry'!R$5="Logarithm",LN(0.001+'Advanced Entry'!R139),IF('Advanced Entry'!R$5="Exponential",EXP('Advanced Entry'!R139),'Advanced Entry'!R139)))-'Advanced Entry'!R$6)/('Advanced Entry'!R$7-'Advanced Entry'!R$6),10*((IF('Advanced Entry'!R$5="Logarithm",LN(0.001+'Advanced Entry'!R139),IF('Advanced Entry'!R$5="Exponential",EXP('Advanced Entry'!R139),'Advanced Entry'!R139)))-'Advanced Entry'!R$6)/('Advanced Entry'!R$7-'Advanced Entry'!R$6)),1))),"No data"))</f>
        <v/>
      </c>
      <c r="S139" s="17">
        <f>IF('Advanced Entry'!S139="","",IFERROR(MAX(0,MIN(10,ROUND(IF('Advanced Entry'!S$8="Decrease Risk",10-10*((IF('Advanced Entry'!S$5="Logarithm",LN(0.001+'Advanced Entry'!S139),IF('Advanced Entry'!S$5="Exponential",EXP('Advanced Entry'!S139),'Advanced Entry'!S139)))-'Advanced Entry'!S$6)/('Advanced Entry'!S$7-'Advanced Entry'!S$6),10*((IF('Advanced Entry'!S$5="Logarithm",LN(0.001+'Advanced Entry'!S139),IF('Advanced Entry'!S$5="Exponential",EXP('Advanced Entry'!S139),'Advanced Entry'!S139)))-'Advanced Entry'!S$6)/('Advanced Entry'!S$7-'Advanced Entry'!S$6)),1))),"No data"))</f>
        <v/>
      </c>
      <c r="T139" s="17">
        <f>IF('Advanced Entry'!T139="","",IFERROR(MAX(0,MIN(10,ROUND(IF('Advanced Entry'!T$8="Decrease Risk",10-10*((IF('Advanced Entry'!T$5="Logarithm",LN(0.001+'Advanced Entry'!T139),IF('Advanced Entry'!T$5="Exponential",EXP('Advanced Entry'!T139),'Advanced Entry'!T139)))-'Advanced Entry'!T$6)/('Advanced Entry'!T$7-'Advanced Entry'!T$6),10*((IF('Advanced Entry'!T$5="Logarithm",LN(0.001+'Advanced Entry'!T139),IF('Advanced Entry'!T$5="Exponential",EXP('Advanced Entry'!T139),'Advanced Entry'!T139)))-'Advanced Entry'!T$6)/('Advanced Entry'!T$7-'Advanced Entry'!T$6)),1))),"No data"))</f>
        <v/>
      </c>
      <c r="U139" s="17">
        <f>IF('Advanced Entry'!U139="","",IFERROR(MAX(0,MIN(10,ROUND(IF('Advanced Entry'!U$8="Decrease Risk",10-10*((IF('Advanced Entry'!U$5="Logarithm",LN(0.001+'Advanced Entry'!U139),IF('Advanced Entry'!U$5="Exponential",EXP('Advanced Entry'!U139),'Advanced Entry'!U139)))-'Advanced Entry'!U$6)/('Advanced Entry'!U$7-'Advanced Entry'!U$6),10*((IF('Advanced Entry'!U$5="Logarithm",LN(0.001+'Advanced Entry'!U139),IF('Advanced Entry'!U$5="Exponential",EXP('Advanced Entry'!U139),'Advanced Entry'!U139)))-'Advanced Entry'!U$6)/('Advanced Entry'!U$7-'Advanced Entry'!U$6)),1))),"No data"))</f>
        <v/>
      </c>
      <c r="V139" s="17">
        <f>IF('Advanced Entry'!V139="","",IFERROR(MAX(0,MIN(10,ROUND(IF('Advanced Entry'!V$8="Decrease Risk",10-10*((IF('Advanced Entry'!V$5="Logarithm",LN(0.001+'Advanced Entry'!V139),IF('Advanced Entry'!V$5="Exponential",EXP('Advanced Entry'!V139),'Advanced Entry'!V139)))-'Advanced Entry'!V$6)/('Advanced Entry'!V$7-'Advanced Entry'!V$6),10*((IF('Advanced Entry'!V$5="Logarithm",LN(0.001+'Advanced Entry'!V139),IF('Advanced Entry'!V$5="Exponential",EXP('Advanced Entry'!V139),'Advanced Entry'!V139)))-'Advanced Entry'!V$6)/('Advanced Entry'!V$7-'Advanced Entry'!V$6)),1))),"No data"))</f>
        <v/>
      </c>
      <c r="W139" s="17">
        <f>IF('Advanced Entry'!W139="","",IFERROR(MAX(0,MIN(10,ROUND(IF('Advanced Entry'!W$8="Decrease Risk",10-10*((IF('Advanced Entry'!W$5="Logarithm",LN(0.001+'Advanced Entry'!W139),IF('Advanced Entry'!W$5="Exponential",EXP('Advanced Entry'!W139),'Advanced Entry'!W139)))-'Advanced Entry'!W$6)/('Advanced Entry'!W$7-'Advanced Entry'!W$6),10*((IF('Advanced Entry'!W$5="Logarithm",LN(0.001+'Advanced Entry'!W139),IF('Advanced Entry'!W$5="Exponential",EXP('Advanced Entry'!W139),'Advanced Entry'!W139)))-'Advanced Entry'!W$6)/('Advanced Entry'!W$7-'Advanced Entry'!W$6)),1))),"No data"))</f>
        <v/>
      </c>
      <c r="X139" s="17">
        <f>IF('Advanced Entry'!X139="","",IFERROR(MAX(0,MIN(10,ROUND(IF('Advanced Entry'!X$8="Decrease Risk",10-10*((IF('Advanced Entry'!X$5="Logarithm",LN(0.001+'Advanced Entry'!X139),IF('Advanced Entry'!X$5="Exponential",EXP('Advanced Entry'!X139),'Advanced Entry'!X139)))-'Advanced Entry'!X$6)/('Advanced Entry'!X$7-'Advanced Entry'!X$6),10*((IF('Advanced Entry'!X$5="Logarithm",LN(0.001+'Advanced Entry'!X139),IF('Advanced Entry'!X$5="Exponential",EXP('Advanced Entry'!X139),'Advanced Entry'!X139)))-'Advanced Entry'!X$6)/('Advanced Entry'!X$7-'Advanced Entry'!X$6)),1))),"No data"))</f>
        <v/>
      </c>
      <c r="Y139" s="17">
        <f>IF('Advanced Entry'!Y139="","",IFERROR(MAX(0,MIN(10,ROUND(IF('Advanced Entry'!Y$8="Decrease Risk",10-10*((IF('Advanced Entry'!Y$5="Logarithm",LN(0.001+'Advanced Entry'!Y139),IF('Advanced Entry'!Y$5="Exponential",EXP('Advanced Entry'!Y139),'Advanced Entry'!Y139)))-'Advanced Entry'!Y$6)/('Advanced Entry'!Y$7-'Advanced Entry'!Y$6),10*((IF('Advanced Entry'!Y$5="Logarithm",LN(0.001+'Advanced Entry'!Y139),IF('Advanced Entry'!Y$5="Exponential",EXP('Advanced Entry'!Y139),'Advanced Entry'!Y139)))-'Advanced Entry'!Y$6)/('Advanced Entry'!Y$7-'Advanced Entry'!Y$6)),1))),"No data"))</f>
        <v/>
      </c>
      <c r="Z139" s="17">
        <f>IF('Advanced Entry'!Z139="","",IFERROR(MAX(0,MIN(10,ROUND(IF('Advanced Entry'!Z$8="Decrease Risk",10-10*((IF('Advanced Entry'!Z$5="Logarithm",LN(0.001+'Advanced Entry'!Z139),IF('Advanced Entry'!Z$5="Exponential",EXP('Advanced Entry'!Z139),'Advanced Entry'!Z139)))-'Advanced Entry'!Z$6)/('Advanced Entry'!Z$7-'Advanced Entry'!Z$6),10*((IF('Advanced Entry'!Z$5="Logarithm",LN(0.001+'Advanced Entry'!Z139),IF('Advanced Entry'!Z$5="Exponential",EXP('Advanced Entry'!Z139),'Advanced Entry'!Z139)))-'Advanced Entry'!Z$6)/('Advanced Entry'!Z$7-'Advanced Entry'!Z$6)),1))),"No data"))</f>
        <v/>
      </c>
      <c r="AA139" s="17">
        <f>IF('Advanced Entry'!AA139="","",IFERROR(MAX(0,MIN(10,ROUND(IF('Advanced Entry'!AA$8="Decrease Risk",10-10*((IF('Advanced Entry'!AA$5="Logarithm",LN(0.001+'Advanced Entry'!AA139),IF('Advanced Entry'!AA$5="Exponential",EXP('Advanced Entry'!AA139),'Advanced Entry'!AA139)))-'Advanced Entry'!AA$6)/('Advanced Entry'!AA$7-'Advanced Entry'!AA$6),10*((IF('Advanced Entry'!AA$5="Logarithm",LN(0.001+'Advanced Entry'!AA139),IF('Advanced Entry'!AA$5="Exponential",EXP('Advanced Entry'!AA139),'Advanced Entry'!AA139)))-'Advanced Entry'!AA$6)/('Advanced Entry'!AA$7-'Advanced Entry'!AA$6)),1))),"No data"))</f>
        <v/>
      </c>
      <c r="AB139" s="17">
        <f>IF('Advanced Entry'!AB139="","",IFERROR(MAX(0,MIN(10,ROUND(IF('Advanced Entry'!AB$8="Decrease Risk",10-10*((IF('Advanced Entry'!AB$5="Logarithm",LN(0.001+'Advanced Entry'!AB139),IF('Advanced Entry'!AB$5="Exponential",EXP('Advanced Entry'!AB139),'Advanced Entry'!AB139)))-'Advanced Entry'!AB$6)/('Advanced Entry'!AB$7-'Advanced Entry'!AB$6),10*((IF('Advanced Entry'!AB$5="Logarithm",LN(0.001+'Advanced Entry'!AB139),IF('Advanced Entry'!AB$5="Exponential",EXP('Advanced Entry'!AB139),'Advanced Entry'!AB139)))-'Advanced Entry'!AB$6)/('Advanced Entry'!AB$7-'Advanced Entry'!AB$6)),1))),"No data"))</f>
        <v/>
      </c>
    </row>
    <row r="140">
      <c r="A140" t="inlineStr">
        <is>
          <t>Njombe</t>
        </is>
      </c>
      <c r="B140" t="inlineStr">
        <is>
          <t>Njombe Town</t>
        </is>
      </c>
      <c r="C140" t="inlineStr">
        <is>
          <t>C158</t>
        </is>
      </c>
      <c r="D140" s="17">
        <f>IF('Advanced Entry'!D140="","",IFERROR(MAX(0,MIN(10,ROUND(IF('Advanced Entry'!D$8="Decrease Risk",10-10*((IF('Advanced Entry'!D$5="Logarithm",LN(0.001+'Advanced Entry'!D140),IF('Advanced Entry'!D$5="Exponential",EXP('Advanced Entry'!D140),'Advanced Entry'!D140)))-'Advanced Entry'!D$6)/('Advanced Entry'!D$7-'Advanced Entry'!D$6),10*((IF('Advanced Entry'!D$5="Logarithm",LN(0.001+'Advanced Entry'!D140),IF('Advanced Entry'!D$5="Exponential",EXP('Advanced Entry'!D140),'Advanced Entry'!D140)))-'Advanced Entry'!D$6)/('Advanced Entry'!D$7-'Advanced Entry'!D$6)),1))),"No data"))</f>
        <v/>
      </c>
      <c r="E140" s="17">
        <f>IF('Advanced Entry'!E140="","",IFERROR(MAX(0,MIN(10,ROUND(IF('Advanced Entry'!E$8="Decrease Risk",10-10*((IF('Advanced Entry'!E$5="Logarithm",LN(0.001+'Advanced Entry'!E140),IF('Advanced Entry'!E$5="Exponential",EXP('Advanced Entry'!E140),'Advanced Entry'!E140)))-'Advanced Entry'!E$6)/('Advanced Entry'!E$7-'Advanced Entry'!E$6),10*((IF('Advanced Entry'!E$5="Logarithm",LN(0.001+'Advanced Entry'!E140),IF('Advanced Entry'!E$5="Exponential",EXP('Advanced Entry'!E140),'Advanced Entry'!E140)))-'Advanced Entry'!E$6)/('Advanced Entry'!E$7-'Advanced Entry'!E$6)),1))),"No data"))</f>
        <v/>
      </c>
      <c r="F140" s="17">
        <f>IF('Advanced Entry'!F140="","",IFERROR(MAX(0,MIN(10,ROUND(IF('Advanced Entry'!F$8="Decrease Risk",10-10*((IF('Advanced Entry'!F$5="Logarithm",LN(0.001+'Advanced Entry'!F140),IF('Advanced Entry'!F$5="Exponential",EXP('Advanced Entry'!F140),'Advanced Entry'!F140)))-'Advanced Entry'!F$6)/('Advanced Entry'!F$7-'Advanced Entry'!F$6),10*((IF('Advanced Entry'!F$5="Logarithm",LN(0.001+'Advanced Entry'!F140),IF('Advanced Entry'!F$5="Exponential",EXP('Advanced Entry'!F140),'Advanced Entry'!F140)))-'Advanced Entry'!F$6)/('Advanced Entry'!F$7-'Advanced Entry'!F$6)),1))),"No data"))</f>
        <v/>
      </c>
      <c r="G140" s="17">
        <f>IF('Advanced Entry'!G140="","",IFERROR(MAX(0,MIN(10,ROUND(IF('Advanced Entry'!G$8="Decrease Risk",10-10*((IF('Advanced Entry'!G$5="Logarithm",LN(0.001+'Advanced Entry'!G140),IF('Advanced Entry'!G$5="Exponential",EXP('Advanced Entry'!G140),'Advanced Entry'!G140)))-'Advanced Entry'!G$6)/('Advanced Entry'!G$7-'Advanced Entry'!G$6),10*((IF('Advanced Entry'!G$5="Logarithm",LN(0.001+'Advanced Entry'!G140),IF('Advanced Entry'!G$5="Exponential",EXP('Advanced Entry'!G140),'Advanced Entry'!G140)))-'Advanced Entry'!G$6)/('Advanced Entry'!G$7-'Advanced Entry'!G$6)),1))),"No data"))</f>
        <v/>
      </c>
      <c r="H140" s="17">
        <f>IF('Advanced Entry'!H140="","",IFERROR(MAX(0,MIN(10,ROUND(IF('Advanced Entry'!H$8="Decrease Risk",10-10*((IF('Advanced Entry'!H$5="Logarithm",LN(0.001+'Advanced Entry'!H140),IF('Advanced Entry'!H$5="Exponential",EXP('Advanced Entry'!H140),'Advanced Entry'!H140)))-'Advanced Entry'!H$6)/('Advanced Entry'!H$7-'Advanced Entry'!H$6),10*((IF('Advanced Entry'!H$5="Logarithm",LN(0.001+'Advanced Entry'!H140),IF('Advanced Entry'!H$5="Exponential",EXP('Advanced Entry'!H140),'Advanced Entry'!H140)))-'Advanced Entry'!H$6)/('Advanced Entry'!H$7-'Advanced Entry'!H$6)),1))),"No data"))</f>
        <v/>
      </c>
      <c r="I140" s="17">
        <f>IF('Advanced Entry'!I140="","",IFERROR(MAX(0,MIN(10,ROUND(IF('Advanced Entry'!I$8="Decrease Risk",10-10*((IF('Advanced Entry'!I$5="Logarithm",LN(0.001+'Advanced Entry'!I140),IF('Advanced Entry'!I$5="Exponential",EXP('Advanced Entry'!I140),'Advanced Entry'!I140)))-'Advanced Entry'!I$6)/('Advanced Entry'!I$7-'Advanced Entry'!I$6),10*((IF('Advanced Entry'!I$5="Logarithm",LN(0.001+'Advanced Entry'!I140),IF('Advanced Entry'!I$5="Exponential",EXP('Advanced Entry'!I140),'Advanced Entry'!I140)))-'Advanced Entry'!I$6)/('Advanced Entry'!I$7-'Advanced Entry'!I$6)),1))),"No data"))</f>
        <v/>
      </c>
      <c r="J140" s="17">
        <f>IF('Advanced Entry'!J140="","",IFERROR(MAX(0,MIN(10,ROUND(IF('Advanced Entry'!J$8="Decrease Risk",10-10*((IF('Advanced Entry'!J$5="Logarithm",LN(0.001+'Advanced Entry'!J140),IF('Advanced Entry'!J$5="Exponential",EXP('Advanced Entry'!J140),'Advanced Entry'!J140)))-'Advanced Entry'!J$6)/('Advanced Entry'!J$7-'Advanced Entry'!J$6),10*((IF('Advanced Entry'!J$5="Logarithm",LN(0.001+'Advanced Entry'!J140),IF('Advanced Entry'!J$5="Exponential",EXP('Advanced Entry'!J140),'Advanced Entry'!J140)))-'Advanced Entry'!J$6)/('Advanced Entry'!J$7-'Advanced Entry'!J$6)),1))),"No data"))</f>
        <v/>
      </c>
      <c r="K140" s="17">
        <f>IF('Advanced Entry'!K140="","",IFERROR(MAX(0,MIN(10,ROUND(IF('Advanced Entry'!K$8="Decrease Risk",10-10*((IF('Advanced Entry'!K$5="Logarithm",LN(0.001+'Advanced Entry'!K140),IF('Advanced Entry'!K$5="Exponential",EXP('Advanced Entry'!K140),'Advanced Entry'!K140)))-'Advanced Entry'!K$6)/('Advanced Entry'!K$7-'Advanced Entry'!K$6),10*((IF('Advanced Entry'!K$5="Logarithm",LN(0.001+'Advanced Entry'!K140),IF('Advanced Entry'!K$5="Exponential",EXP('Advanced Entry'!K140),'Advanced Entry'!K140)))-'Advanced Entry'!K$6)/('Advanced Entry'!K$7-'Advanced Entry'!K$6)),1))),"No data"))</f>
        <v/>
      </c>
      <c r="L140" s="17">
        <f>IF('Advanced Entry'!L140="","",IFERROR(MAX(0,MIN(10,ROUND(IF('Advanced Entry'!L$8="Decrease Risk",10-10*((IF('Advanced Entry'!L$5="Logarithm",LN(0.001+'Advanced Entry'!L140),IF('Advanced Entry'!L$5="Exponential",EXP('Advanced Entry'!L140),'Advanced Entry'!L140)))-'Advanced Entry'!L$6)/('Advanced Entry'!L$7-'Advanced Entry'!L$6),10*((IF('Advanced Entry'!L$5="Logarithm",LN(0.001+'Advanced Entry'!L140),IF('Advanced Entry'!L$5="Exponential",EXP('Advanced Entry'!L140),'Advanced Entry'!L140)))-'Advanced Entry'!L$6)/('Advanced Entry'!L$7-'Advanced Entry'!L$6)),1))),"No data"))</f>
        <v/>
      </c>
      <c r="M140" s="17">
        <f>IF('Advanced Entry'!M140="","",IFERROR(MAX(0,MIN(10,ROUND(IF('Advanced Entry'!M$8="Decrease Risk",10-10*((IF('Advanced Entry'!M$5="Logarithm",LN(0.001+'Advanced Entry'!M140),IF('Advanced Entry'!M$5="Exponential",EXP('Advanced Entry'!M140),'Advanced Entry'!M140)))-'Advanced Entry'!M$6)/('Advanced Entry'!M$7-'Advanced Entry'!M$6),10*((IF('Advanced Entry'!M$5="Logarithm",LN(0.001+'Advanced Entry'!M140),IF('Advanced Entry'!M$5="Exponential",EXP('Advanced Entry'!M140),'Advanced Entry'!M140)))-'Advanced Entry'!M$6)/('Advanced Entry'!M$7-'Advanced Entry'!M$6)),1))),"No data"))</f>
        <v/>
      </c>
      <c r="N140" s="17">
        <f>IF('Advanced Entry'!N140="","",IFERROR(MAX(0,MIN(10,ROUND(IF('Advanced Entry'!N$8="Decrease Risk",10-10*((IF('Advanced Entry'!N$5="Logarithm",LN(0.001+'Advanced Entry'!N140),IF('Advanced Entry'!N$5="Exponential",EXP('Advanced Entry'!N140),'Advanced Entry'!N140)))-'Advanced Entry'!N$6)/('Advanced Entry'!N$7-'Advanced Entry'!N$6),10*((IF('Advanced Entry'!N$5="Logarithm",LN(0.001+'Advanced Entry'!N140),IF('Advanced Entry'!N$5="Exponential",EXP('Advanced Entry'!N140),'Advanced Entry'!N140)))-'Advanced Entry'!N$6)/('Advanced Entry'!N$7-'Advanced Entry'!N$6)),1))),"No data"))</f>
        <v/>
      </c>
      <c r="O140" s="17">
        <f>IF('Advanced Entry'!O140="","",IFERROR(MAX(0,MIN(10,ROUND(IF('Advanced Entry'!O$8="Decrease Risk",10-10*((IF('Advanced Entry'!O$5="Logarithm",LN(0.001+'Advanced Entry'!O140),IF('Advanced Entry'!O$5="Exponential",EXP('Advanced Entry'!O140),'Advanced Entry'!O140)))-'Advanced Entry'!O$6)/('Advanced Entry'!O$7-'Advanced Entry'!O$6),10*((IF('Advanced Entry'!O$5="Logarithm",LN(0.001+'Advanced Entry'!O140),IF('Advanced Entry'!O$5="Exponential",EXP('Advanced Entry'!O140),'Advanced Entry'!O140)))-'Advanced Entry'!O$6)/('Advanced Entry'!O$7-'Advanced Entry'!O$6)),1))),"No data"))</f>
        <v/>
      </c>
      <c r="P140" s="17">
        <f>IF('Advanced Entry'!P140="","",IFERROR(MAX(0,MIN(10,ROUND(IF('Advanced Entry'!P$8="Decrease Risk",10-10*((IF('Advanced Entry'!P$5="Logarithm",LN(0.001+'Advanced Entry'!P140),IF('Advanced Entry'!P$5="Exponential",EXP('Advanced Entry'!P140),'Advanced Entry'!P140)))-'Advanced Entry'!P$6)/('Advanced Entry'!P$7-'Advanced Entry'!P$6),10*((IF('Advanced Entry'!P$5="Logarithm",LN(0.001+'Advanced Entry'!P140),IF('Advanced Entry'!P$5="Exponential",EXP('Advanced Entry'!P140),'Advanced Entry'!P140)))-'Advanced Entry'!P$6)/('Advanced Entry'!P$7-'Advanced Entry'!P$6)),1))),"No data"))</f>
        <v/>
      </c>
      <c r="Q140" s="17">
        <f>IF('Advanced Entry'!Q140="","",IFERROR(MAX(0,MIN(10,ROUND(IF('Advanced Entry'!Q$8="Decrease Risk",10-10*((IF('Advanced Entry'!Q$5="Logarithm",LN(0.001+'Advanced Entry'!Q140),IF('Advanced Entry'!Q$5="Exponential",EXP('Advanced Entry'!Q140),'Advanced Entry'!Q140)))-'Advanced Entry'!Q$6)/('Advanced Entry'!Q$7-'Advanced Entry'!Q$6),10*((IF('Advanced Entry'!Q$5="Logarithm",LN(0.001+'Advanced Entry'!Q140),IF('Advanced Entry'!Q$5="Exponential",EXP('Advanced Entry'!Q140),'Advanced Entry'!Q140)))-'Advanced Entry'!Q$6)/('Advanced Entry'!Q$7-'Advanced Entry'!Q$6)),1))),"No data"))</f>
        <v/>
      </c>
      <c r="R140" s="17">
        <f>IF('Advanced Entry'!R140="","",IFERROR(MAX(0,MIN(10,ROUND(IF('Advanced Entry'!R$8="Decrease Risk",10-10*((IF('Advanced Entry'!R$5="Logarithm",LN(0.001+'Advanced Entry'!R140),IF('Advanced Entry'!R$5="Exponential",EXP('Advanced Entry'!R140),'Advanced Entry'!R140)))-'Advanced Entry'!R$6)/('Advanced Entry'!R$7-'Advanced Entry'!R$6),10*((IF('Advanced Entry'!R$5="Logarithm",LN(0.001+'Advanced Entry'!R140),IF('Advanced Entry'!R$5="Exponential",EXP('Advanced Entry'!R140),'Advanced Entry'!R140)))-'Advanced Entry'!R$6)/('Advanced Entry'!R$7-'Advanced Entry'!R$6)),1))),"No data"))</f>
        <v/>
      </c>
      <c r="S140" s="17">
        <f>IF('Advanced Entry'!S140="","",IFERROR(MAX(0,MIN(10,ROUND(IF('Advanced Entry'!S$8="Decrease Risk",10-10*((IF('Advanced Entry'!S$5="Logarithm",LN(0.001+'Advanced Entry'!S140),IF('Advanced Entry'!S$5="Exponential",EXP('Advanced Entry'!S140),'Advanced Entry'!S140)))-'Advanced Entry'!S$6)/('Advanced Entry'!S$7-'Advanced Entry'!S$6),10*((IF('Advanced Entry'!S$5="Logarithm",LN(0.001+'Advanced Entry'!S140),IF('Advanced Entry'!S$5="Exponential",EXP('Advanced Entry'!S140),'Advanced Entry'!S140)))-'Advanced Entry'!S$6)/('Advanced Entry'!S$7-'Advanced Entry'!S$6)),1))),"No data"))</f>
        <v/>
      </c>
      <c r="T140" s="17">
        <f>IF('Advanced Entry'!T140="","",IFERROR(MAX(0,MIN(10,ROUND(IF('Advanced Entry'!T$8="Decrease Risk",10-10*((IF('Advanced Entry'!T$5="Logarithm",LN(0.001+'Advanced Entry'!T140),IF('Advanced Entry'!T$5="Exponential",EXP('Advanced Entry'!T140),'Advanced Entry'!T140)))-'Advanced Entry'!T$6)/('Advanced Entry'!T$7-'Advanced Entry'!T$6),10*((IF('Advanced Entry'!T$5="Logarithm",LN(0.001+'Advanced Entry'!T140),IF('Advanced Entry'!T$5="Exponential",EXP('Advanced Entry'!T140),'Advanced Entry'!T140)))-'Advanced Entry'!T$6)/('Advanced Entry'!T$7-'Advanced Entry'!T$6)),1))),"No data"))</f>
        <v/>
      </c>
      <c r="U140" s="17">
        <f>IF('Advanced Entry'!U140="","",IFERROR(MAX(0,MIN(10,ROUND(IF('Advanced Entry'!U$8="Decrease Risk",10-10*((IF('Advanced Entry'!U$5="Logarithm",LN(0.001+'Advanced Entry'!U140),IF('Advanced Entry'!U$5="Exponential",EXP('Advanced Entry'!U140),'Advanced Entry'!U140)))-'Advanced Entry'!U$6)/('Advanced Entry'!U$7-'Advanced Entry'!U$6),10*((IF('Advanced Entry'!U$5="Logarithm",LN(0.001+'Advanced Entry'!U140),IF('Advanced Entry'!U$5="Exponential",EXP('Advanced Entry'!U140),'Advanced Entry'!U140)))-'Advanced Entry'!U$6)/('Advanced Entry'!U$7-'Advanced Entry'!U$6)),1))),"No data"))</f>
        <v/>
      </c>
      <c r="V140" s="17">
        <f>IF('Advanced Entry'!V140="","",IFERROR(MAX(0,MIN(10,ROUND(IF('Advanced Entry'!V$8="Decrease Risk",10-10*((IF('Advanced Entry'!V$5="Logarithm",LN(0.001+'Advanced Entry'!V140),IF('Advanced Entry'!V$5="Exponential",EXP('Advanced Entry'!V140),'Advanced Entry'!V140)))-'Advanced Entry'!V$6)/('Advanced Entry'!V$7-'Advanced Entry'!V$6),10*((IF('Advanced Entry'!V$5="Logarithm",LN(0.001+'Advanced Entry'!V140),IF('Advanced Entry'!V$5="Exponential",EXP('Advanced Entry'!V140),'Advanced Entry'!V140)))-'Advanced Entry'!V$6)/('Advanced Entry'!V$7-'Advanced Entry'!V$6)),1))),"No data"))</f>
        <v/>
      </c>
      <c r="W140" s="17">
        <f>IF('Advanced Entry'!W140="","",IFERROR(MAX(0,MIN(10,ROUND(IF('Advanced Entry'!W$8="Decrease Risk",10-10*((IF('Advanced Entry'!W$5="Logarithm",LN(0.001+'Advanced Entry'!W140),IF('Advanced Entry'!W$5="Exponential",EXP('Advanced Entry'!W140),'Advanced Entry'!W140)))-'Advanced Entry'!W$6)/('Advanced Entry'!W$7-'Advanced Entry'!W$6),10*((IF('Advanced Entry'!W$5="Logarithm",LN(0.001+'Advanced Entry'!W140),IF('Advanced Entry'!W$5="Exponential",EXP('Advanced Entry'!W140),'Advanced Entry'!W140)))-'Advanced Entry'!W$6)/('Advanced Entry'!W$7-'Advanced Entry'!W$6)),1))),"No data"))</f>
        <v/>
      </c>
      <c r="X140" s="17">
        <f>IF('Advanced Entry'!X140="","",IFERROR(MAX(0,MIN(10,ROUND(IF('Advanced Entry'!X$8="Decrease Risk",10-10*((IF('Advanced Entry'!X$5="Logarithm",LN(0.001+'Advanced Entry'!X140),IF('Advanced Entry'!X$5="Exponential",EXP('Advanced Entry'!X140),'Advanced Entry'!X140)))-'Advanced Entry'!X$6)/('Advanced Entry'!X$7-'Advanced Entry'!X$6),10*((IF('Advanced Entry'!X$5="Logarithm",LN(0.001+'Advanced Entry'!X140),IF('Advanced Entry'!X$5="Exponential",EXP('Advanced Entry'!X140),'Advanced Entry'!X140)))-'Advanced Entry'!X$6)/('Advanced Entry'!X$7-'Advanced Entry'!X$6)),1))),"No data"))</f>
        <v/>
      </c>
      <c r="Y140" s="17">
        <f>IF('Advanced Entry'!Y140="","",IFERROR(MAX(0,MIN(10,ROUND(IF('Advanced Entry'!Y$8="Decrease Risk",10-10*((IF('Advanced Entry'!Y$5="Logarithm",LN(0.001+'Advanced Entry'!Y140),IF('Advanced Entry'!Y$5="Exponential",EXP('Advanced Entry'!Y140),'Advanced Entry'!Y140)))-'Advanced Entry'!Y$6)/('Advanced Entry'!Y$7-'Advanced Entry'!Y$6),10*((IF('Advanced Entry'!Y$5="Logarithm",LN(0.001+'Advanced Entry'!Y140),IF('Advanced Entry'!Y$5="Exponential",EXP('Advanced Entry'!Y140),'Advanced Entry'!Y140)))-'Advanced Entry'!Y$6)/('Advanced Entry'!Y$7-'Advanced Entry'!Y$6)),1))),"No data"))</f>
        <v/>
      </c>
      <c r="Z140" s="17">
        <f>IF('Advanced Entry'!Z140="","",IFERROR(MAX(0,MIN(10,ROUND(IF('Advanced Entry'!Z$8="Decrease Risk",10-10*((IF('Advanced Entry'!Z$5="Logarithm",LN(0.001+'Advanced Entry'!Z140),IF('Advanced Entry'!Z$5="Exponential",EXP('Advanced Entry'!Z140),'Advanced Entry'!Z140)))-'Advanced Entry'!Z$6)/('Advanced Entry'!Z$7-'Advanced Entry'!Z$6),10*((IF('Advanced Entry'!Z$5="Logarithm",LN(0.001+'Advanced Entry'!Z140),IF('Advanced Entry'!Z$5="Exponential",EXP('Advanced Entry'!Z140),'Advanced Entry'!Z140)))-'Advanced Entry'!Z$6)/('Advanced Entry'!Z$7-'Advanced Entry'!Z$6)),1))),"No data"))</f>
        <v/>
      </c>
      <c r="AA140" s="17">
        <f>IF('Advanced Entry'!AA140="","",IFERROR(MAX(0,MIN(10,ROUND(IF('Advanced Entry'!AA$8="Decrease Risk",10-10*((IF('Advanced Entry'!AA$5="Logarithm",LN(0.001+'Advanced Entry'!AA140),IF('Advanced Entry'!AA$5="Exponential",EXP('Advanced Entry'!AA140),'Advanced Entry'!AA140)))-'Advanced Entry'!AA$6)/('Advanced Entry'!AA$7-'Advanced Entry'!AA$6),10*((IF('Advanced Entry'!AA$5="Logarithm",LN(0.001+'Advanced Entry'!AA140),IF('Advanced Entry'!AA$5="Exponential",EXP('Advanced Entry'!AA140),'Advanced Entry'!AA140)))-'Advanced Entry'!AA$6)/('Advanced Entry'!AA$7-'Advanced Entry'!AA$6)),1))),"No data"))</f>
        <v/>
      </c>
      <c r="AB140" s="17">
        <f>IF('Advanced Entry'!AB140="","",IFERROR(MAX(0,MIN(10,ROUND(IF('Advanced Entry'!AB$8="Decrease Risk",10-10*((IF('Advanced Entry'!AB$5="Logarithm",LN(0.001+'Advanced Entry'!AB140),IF('Advanced Entry'!AB$5="Exponential",EXP('Advanced Entry'!AB140),'Advanced Entry'!AB140)))-'Advanced Entry'!AB$6)/('Advanced Entry'!AB$7-'Advanced Entry'!AB$6),10*((IF('Advanced Entry'!AB$5="Logarithm",LN(0.001+'Advanced Entry'!AB140),IF('Advanced Entry'!AB$5="Exponential",EXP('Advanced Entry'!AB140),'Advanced Entry'!AB140)))-'Advanced Entry'!AB$6)/('Advanced Entry'!AB$7-'Advanced Entry'!AB$6)),1))),"No data"))</f>
        <v/>
      </c>
    </row>
    <row r="141">
      <c r="A141" t="inlineStr">
        <is>
          <t>Njombe</t>
        </is>
      </c>
      <c r="B141" t="inlineStr">
        <is>
          <t>Wanging'Ombe District</t>
        </is>
      </c>
      <c r="C141" t="inlineStr">
        <is>
          <t>C162</t>
        </is>
      </c>
      <c r="D141" s="17">
        <f>IF('Advanced Entry'!D141="","",IFERROR(MAX(0,MIN(10,ROUND(IF('Advanced Entry'!D$8="Decrease Risk",10-10*((IF('Advanced Entry'!D$5="Logarithm",LN(0.001+'Advanced Entry'!D141),IF('Advanced Entry'!D$5="Exponential",EXP('Advanced Entry'!D141),'Advanced Entry'!D141)))-'Advanced Entry'!D$6)/('Advanced Entry'!D$7-'Advanced Entry'!D$6),10*((IF('Advanced Entry'!D$5="Logarithm",LN(0.001+'Advanced Entry'!D141),IF('Advanced Entry'!D$5="Exponential",EXP('Advanced Entry'!D141),'Advanced Entry'!D141)))-'Advanced Entry'!D$6)/('Advanced Entry'!D$7-'Advanced Entry'!D$6)),1))),"No data"))</f>
        <v/>
      </c>
      <c r="E141" s="17">
        <f>IF('Advanced Entry'!E141="","",IFERROR(MAX(0,MIN(10,ROUND(IF('Advanced Entry'!E$8="Decrease Risk",10-10*((IF('Advanced Entry'!E$5="Logarithm",LN(0.001+'Advanced Entry'!E141),IF('Advanced Entry'!E$5="Exponential",EXP('Advanced Entry'!E141),'Advanced Entry'!E141)))-'Advanced Entry'!E$6)/('Advanced Entry'!E$7-'Advanced Entry'!E$6),10*((IF('Advanced Entry'!E$5="Logarithm",LN(0.001+'Advanced Entry'!E141),IF('Advanced Entry'!E$5="Exponential",EXP('Advanced Entry'!E141),'Advanced Entry'!E141)))-'Advanced Entry'!E$6)/('Advanced Entry'!E$7-'Advanced Entry'!E$6)),1))),"No data"))</f>
        <v/>
      </c>
      <c r="F141" s="17">
        <f>IF('Advanced Entry'!F141="","",IFERROR(MAX(0,MIN(10,ROUND(IF('Advanced Entry'!F$8="Decrease Risk",10-10*((IF('Advanced Entry'!F$5="Logarithm",LN(0.001+'Advanced Entry'!F141),IF('Advanced Entry'!F$5="Exponential",EXP('Advanced Entry'!F141),'Advanced Entry'!F141)))-'Advanced Entry'!F$6)/('Advanced Entry'!F$7-'Advanced Entry'!F$6),10*((IF('Advanced Entry'!F$5="Logarithm",LN(0.001+'Advanced Entry'!F141),IF('Advanced Entry'!F$5="Exponential",EXP('Advanced Entry'!F141),'Advanced Entry'!F141)))-'Advanced Entry'!F$6)/('Advanced Entry'!F$7-'Advanced Entry'!F$6)),1))),"No data"))</f>
        <v/>
      </c>
      <c r="G141" s="17">
        <f>IF('Advanced Entry'!G141="","",IFERROR(MAX(0,MIN(10,ROUND(IF('Advanced Entry'!G$8="Decrease Risk",10-10*((IF('Advanced Entry'!G$5="Logarithm",LN(0.001+'Advanced Entry'!G141),IF('Advanced Entry'!G$5="Exponential",EXP('Advanced Entry'!G141),'Advanced Entry'!G141)))-'Advanced Entry'!G$6)/('Advanced Entry'!G$7-'Advanced Entry'!G$6),10*((IF('Advanced Entry'!G$5="Logarithm",LN(0.001+'Advanced Entry'!G141),IF('Advanced Entry'!G$5="Exponential",EXP('Advanced Entry'!G141),'Advanced Entry'!G141)))-'Advanced Entry'!G$6)/('Advanced Entry'!G$7-'Advanced Entry'!G$6)),1))),"No data"))</f>
        <v/>
      </c>
      <c r="H141" s="17">
        <f>IF('Advanced Entry'!H141="","",IFERROR(MAX(0,MIN(10,ROUND(IF('Advanced Entry'!H$8="Decrease Risk",10-10*((IF('Advanced Entry'!H$5="Logarithm",LN(0.001+'Advanced Entry'!H141),IF('Advanced Entry'!H$5="Exponential",EXP('Advanced Entry'!H141),'Advanced Entry'!H141)))-'Advanced Entry'!H$6)/('Advanced Entry'!H$7-'Advanced Entry'!H$6),10*((IF('Advanced Entry'!H$5="Logarithm",LN(0.001+'Advanced Entry'!H141),IF('Advanced Entry'!H$5="Exponential",EXP('Advanced Entry'!H141),'Advanced Entry'!H141)))-'Advanced Entry'!H$6)/('Advanced Entry'!H$7-'Advanced Entry'!H$6)),1))),"No data"))</f>
        <v/>
      </c>
      <c r="I141" s="17">
        <f>IF('Advanced Entry'!I141="","",IFERROR(MAX(0,MIN(10,ROUND(IF('Advanced Entry'!I$8="Decrease Risk",10-10*((IF('Advanced Entry'!I$5="Logarithm",LN(0.001+'Advanced Entry'!I141),IF('Advanced Entry'!I$5="Exponential",EXP('Advanced Entry'!I141),'Advanced Entry'!I141)))-'Advanced Entry'!I$6)/('Advanced Entry'!I$7-'Advanced Entry'!I$6),10*((IF('Advanced Entry'!I$5="Logarithm",LN(0.001+'Advanced Entry'!I141),IF('Advanced Entry'!I$5="Exponential",EXP('Advanced Entry'!I141),'Advanced Entry'!I141)))-'Advanced Entry'!I$6)/('Advanced Entry'!I$7-'Advanced Entry'!I$6)),1))),"No data"))</f>
        <v/>
      </c>
      <c r="J141" s="17">
        <f>IF('Advanced Entry'!J141="","",IFERROR(MAX(0,MIN(10,ROUND(IF('Advanced Entry'!J$8="Decrease Risk",10-10*((IF('Advanced Entry'!J$5="Logarithm",LN(0.001+'Advanced Entry'!J141),IF('Advanced Entry'!J$5="Exponential",EXP('Advanced Entry'!J141),'Advanced Entry'!J141)))-'Advanced Entry'!J$6)/('Advanced Entry'!J$7-'Advanced Entry'!J$6),10*((IF('Advanced Entry'!J$5="Logarithm",LN(0.001+'Advanced Entry'!J141),IF('Advanced Entry'!J$5="Exponential",EXP('Advanced Entry'!J141),'Advanced Entry'!J141)))-'Advanced Entry'!J$6)/('Advanced Entry'!J$7-'Advanced Entry'!J$6)),1))),"No data"))</f>
        <v/>
      </c>
      <c r="K141" s="17">
        <f>IF('Advanced Entry'!K141="","",IFERROR(MAX(0,MIN(10,ROUND(IF('Advanced Entry'!K$8="Decrease Risk",10-10*((IF('Advanced Entry'!K$5="Logarithm",LN(0.001+'Advanced Entry'!K141),IF('Advanced Entry'!K$5="Exponential",EXP('Advanced Entry'!K141),'Advanced Entry'!K141)))-'Advanced Entry'!K$6)/('Advanced Entry'!K$7-'Advanced Entry'!K$6),10*((IF('Advanced Entry'!K$5="Logarithm",LN(0.001+'Advanced Entry'!K141),IF('Advanced Entry'!K$5="Exponential",EXP('Advanced Entry'!K141),'Advanced Entry'!K141)))-'Advanced Entry'!K$6)/('Advanced Entry'!K$7-'Advanced Entry'!K$6)),1))),"No data"))</f>
        <v/>
      </c>
      <c r="L141" s="17">
        <f>IF('Advanced Entry'!L141="","",IFERROR(MAX(0,MIN(10,ROUND(IF('Advanced Entry'!L$8="Decrease Risk",10-10*((IF('Advanced Entry'!L$5="Logarithm",LN(0.001+'Advanced Entry'!L141),IF('Advanced Entry'!L$5="Exponential",EXP('Advanced Entry'!L141),'Advanced Entry'!L141)))-'Advanced Entry'!L$6)/('Advanced Entry'!L$7-'Advanced Entry'!L$6),10*((IF('Advanced Entry'!L$5="Logarithm",LN(0.001+'Advanced Entry'!L141),IF('Advanced Entry'!L$5="Exponential",EXP('Advanced Entry'!L141),'Advanced Entry'!L141)))-'Advanced Entry'!L$6)/('Advanced Entry'!L$7-'Advanced Entry'!L$6)),1))),"No data"))</f>
        <v/>
      </c>
      <c r="M141" s="17">
        <f>IF('Advanced Entry'!M141="","",IFERROR(MAX(0,MIN(10,ROUND(IF('Advanced Entry'!M$8="Decrease Risk",10-10*((IF('Advanced Entry'!M$5="Logarithm",LN(0.001+'Advanced Entry'!M141),IF('Advanced Entry'!M$5="Exponential",EXP('Advanced Entry'!M141),'Advanced Entry'!M141)))-'Advanced Entry'!M$6)/('Advanced Entry'!M$7-'Advanced Entry'!M$6),10*((IF('Advanced Entry'!M$5="Logarithm",LN(0.001+'Advanced Entry'!M141),IF('Advanced Entry'!M$5="Exponential",EXP('Advanced Entry'!M141),'Advanced Entry'!M141)))-'Advanced Entry'!M$6)/('Advanced Entry'!M$7-'Advanced Entry'!M$6)),1))),"No data"))</f>
        <v/>
      </c>
      <c r="N141" s="17">
        <f>IF('Advanced Entry'!N141="","",IFERROR(MAX(0,MIN(10,ROUND(IF('Advanced Entry'!N$8="Decrease Risk",10-10*((IF('Advanced Entry'!N$5="Logarithm",LN(0.001+'Advanced Entry'!N141),IF('Advanced Entry'!N$5="Exponential",EXP('Advanced Entry'!N141),'Advanced Entry'!N141)))-'Advanced Entry'!N$6)/('Advanced Entry'!N$7-'Advanced Entry'!N$6),10*((IF('Advanced Entry'!N$5="Logarithm",LN(0.001+'Advanced Entry'!N141),IF('Advanced Entry'!N$5="Exponential",EXP('Advanced Entry'!N141),'Advanced Entry'!N141)))-'Advanced Entry'!N$6)/('Advanced Entry'!N$7-'Advanced Entry'!N$6)),1))),"No data"))</f>
        <v/>
      </c>
      <c r="O141" s="17">
        <f>IF('Advanced Entry'!O141="","",IFERROR(MAX(0,MIN(10,ROUND(IF('Advanced Entry'!O$8="Decrease Risk",10-10*((IF('Advanced Entry'!O$5="Logarithm",LN(0.001+'Advanced Entry'!O141),IF('Advanced Entry'!O$5="Exponential",EXP('Advanced Entry'!O141),'Advanced Entry'!O141)))-'Advanced Entry'!O$6)/('Advanced Entry'!O$7-'Advanced Entry'!O$6),10*((IF('Advanced Entry'!O$5="Logarithm",LN(0.001+'Advanced Entry'!O141),IF('Advanced Entry'!O$5="Exponential",EXP('Advanced Entry'!O141),'Advanced Entry'!O141)))-'Advanced Entry'!O$6)/('Advanced Entry'!O$7-'Advanced Entry'!O$6)),1))),"No data"))</f>
        <v/>
      </c>
      <c r="P141" s="17">
        <f>IF('Advanced Entry'!P141="","",IFERROR(MAX(0,MIN(10,ROUND(IF('Advanced Entry'!P$8="Decrease Risk",10-10*((IF('Advanced Entry'!P$5="Logarithm",LN(0.001+'Advanced Entry'!P141),IF('Advanced Entry'!P$5="Exponential",EXP('Advanced Entry'!P141),'Advanced Entry'!P141)))-'Advanced Entry'!P$6)/('Advanced Entry'!P$7-'Advanced Entry'!P$6),10*((IF('Advanced Entry'!P$5="Logarithm",LN(0.001+'Advanced Entry'!P141),IF('Advanced Entry'!P$5="Exponential",EXP('Advanced Entry'!P141),'Advanced Entry'!P141)))-'Advanced Entry'!P$6)/('Advanced Entry'!P$7-'Advanced Entry'!P$6)),1))),"No data"))</f>
        <v/>
      </c>
      <c r="Q141" s="17">
        <f>IF('Advanced Entry'!Q141="","",IFERROR(MAX(0,MIN(10,ROUND(IF('Advanced Entry'!Q$8="Decrease Risk",10-10*((IF('Advanced Entry'!Q$5="Logarithm",LN(0.001+'Advanced Entry'!Q141),IF('Advanced Entry'!Q$5="Exponential",EXP('Advanced Entry'!Q141),'Advanced Entry'!Q141)))-'Advanced Entry'!Q$6)/('Advanced Entry'!Q$7-'Advanced Entry'!Q$6),10*((IF('Advanced Entry'!Q$5="Logarithm",LN(0.001+'Advanced Entry'!Q141),IF('Advanced Entry'!Q$5="Exponential",EXP('Advanced Entry'!Q141),'Advanced Entry'!Q141)))-'Advanced Entry'!Q$6)/('Advanced Entry'!Q$7-'Advanced Entry'!Q$6)),1))),"No data"))</f>
        <v/>
      </c>
      <c r="R141" s="17">
        <f>IF('Advanced Entry'!R141="","",IFERROR(MAX(0,MIN(10,ROUND(IF('Advanced Entry'!R$8="Decrease Risk",10-10*((IF('Advanced Entry'!R$5="Logarithm",LN(0.001+'Advanced Entry'!R141),IF('Advanced Entry'!R$5="Exponential",EXP('Advanced Entry'!R141),'Advanced Entry'!R141)))-'Advanced Entry'!R$6)/('Advanced Entry'!R$7-'Advanced Entry'!R$6),10*((IF('Advanced Entry'!R$5="Logarithm",LN(0.001+'Advanced Entry'!R141),IF('Advanced Entry'!R$5="Exponential",EXP('Advanced Entry'!R141),'Advanced Entry'!R141)))-'Advanced Entry'!R$6)/('Advanced Entry'!R$7-'Advanced Entry'!R$6)),1))),"No data"))</f>
        <v/>
      </c>
      <c r="S141" s="17">
        <f>IF('Advanced Entry'!S141="","",IFERROR(MAX(0,MIN(10,ROUND(IF('Advanced Entry'!S$8="Decrease Risk",10-10*((IF('Advanced Entry'!S$5="Logarithm",LN(0.001+'Advanced Entry'!S141),IF('Advanced Entry'!S$5="Exponential",EXP('Advanced Entry'!S141),'Advanced Entry'!S141)))-'Advanced Entry'!S$6)/('Advanced Entry'!S$7-'Advanced Entry'!S$6),10*((IF('Advanced Entry'!S$5="Logarithm",LN(0.001+'Advanced Entry'!S141),IF('Advanced Entry'!S$5="Exponential",EXP('Advanced Entry'!S141),'Advanced Entry'!S141)))-'Advanced Entry'!S$6)/('Advanced Entry'!S$7-'Advanced Entry'!S$6)),1))),"No data"))</f>
        <v/>
      </c>
      <c r="T141" s="17">
        <f>IF('Advanced Entry'!T141="","",IFERROR(MAX(0,MIN(10,ROUND(IF('Advanced Entry'!T$8="Decrease Risk",10-10*((IF('Advanced Entry'!T$5="Logarithm",LN(0.001+'Advanced Entry'!T141),IF('Advanced Entry'!T$5="Exponential",EXP('Advanced Entry'!T141),'Advanced Entry'!T141)))-'Advanced Entry'!T$6)/('Advanced Entry'!T$7-'Advanced Entry'!T$6),10*((IF('Advanced Entry'!T$5="Logarithm",LN(0.001+'Advanced Entry'!T141),IF('Advanced Entry'!T$5="Exponential",EXP('Advanced Entry'!T141),'Advanced Entry'!T141)))-'Advanced Entry'!T$6)/('Advanced Entry'!T$7-'Advanced Entry'!T$6)),1))),"No data"))</f>
        <v/>
      </c>
      <c r="U141" s="17">
        <f>IF('Advanced Entry'!U141="","",IFERROR(MAX(0,MIN(10,ROUND(IF('Advanced Entry'!U$8="Decrease Risk",10-10*((IF('Advanced Entry'!U$5="Logarithm",LN(0.001+'Advanced Entry'!U141),IF('Advanced Entry'!U$5="Exponential",EXP('Advanced Entry'!U141),'Advanced Entry'!U141)))-'Advanced Entry'!U$6)/('Advanced Entry'!U$7-'Advanced Entry'!U$6),10*((IF('Advanced Entry'!U$5="Logarithm",LN(0.001+'Advanced Entry'!U141),IF('Advanced Entry'!U$5="Exponential",EXP('Advanced Entry'!U141),'Advanced Entry'!U141)))-'Advanced Entry'!U$6)/('Advanced Entry'!U$7-'Advanced Entry'!U$6)),1))),"No data"))</f>
        <v/>
      </c>
      <c r="V141" s="17">
        <f>IF('Advanced Entry'!V141="","",IFERROR(MAX(0,MIN(10,ROUND(IF('Advanced Entry'!V$8="Decrease Risk",10-10*((IF('Advanced Entry'!V$5="Logarithm",LN(0.001+'Advanced Entry'!V141),IF('Advanced Entry'!V$5="Exponential",EXP('Advanced Entry'!V141),'Advanced Entry'!V141)))-'Advanced Entry'!V$6)/('Advanced Entry'!V$7-'Advanced Entry'!V$6),10*((IF('Advanced Entry'!V$5="Logarithm",LN(0.001+'Advanced Entry'!V141),IF('Advanced Entry'!V$5="Exponential",EXP('Advanced Entry'!V141),'Advanced Entry'!V141)))-'Advanced Entry'!V$6)/('Advanced Entry'!V$7-'Advanced Entry'!V$6)),1))),"No data"))</f>
        <v/>
      </c>
      <c r="W141" s="17">
        <f>IF('Advanced Entry'!W141="","",IFERROR(MAX(0,MIN(10,ROUND(IF('Advanced Entry'!W$8="Decrease Risk",10-10*((IF('Advanced Entry'!W$5="Logarithm",LN(0.001+'Advanced Entry'!W141),IF('Advanced Entry'!W$5="Exponential",EXP('Advanced Entry'!W141),'Advanced Entry'!W141)))-'Advanced Entry'!W$6)/('Advanced Entry'!W$7-'Advanced Entry'!W$6),10*((IF('Advanced Entry'!W$5="Logarithm",LN(0.001+'Advanced Entry'!W141),IF('Advanced Entry'!W$5="Exponential",EXP('Advanced Entry'!W141),'Advanced Entry'!W141)))-'Advanced Entry'!W$6)/('Advanced Entry'!W$7-'Advanced Entry'!W$6)),1))),"No data"))</f>
        <v/>
      </c>
      <c r="X141" s="17">
        <f>IF('Advanced Entry'!X141="","",IFERROR(MAX(0,MIN(10,ROUND(IF('Advanced Entry'!X$8="Decrease Risk",10-10*((IF('Advanced Entry'!X$5="Logarithm",LN(0.001+'Advanced Entry'!X141),IF('Advanced Entry'!X$5="Exponential",EXP('Advanced Entry'!X141),'Advanced Entry'!X141)))-'Advanced Entry'!X$6)/('Advanced Entry'!X$7-'Advanced Entry'!X$6),10*((IF('Advanced Entry'!X$5="Logarithm",LN(0.001+'Advanced Entry'!X141),IF('Advanced Entry'!X$5="Exponential",EXP('Advanced Entry'!X141),'Advanced Entry'!X141)))-'Advanced Entry'!X$6)/('Advanced Entry'!X$7-'Advanced Entry'!X$6)),1))),"No data"))</f>
        <v/>
      </c>
      <c r="Y141" s="17">
        <f>IF('Advanced Entry'!Y141="","",IFERROR(MAX(0,MIN(10,ROUND(IF('Advanced Entry'!Y$8="Decrease Risk",10-10*((IF('Advanced Entry'!Y$5="Logarithm",LN(0.001+'Advanced Entry'!Y141),IF('Advanced Entry'!Y$5="Exponential",EXP('Advanced Entry'!Y141),'Advanced Entry'!Y141)))-'Advanced Entry'!Y$6)/('Advanced Entry'!Y$7-'Advanced Entry'!Y$6),10*((IF('Advanced Entry'!Y$5="Logarithm",LN(0.001+'Advanced Entry'!Y141),IF('Advanced Entry'!Y$5="Exponential",EXP('Advanced Entry'!Y141),'Advanced Entry'!Y141)))-'Advanced Entry'!Y$6)/('Advanced Entry'!Y$7-'Advanced Entry'!Y$6)),1))),"No data"))</f>
        <v/>
      </c>
      <c r="Z141" s="17">
        <f>IF('Advanced Entry'!Z141="","",IFERROR(MAX(0,MIN(10,ROUND(IF('Advanced Entry'!Z$8="Decrease Risk",10-10*((IF('Advanced Entry'!Z$5="Logarithm",LN(0.001+'Advanced Entry'!Z141),IF('Advanced Entry'!Z$5="Exponential",EXP('Advanced Entry'!Z141),'Advanced Entry'!Z141)))-'Advanced Entry'!Z$6)/('Advanced Entry'!Z$7-'Advanced Entry'!Z$6),10*((IF('Advanced Entry'!Z$5="Logarithm",LN(0.001+'Advanced Entry'!Z141),IF('Advanced Entry'!Z$5="Exponential",EXP('Advanced Entry'!Z141),'Advanced Entry'!Z141)))-'Advanced Entry'!Z$6)/('Advanced Entry'!Z$7-'Advanced Entry'!Z$6)),1))),"No data"))</f>
        <v/>
      </c>
      <c r="AA141" s="17">
        <f>IF('Advanced Entry'!AA141="","",IFERROR(MAX(0,MIN(10,ROUND(IF('Advanced Entry'!AA$8="Decrease Risk",10-10*((IF('Advanced Entry'!AA$5="Logarithm",LN(0.001+'Advanced Entry'!AA141),IF('Advanced Entry'!AA$5="Exponential",EXP('Advanced Entry'!AA141),'Advanced Entry'!AA141)))-'Advanced Entry'!AA$6)/('Advanced Entry'!AA$7-'Advanced Entry'!AA$6),10*((IF('Advanced Entry'!AA$5="Logarithm",LN(0.001+'Advanced Entry'!AA141),IF('Advanced Entry'!AA$5="Exponential",EXP('Advanced Entry'!AA141),'Advanced Entry'!AA141)))-'Advanced Entry'!AA$6)/('Advanced Entry'!AA$7-'Advanced Entry'!AA$6)),1))),"No data"))</f>
        <v/>
      </c>
      <c r="AB141" s="17">
        <f>IF('Advanced Entry'!AB141="","",IFERROR(MAX(0,MIN(10,ROUND(IF('Advanced Entry'!AB$8="Decrease Risk",10-10*((IF('Advanced Entry'!AB$5="Logarithm",LN(0.001+'Advanced Entry'!AB141),IF('Advanced Entry'!AB$5="Exponential",EXP('Advanced Entry'!AB141),'Advanced Entry'!AB141)))-'Advanced Entry'!AB$6)/('Advanced Entry'!AB$7-'Advanced Entry'!AB$6),10*((IF('Advanced Entry'!AB$5="Logarithm",LN(0.001+'Advanced Entry'!AB141),IF('Advanced Entry'!AB$5="Exponential",EXP('Advanced Entry'!AB141),'Advanced Entry'!AB141)))-'Advanced Entry'!AB$6)/('Advanced Entry'!AB$7-'Advanced Entry'!AB$6)),1))),"No data"))</f>
        <v/>
      </c>
    </row>
    <row r="142">
      <c r="A142" t="inlineStr">
        <is>
          <t>Pwani</t>
        </is>
      </c>
      <c r="B142" t="inlineStr">
        <is>
          <t>Bagamoyo District</t>
        </is>
      </c>
      <c r="C142" t="inlineStr">
        <is>
          <t>C043</t>
        </is>
      </c>
      <c r="D142" s="17">
        <f>IF('Advanced Entry'!D142="","",IFERROR(MAX(0,MIN(10,ROUND(IF('Advanced Entry'!D$8="Decrease Risk",10-10*((IF('Advanced Entry'!D$5="Logarithm",LN(0.001+'Advanced Entry'!D142),IF('Advanced Entry'!D$5="Exponential",EXP('Advanced Entry'!D142),'Advanced Entry'!D142)))-'Advanced Entry'!D$6)/('Advanced Entry'!D$7-'Advanced Entry'!D$6),10*((IF('Advanced Entry'!D$5="Logarithm",LN(0.001+'Advanced Entry'!D142),IF('Advanced Entry'!D$5="Exponential",EXP('Advanced Entry'!D142),'Advanced Entry'!D142)))-'Advanced Entry'!D$6)/('Advanced Entry'!D$7-'Advanced Entry'!D$6)),1))),"No data"))</f>
        <v/>
      </c>
      <c r="E142" s="17">
        <f>IF('Advanced Entry'!E142="","",IFERROR(MAX(0,MIN(10,ROUND(IF('Advanced Entry'!E$8="Decrease Risk",10-10*((IF('Advanced Entry'!E$5="Logarithm",LN(0.001+'Advanced Entry'!E142),IF('Advanced Entry'!E$5="Exponential",EXP('Advanced Entry'!E142),'Advanced Entry'!E142)))-'Advanced Entry'!E$6)/('Advanced Entry'!E$7-'Advanced Entry'!E$6),10*((IF('Advanced Entry'!E$5="Logarithm",LN(0.001+'Advanced Entry'!E142),IF('Advanced Entry'!E$5="Exponential",EXP('Advanced Entry'!E142),'Advanced Entry'!E142)))-'Advanced Entry'!E$6)/('Advanced Entry'!E$7-'Advanced Entry'!E$6)),1))),"No data"))</f>
        <v/>
      </c>
      <c r="F142" s="17">
        <f>IF('Advanced Entry'!F142="","",IFERROR(MAX(0,MIN(10,ROUND(IF('Advanced Entry'!F$8="Decrease Risk",10-10*((IF('Advanced Entry'!F$5="Logarithm",LN(0.001+'Advanced Entry'!F142),IF('Advanced Entry'!F$5="Exponential",EXP('Advanced Entry'!F142),'Advanced Entry'!F142)))-'Advanced Entry'!F$6)/('Advanced Entry'!F$7-'Advanced Entry'!F$6),10*((IF('Advanced Entry'!F$5="Logarithm",LN(0.001+'Advanced Entry'!F142),IF('Advanced Entry'!F$5="Exponential",EXP('Advanced Entry'!F142),'Advanced Entry'!F142)))-'Advanced Entry'!F$6)/('Advanced Entry'!F$7-'Advanced Entry'!F$6)),1))),"No data"))</f>
        <v/>
      </c>
      <c r="G142" s="17">
        <f>IF('Advanced Entry'!G142="","",IFERROR(MAX(0,MIN(10,ROUND(IF('Advanced Entry'!G$8="Decrease Risk",10-10*((IF('Advanced Entry'!G$5="Logarithm",LN(0.001+'Advanced Entry'!G142),IF('Advanced Entry'!G$5="Exponential",EXP('Advanced Entry'!G142),'Advanced Entry'!G142)))-'Advanced Entry'!G$6)/('Advanced Entry'!G$7-'Advanced Entry'!G$6),10*((IF('Advanced Entry'!G$5="Logarithm",LN(0.001+'Advanced Entry'!G142),IF('Advanced Entry'!G$5="Exponential",EXP('Advanced Entry'!G142),'Advanced Entry'!G142)))-'Advanced Entry'!G$6)/('Advanced Entry'!G$7-'Advanced Entry'!G$6)),1))),"No data"))</f>
        <v/>
      </c>
      <c r="H142" s="17">
        <f>IF('Advanced Entry'!H142="","",IFERROR(MAX(0,MIN(10,ROUND(IF('Advanced Entry'!H$8="Decrease Risk",10-10*((IF('Advanced Entry'!H$5="Logarithm",LN(0.001+'Advanced Entry'!H142),IF('Advanced Entry'!H$5="Exponential",EXP('Advanced Entry'!H142),'Advanced Entry'!H142)))-'Advanced Entry'!H$6)/('Advanced Entry'!H$7-'Advanced Entry'!H$6),10*((IF('Advanced Entry'!H$5="Logarithm",LN(0.001+'Advanced Entry'!H142),IF('Advanced Entry'!H$5="Exponential",EXP('Advanced Entry'!H142),'Advanced Entry'!H142)))-'Advanced Entry'!H$6)/('Advanced Entry'!H$7-'Advanced Entry'!H$6)),1))),"No data"))</f>
        <v/>
      </c>
      <c r="I142" s="17">
        <f>IF('Advanced Entry'!I142="","",IFERROR(MAX(0,MIN(10,ROUND(IF('Advanced Entry'!I$8="Decrease Risk",10-10*((IF('Advanced Entry'!I$5="Logarithm",LN(0.001+'Advanced Entry'!I142),IF('Advanced Entry'!I$5="Exponential",EXP('Advanced Entry'!I142),'Advanced Entry'!I142)))-'Advanced Entry'!I$6)/('Advanced Entry'!I$7-'Advanced Entry'!I$6),10*((IF('Advanced Entry'!I$5="Logarithm",LN(0.001+'Advanced Entry'!I142),IF('Advanced Entry'!I$5="Exponential",EXP('Advanced Entry'!I142),'Advanced Entry'!I142)))-'Advanced Entry'!I$6)/('Advanced Entry'!I$7-'Advanced Entry'!I$6)),1))),"No data"))</f>
        <v/>
      </c>
      <c r="J142" s="17">
        <f>IF('Advanced Entry'!J142="","",IFERROR(MAX(0,MIN(10,ROUND(IF('Advanced Entry'!J$8="Decrease Risk",10-10*((IF('Advanced Entry'!J$5="Logarithm",LN(0.001+'Advanced Entry'!J142),IF('Advanced Entry'!J$5="Exponential",EXP('Advanced Entry'!J142),'Advanced Entry'!J142)))-'Advanced Entry'!J$6)/('Advanced Entry'!J$7-'Advanced Entry'!J$6),10*((IF('Advanced Entry'!J$5="Logarithm",LN(0.001+'Advanced Entry'!J142),IF('Advanced Entry'!J$5="Exponential",EXP('Advanced Entry'!J142),'Advanced Entry'!J142)))-'Advanced Entry'!J$6)/('Advanced Entry'!J$7-'Advanced Entry'!J$6)),1))),"No data"))</f>
        <v/>
      </c>
      <c r="K142" s="17">
        <f>IF('Advanced Entry'!K142="","",IFERROR(MAX(0,MIN(10,ROUND(IF('Advanced Entry'!K$8="Decrease Risk",10-10*((IF('Advanced Entry'!K$5="Logarithm",LN(0.001+'Advanced Entry'!K142),IF('Advanced Entry'!K$5="Exponential",EXP('Advanced Entry'!K142),'Advanced Entry'!K142)))-'Advanced Entry'!K$6)/('Advanced Entry'!K$7-'Advanced Entry'!K$6),10*((IF('Advanced Entry'!K$5="Logarithm",LN(0.001+'Advanced Entry'!K142),IF('Advanced Entry'!K$5="Exponential",EXP('Advanced Entry'!K142),'Advanced Entry'!K142)))-'Advanced Entry'!K$6)/('Advanced Entry'!K$7-'Advanced Entry'!K$6)),1))),"No data"))</f>
        <v/>
      </c>
      <c r="L142" s="17">
        <f>IF('Advanced Entry'!L142="","",IFERROR(MAX(0,MIN(10,ROUND(IF('Advanced Entry'!L$8="Decrease Risk",10-10*((IF('Advanced Entry'!L$5="Logarithm",LN(0.001+'Advanced Entry'!L142),IF('Advanced Entry'!L$5="Exponential",EXP('Advanced Entry'!L142),'Advanced Entry'!L142)))-'Advanced Entry'!L$6)/('Advanced Entry'!L$7-'Advanced Entry'!L$6),10*((IF('Advanced Entry'!L$5="Logarithm",LN(0.001+'Advanced Entry'!L142),IF('Advanced Entry'!L$5="Exponential",EXP('Advanced Entry'!L142),'Advanced Entry'!L142)))-'Advanced Entry'!L$6)/('Advanced Entry'!L$7-'Advanced Entry'!L$6)),1))),"No data"))</f>
        <v/>
      </c>
      <c r="M142" s="17">
        <f>IF('Advanced Entry'!M142="","",IFERROR(MAX(0,MIN(10,ROUND(IF('Advanced Entry'!M$8="Decrease Risk",10-10*((IF('Advanced Entry'!M$5="Logarithm",LN(0.001+'Advanced Entry'!M142),IF('Advanced Entry'!M$5="Exponential",EXP('Advanced Entry'!M142),'Advanced Entry'!M142)))-'Advanced Entry'!M$6)/('Advanced Entry'!M$7-'Advanced Entry'!M$6),10*((IF('Advanced Entry'!M$5="Logarithm",LN(0.001+'Advanced Entry'!M142),IF('Advanced Entry'!M$5="Exponential",EXP('Advanced Entry'!M142),'Advanced Entry'!M142)))-'Advanced Entry'!M$6)/('Advanced Entry'!M$7-'Advanced Entry'!M$6)),1))),"No data"))</f>
        <v/>
      </c>
      <c r="N142" s="17">
        <f>IF('Advanced Entry'!N142="","",IFERROR(MAX(0,MIN(10,ROUND(IF('Advanced Entry'!N$8="Decrease Risk",10-10*((IF('Advanced Entry'!N$5="Logarithm",LN(0.001+'Advanced Entry'!N142),IF('Advanced Entry'!N$5="Exponential",EXP('Advanced Entry'!N142),'Advanced Entry'!N142)))-'Advanced Entry'!N$6)/('Advanced Entry'!N$7-'Advanced Entry'!N$6),10*((IF('Advanced Entry'!N$5="Logarithm",LN(0.001+'Advanced Entry'!N142),IF('Advanced Entry'!N$5="Exponential",EXP('Advanced Entry'!N142),'Advanced Entry'!N142)))-'Advanced Entry'!N$6)/('Advanced Entry'!N$7-'Advanced Entry'!N$6)),1))),"No data"))</f>
        <v/>
      </c>
      <c r="O142" s="17">
        <f>IF('Advanced Entry'!O142="","",IFERROR(MAX(0,MIN(10,ROUND(IF('Advanced Entry'!O$8="Decrease Risk",10-10*((IF('Advanced Entry'!O$5="Logarithm",LN(0.001+'Advanced Entry'!O142),IF('Advanced Entry'!O$5="Exponential",EXP('Advanced Entry'!O142),'Advanced Entry'!O142)))-'Advanced Entry'!O$6)/('Advanced Entry'!O$7-'Advanced Entry'!O$6),10*((IF('Advanced Entry'!O$5="Logarithm",LN(0.001+'Advanced Entry'!O142),IF('Advanced Entry'!O$5="Exponential",EXP('Advanced Entry'!O142),'Advanced Entry'!O142)))-'Advanced Entry'!O$6)/('Advanced Entry'!O$7-'Advanced Entry'!O$6)),1))),"No data"))</f>
        <v/>
      </c>
      <c r="P142" s="17">
        <f>IF('Advanced Entry'!P142="","",IFERROR(MAX(0,MIN(10,ROUND(IF('Advanced Entry'!P$8="Decrease Risk",10-10*((IF('Advanced Entry'!P$5="Logarithm",LN(0.001+'Advanced Entry'!P142),IF('Advanced Entry'!P$5="Exponential",EXP('Advanced Entry'!P142),'Advanced Entry'!P142)))-'Advanced Entry'!P$6)/('Advanced Entry'!P$7-'Advanced Entry'!P$6),10*((IF('Advanced Entry'!P$5="Logarithm",LN(0.001+'Advanced Entry'!P142),IF('Advanced Entry'!P$5="Exponential",EXP('Advanced Entry'!P142),'Advanced Entry'!P142)))-'Advanced Entry'!P$6)/('Advanced Entry'!P$7-'Advanced Entry'!P$6)),1))),"No data"))</f>
        <v/>
      </c>
      <c r="Q142" s="17">
        <f>IF('Advanced Entry'!Q142="","",IFERROR(MAX(0,MIN(10,ROUND(IF('Advanced Entry'!Q$8="Decrease Risk",10-10*((IF('Advanced Entry'!Q$5="Logarithm",LN(0.001+'Advanced Entry'!Q142),IF('Advanced Entry'!Q$5="Exponential",EXP('Advanced Entry'!Q142),'Advanced Entry'!Q142)))-'Advanced Entry'!Q$6)/('Advanced Entry'!Q$7-'Advanced Entry'!Q$6),10*((IF('Advanced Entry'!Q$5="Logarithm",LN(0.001+'Advanced Entry'!Q142),IF('Advanced Entry'!Q$5="Exponential",EXP('Advanced Entry'!Q142),'Advanced Entry'!Q142)))-'Advanced Entry'!Q$6)/('Advanced Entry'!Q$7-'Advanced Entry'!Q$6)),1))),"No data"))</f>
        <v/>
      </c>
      <c r="R142" s="17">
        <f>IF('Advanced Entry'!R142="","",IFERROR(MAX(0,MIN(10,ROUND(IF('Advanced Entry'!R$8="Decrease Risk",10-10*((IF('Advanced Entry'!R$5="Logarithm",LN(0.001+'Advanced Entry'!R142),IF('Advanced Entry'!R$5="Exponential",EXP('Advanced Entry'!R142),'Advanced Entry'!R142)))-'Advanced Entry'!R$6)/('Advanced Entry'!R$7-'Advanced Entry'!R$6),10*((IF('Advanced Entry'!R$5="Logarithm",LN(0.001+'Advanced Entry'!R142),IF('Advanced Entry'!R$5="Exponential",EXP('Advanced Entry'!R142),'Advanced Entry'!R142)))-'Advanced Entry'!R$6)/('Advanced Entry'!R$7-'Advanced Entry'!R$6)),1))),"No data"))</f>
        <v/>
      </c>
      <c r="S142" s="17">
        <f>IF('Advanced Entry'!S142="","",IFERROR(MAX(0,MIN(10,ROUND(IF('Advanced Entry'!S$8="Decrease Risk",10-10*((IF('Advanced Entry'!S$5="Logarithm",LN(0.001+'Advanced Entry'!S142),IF('Advanced Entry'!S$5="Exponential",EXP('Advanced Entry'!S142),'Advanced Entry'!S142)))-'Advanced Entry'!S$6)/('Advanced Entry'!S$7-'Advanced Entry'!S$6),10*((IF('Advanced Entry'!S$5="Logarithm",LN(0.001+'Advanced Entry'!S142),IF('Advanced Entry'!S$5="Exponential",EXP('Advanced Entry'!S142),'Advanced Entry'!S142)))-'Advanced Entry'!S$6)/('Advanced Entry'!S$7-'Advanced Entry'!S$6)),1))),"No data"))</f>
        <v/>
      </c>
      <c r="T142" s="17">
        <f>IF('Advanced Entry'!T142="","",IFERROR(MAX(0,MIN(10,ROUND(IF('Advanced Entry'!T$8="Decrease Risk",10-10*((IF('Advanced Entry'!T$5="Logarithm",LN(0.001+'Advanced Entry'!T142),IF('Advanced Entry'!T$5="Exponential",EXP('Advanced Entry'!T142),'Advanced Entry'!T142)))-'Advanced Entry'!T$6)/('Advanced Entry'!T$7-'Advanced Entry'!T$6),10*((IF('Advanced Entry'!T$5="Logarithm",LN(0.001+'Advanced Entry'!T142),IF('Advanced Entry'!T$5="Exponential",EXP('Advanced Entry'!T142),'Advanced Entry'!T142)))-'Advanced Entry'!T$6)/('Advanced Entry'!T$7-'Advanced Entry'!T$6)),1))),"No data"))</f>
        <v/>
      </c>
      <c r="U142" s="17">
        <f>IF('Advanced Entry'!U142="","",IFERROR(MAX(0,MIN(10,ROUND(IF('Advanced Entry'!U$8="Decrease Risk",10-10*((IF('Advanced Entry'!U$5="Logarithm",LN(0.001+'Advanced Entry'!U142),IF('Advanced Entry'!U$5="Exponential",EXP('Advanced Entry'!U142),'Advanced Entry'!U142)))-'Advanced Entry'!U$6)/('Advanced Entry'!U$7-'Advanced Entry'!U$6),10*((IF('Advanced Entry'!U$5="Logarithm",LN(0.001+'Advanced Entry'!U142),IF('Advanced Entry'!U$5="Exponential",EXP('Advanced Entry'!U142),'Advanced Entry'!U142)))-'Advanced Entry'!U$6)/('Advanced Entry'!U$7-'Advanced Entry'!U$6)),1))),"No data"))</f>
        <v/>
      </c>
      <c r="V142" s="17">
        <f>IF('Advanced Entry'!V142="","",IFERROR(MAX(0,MIN(10,ROUND(IF('Advanced Entry'!V$8="Decrease Risk",10-10*((IF('Advanced Entry'!V$5="Logarithm",LN(0.001+'Advanced Entry'!V142),IF('Advanced Entry'!V$5="Exponential",EXP('Advanced Entry'!V142),'Advanced Entry'!V142)))-'Advanced Entry'!V$6)/('Advanced Entry'!V$7-'Advanced Entry'!V$6),10*((IF('Advanced Entry'!V$5="Logarithm",LN(0.001+'Advanced Entry'!V142),IF('Advanced Entry'!V$5="Exponential",EXP('Advanced Entry'!V142),'Advanced Entry'!V142)))-'Advanced Entry'!V$6)/('Advanced Entry'!V$7-'Advanced Entry'!V$6)),1))),"No data"))</f>
        <v/>
      </c>
      <c r="W142" s="17">
        <f>IF('Advanced Entry'!W142="","",IFERROR(MAX(0,MIN(10,ROUND(IF('Advanced Entry'!W$8="Decrease Risk",10-10*((IF('Advanced Entry'!W$5="Logarithm",LN(0.001+'Advanced Entry'!W142),IF('Advanced Entry'!W$5="Exponential",EXP('Advanced Entry'!W142),'Advanced Entry'!W142)))-'Advanced Entry'!W$6)/('Advanced Entry'!W$7-'Advanced Entry'!W$6),10*((IF('Advanced Entry'!W$5="Logarithm",LN(0.001+'Advanced Entry'!W142),IF('Advanced Entry'!W$5="Exponential",EXP('Advanced Entry'!W142),'Advanced Entry'!W142)))-'Advanced Entry'!W$6)/('Advanced Entry'!W$7-'Advanced Entry'!W$6)),1))),"No data"))</f>
        <v/>
      </c>
      <c r="X142" s="17">
        <f>IF('Advanced Entry'!X142="","",IFERROR(MAX(0,MIN(10,ROUND(IF('Advanced Entry'!X$8="Decrease Risk",10-10*((IF('Advanced Entry'!X$5="Logarithm",LN(0.001+'Advanced Entry'!X142),IF('Advanced Entry'!X$5="Exponential",EXP('Advanced Entry'!X142),'Advanced Entry'!X142)))-'Advanced Entry'!X$6)/('Advanced Entry'!X$7-'Advanced Entry'!X$6),10*((IF('Advanced Entry'!X$5="Logarithm",LN(0.001+'Advanced Entry'!X142),IF('Advanced Entry'!X$5="Exponential",EXP('Advanced Entry'!X142),'Advanced Entry'!X142)))-'Advanced Entry'!X$6)/('Advanced Entry'!X$7-'Advanced Entry'!X$6)),1))),"No data"))</f>
        <v/>
      </c>
      <c r="Y142" s="17">
        <f>IF('Advanced Entry'!Y142="","",IFERROR(MAX(0,MIN(10,ROUND(IF('Advanced Entry'!Y$8="Decrease Risk",10-10*((IF('Advanced Entry'!Y$5="Logarithm",LN(0.001+'Advanced Entry'!Y142),IF('Advanced Entry'!Y$5="Exponential",EXP('Advanced Entry'!Y142),'Advanced Entry'!Y142)))-'Advanced Entry'!Y$6)/('Advanced Entry'!Y$7-'Advanced Entry'!Y$6),10*((IF('Advanced Entry'!Y$5="Logarithm",LN(0.001+'Advanced Entry'!Y142),IF('Advanced Entry'!Y$5="Exponential",EXP('Advanced Entry'!Y142),'Advanced Entry'!Y142)))-'Advanced Entry'!Y$6)/('Advanced Entry'!Y$7-'Advanced Entry'!Y$6)),1))),"No data"))</f>
        <v/>
      </c>
      <c r="Z142" s="17">
        <f>IF('Advanced Entry'!Z142="","",IFERROR(MAX(0,MIN(10,ROUND(IF('Advanced Entry'!Z$8="Decrease Risk",10-10*((IF('Advanced Entry'!Z$5="Logarithm",LN(0.001+'Advanced Entry'!Z142),IF('Advanced Entry'!Z$5="Exponential",EXP('Advanced Entry'!Z142),'Advanced Entry'!Z142)))-'Advanced Entry'!Z$6)/('Advanced Entry'!Z$7-'Advanced Entry'!Z$6),10*((IF('Advanced Entry'!Z$5="Logarithm",LN(0.001+'Advanced Entry'!Z142),IF('Advanced Entry'!Z$5="Exponential",EXP('Advanced Entry'!Z142),'Advanced Entry'!Z142)))-'Advanced Entry'!Z$6)/('Advanced Entry'!Z$7-'Advanced Entry'!Z$6)),1))),"No data"))</f>
        <v/>
      </c>
      <c r="AA142" s="17">
        <f>IF('Advanced Entry'!AA142="","",IFERROR(MAX(0,MIN(10,ROUND(IF('Advanced Entry'!AA$8="Decrease Risk",10-10*((IF('Advanced Entry'!AA$5="Logarithm",LN(0.001+'Advanced Entry'!AA142),IF('Advanced Entry'!AA$5="Exponential",EXP('Advanced Entry'!AA142),'Advanced Entry'!AA142)))-'Advanced Entry'!AA$6)/('Advanced Entry'!AA$7-'Advanced Entry'!AA$6),10*((IF('Advanced Entry'!AA$5="Logarithm",LN(0.001+'Advanced Entry'!AA142),IF('Advanced Entry'!AA$5="Exponential",EXP('Advanced Entry'!AA142),'Advanced Entry'!AA142)))-'Advanced Entry'!AA$6)/('Advanced Entry'!AA$7-'Advanced Entry'!AA$6)),1))),"No data"))</f>
        <v/>
      </c>
      <c r="AB142" s="17">
        <f>IF('Advanced Entry'!AB142="","",IFERROR(MAX(0,MIN(10,ROUND(IF('Advanced Entry'!AB$8="Decrease Risk",10-10*((IF('Advanced Entry'!AB$5="Logarithm",LN(0.001+'Advanced Entry'!AB142),IF('Advanced Entry'!AB$5="Exponential",EXP('Advanced Entry'!AB142),'Advanced Entry'!AB142)))-'Advanced Entry'!AB$6)/('Advanced Entry'!AB$7-'Advanced Entry'!AB$6),10*((IF('Advanced Entry'!AB$5="Logarithm",LN(0.001+'Advanced Entry'!AB142),IF('Advanced Entry'!AB$5="Exponential",EXP('Advanced Entry'!AB142),'Advanced Entry'!AB142)))-'Advanced Entry'!AB$6)/('Advanced Entry'!AB$7-'Advanced Entry'!AB$6)),1))),"No data"))</f>
        <v/>
      </c>
    </row>
    <row r="143">
      <c r="A143" t="inlineStr">
        <is>
          <t>Pwani</t>
        </is>
      </c>
      <c r="B143" t="inlineStr">
        <is>
          <t>Chalinze District</t>
        </is>
      </c>
      <c r="C143" t="inlineStr">
        <is>
          <t>C044</t>
        </is>
      </c>
      <c r="D143" s="17">
        <f>IF('Advanced Entry'!D143="","",IFERROR(MAX(0,MIN(10,ROUND(IF('Advanced Entry'!D$8="Decrease Risk",10-10*((IF('Advanced Entry'!D$5="Logarithm",LN(0.001+'Advanced Entry'!D143),IF('Advanced Entry'!D$5="Exponential",EXP('Advanced Entry'!D143),'Advanced Entry'!D143)))-'Advanced Entry'!D$6)/('Advanced Entry'!D$7-'Advanced Entry'!D$6),10*((IF('Advanced Entry'!D$5="Logarithm",LN(0.001+'Advanced Entry'!D143),IF('Advanced Entry'!D$5="Exponential",EXP('Advanced Entry'!D143),'Advanced Entry'!D143)))-'Advanced Entry'!D$6)/('Advanced Entry'!D$7-'Advanced Entry'!D$6)),1))),"No data"))</f>
        <v/>
      </c>
      <c r="E143" s="17">
        <f>IF('Advanced Entry'!E143="","",IFERROR(MAX(0,MIN(10,ROUND(IF('Advanced Entry'!E$8="Decrease Risk",10-10*((IF('Advanced Entry'!E$5="Logarithm",LN(0.001+'Advanced Entry'!E143),IF('Advanced Entry'!E$5="Exponential",EXP('Advanced Entry'!E143),'Advanced Entry'!E143)))-'Advanced Entry'!E$6)/('Advanced Entry'!E$7-'Advanced Entry'!E$6),10*((IF('Advanced Entry'!E$5="Logarithm",LN(0.001+'Advanced Entry'!E143),IF('Advanced Entry'!E$5="Exponential",EXP('Advanced Entry'!E143),'Advanced Entry'!E143)))-'Advanced Entry'!E$6)/('Advanced Entry'!E$7-'Advanced Entry'!E$6)),1))),"No data"))</f>
        <v/>
      </c>
      <c r="F143" s="17">
        <f>IF('Advanced Entry'!F143="","",IFERROR(MAX(0,MIN(10,ROUND(IF('Advanced Entry'!F$8="Decrease Risk",10-10*((IF('Advanced Entry'!F$5="Logarithm",LN(0.001+'Advanced Entry'!F143),IF('Advanced Entry'!F$5="Exponential",EXP('Advanced Entry'!F143),'Advanced Entry'!F143)))-'Advanced Entry'!F$6)/('Advanced Entry'!F$7-'Advanced Entry'!F$6),10*((IF('Advanced Entry'!F$5="Logarithm",LN(0.001+'Advanced Entry'!F143),IF('Advanced Entry'!F$5="Exponential",EXP('Advanced Entry'!F143),'Advanced Entry'!F143)))-'Advanced Entry'!F$6)/('Advanced Entry'!F$7-'Advanced Entry'!F$6)),1))),"No data"))</f>
        <v/>
      </c>
      <c r="G143" s="17">
        <f>IF('Advanced Entry'!G143="","",IFERROR(MAX(0,MIN(10,ROUND(IF('Advanced Entry'!G$8="Decrease Risk",10-10*((IF('Advanced Entry'!G$5="Logarithm",LN(0.001+'Advanced Entry'!G143),IF('Advanced Entry'!G$5="Exponential",EXP('Advanced Entry'!G143),'Advanced Entry'!G143)))-'Advanced Entry'!G$6)/('Advanced Entry'!G$7-'Advanced Entry'!G$6),10*((IF('Advanced Entry'!G$5="Logarithm",LN(0.001+'Advanced Entry'!G143),IF('Advanced Entry'!G$5="Exponential",EXP('Advanced Entry'!G143),'Advanced Entry'!G143)))-'Advanced Entry'!G$6)/('Advanced Entry'!G$7-'Advanced Entry'!G$6)),1))),"No data"))</f>
        <v/>
      </c>
      <c r="H143" s="17">
        <f>IF('Advanced Entry'!H143="","",IFERROR(MAX(0,MIN(10,ROUND(IF('Advanced Entry'!H$8="Decrease Risk",10-10*((IF('Advanced Entry'!H$5="Logarithm",LN(0.001+'Advanced Entry'!H143),IF('Advanced Entry'!H$5="Exponential",EXP('Advanced Entry'!H143),'Advanced Entry'!H143)))-'Advanced Entry'!H$6)/('Advanced Entry'!H$7-'Advanced Entry'!H$6),10*((IF('Advanced Entry'!H$5="Logarithm",LN(0.001+'Advanced Entry'!H143),IF('Advanced Entry'!H$5="Exponential",EXP('Advanced Entry'!H143),'Advanced Entry'!H143)))-'Advanced Entry'!H$6)/('Advanced Entry'!H$7-'Advanced Entry'!H$6)),1))),"No data"))</f>
        <v/>
      </c>
      <c r="I143" s="17">
        <f>IF('Advanced Entry'!I143="","",IFERROR(MAX(0,MIN(10,ROUND(IF('Advanced Entry'!I$8="Decrease Risk",10-10*((IF('Advanced Entry'!I$5="Logarithm",LN(0.001+'Advanced Entry'!I143),IF('Advanced Entry'!I$5="Exponential",EXP('Advanced Entry'!I143),'Advanced Entry'!I143)))-'Advanced Entry'!I$6)/('Advanced Entry'!I$7-'Advanced Entry'!I$6),10*((IF('Advanced Entry'!I$5="Logarithm",LN(0.001+'Advanced Entry'!I143),IF('Advanced Entry'!I$5="Exponential",EXP('Advanced Entry'!I143),'Advanced Entry'!I143)))-'Advanced Entry'!I$6)/('Advanced Entry'!I$7-'Advanced Entry'!I$6)),1))),"No data"))</f>
        <v/>
      </c>
      <c r="J143" s="17">
        <f>IF('Advanced Entry'!J143="","",IFERROR(MAX(0,MIN(10,ROUND(IF('Advanced Entry'!J$8="Decrease Risk",10-10*((IF('Advanced Entry'!J$5="Logarithm",LN(0.001+'Advanced Entry'!J143),IF('Advanced Entry'!J$5="Exponential",EXP('Advanced Entry'!J143),'Advanced Entry'!J143)))-'Advanced Entry'!J$6)/('Advanced Entry'!J$7-'Advanced Entry'!J$6),10*((IF('Advanced Entry'!J$5="Logarithm",LN(0.001+'Advanced Entry'!J143),IF('Advanced Entry'!J$5="Exponential",EXP('Advanced Entry'!J143),'Advanced Entry'!J143)))-'Advanced Entry'!J$6)/('Advanced Entry'!J$7-'Advanced Entry'!J$6)),1))),"No data"))</f>
        <v/>
      </c>
      <c r="K143" s="17">
        <f>IF('Advanced Entry'!K143="","",IFERROR(MAX(0,MIN(10,ROUND(IF('Advanced Entry'!K$8="Decrease Risk",10-10*((IF('Advanced Entry'!K$5="Logarithm",LN(0.001+'Advanced Entry'!K143),IF('Advanced Entry'!K$5="Exponential",EXP('Advanced Entry'!K143),'Advanced Entry'!K143)))-'Advanced Entry'!K$6)/('Advanced Entry'!K$7-'Advanced Entry'!K$6),10*((IF('Advanced Entry'!K$5="Logarithm",LN(0.001+'Advanced Entry'!K143),IF('Advanced Entry'!K$5="Exponential",EXP('Advanced Entry'!K143),'Advanced Entry'!K143)))-'Advanced Entry'!K$6)/('Advanced Entry'!K$7-'Advanced Entry'!K$6)),1))),"No data"))</f>
        <v/>
      </c>
      <c r="L143" s="17">
        <f>IF('Advanced Entry'!L143="","",IFERROR(MAX(0,MIN(10,ROUND(IF('Advanced Entry'!L$8="Decrease Risk",10-10*((IF('Advanced Entry'!L$5="Logarithm",LN(0.001+'Advanced Entry'!L143),IF('Advanced Entry'!L$5="Exponential",EXP('Advanced Entry'!L143),'Advanced Entry'!L143)))-'Advanced Entry'!L$6)/('Advanced Entry'!L$7-'Advanced Entry'!L$6),10*((IF('Advanced Entry'!L$5="Logarithm",LN(0.001+'Advanced Entry'!L143),IF('Advanced Entry'!L$5="Exponential",EXP('Advanced Entry'!L143),'Advanced Entry'!L143)))-'Advanced Entry'!L$6)/('Advanced Entry'!L$7-'Advanced Entry'!L$6)),1))),"No data"))</f>
        <v/>
      </c>
      <c r="M143" s="17">
        <f>IF('Advanced Entry'!M143="","",IFERROR(MAX(0,MIN(10,ROUND(IF('Advanced Entry'!M$8="Decrease Risk",10-10*((IF('Advanced Entry'!M$5="Logarithm",LN(0.001+'Advanced Entry'!M143),IF('Advanced Entry'!M$5="Exponential",EXP('Advanced Entry'!M143),'Advanced Entry'!M143)))-'Advanced Entry'!M$6)/('Advanced Entry'!M$7-'Advanced Entry'!M$6),10*((IF('Advanced Entry'!M$5="Logarithm",LN(0.001+'Advanced Entry'!M143),IF('Advanced Entry'!M$5="Exponential",EXP('Advanced Entry'!M143),'Advanced Entry'!M143)))-'Advanced Entry'!M$6)/('Advanced Entry'!M$7-'Advanced Entry'!M$6)),1))),"No data"))</f>
        <v/>
      </c>
      <c r="N143" s="17">
        <f>IF('Advanced Entry'!N143="","",IFERROR(MAX(0,MIN(10,ROUND(IF('Advanced Entry'!N$8="Decrease Risk",10-10*((IF('Advanced Entry'!N$5="Logarithm",LN(0.001+'Advanced Entry'!N143),IF('Advanced Entry'!N$5="Exponential",EXP('Advanced Entry'!N143),'Advanced Entry'!N143)))-'Advanced Entry'!N$6)/('Advanced Entry'!N$7-'Advanced Entry'!N$6),10*((IF('Advanced Entry'!N$5="Logarithm",LN(0.001+'Advanced Entry'!N143),IF('Advanced Entry'!N$5="Exponential",EXP('Advanced Entry'!N143),'Advanced Entry'!N143)))-'Advanced Entry'!N$6)/('Advanced Entry'!N$7-'Advanced Entry'!N$6)),1))),"No data"))</f>
        <v/>
      </c>
      <c r="O143" s="17">
        <f>IF('Advanced Entry'!O143="","",IFERROR(MAX(0,MIN(10,ROUND(IF('Advanced Entry'!O$8="Decrease Risk",10-10*((IF('Advanced Entry'!O$5="Logarithm",LN(0.001+'Advanced Entry'!O143),IF('Advanced Entry'!O$5="Exponential",EXP('Advanced Entry'!O143),'Advanced Entry'!O143)))-'Advanced Entry'!O$6)/('Advanced Entry'!O$7-'Advanced Entry'!O$6),10*((IF('Advanced Entry'!O$5="Logarithm",LN(0.001+'Advanced Entry'!O143),IF('Advanced Entry'!O$5="Exponential",EXP('Advanced Entry'!O143),'Advanced Entry'!O143)))-'Advanced Entry'!O$6)/('Advanced Entry'!O$7-'Advanced Entry'!O$6)),1))),"No data"))</f>
        <v/>
      </c>
      <c r="P143" s="17">
        <f>IF('Advanced Entry'!P143="","",IFERROR(MAX(0,MIN(10,ROUND(IF('Advanced Entry'!P$8="Decrease Risk",10-10*((IF('Advanced Entry'!P$5="Logarithm",LN(0.001+'Advanced Entry'!P143),IF('Advanced Entry'!P$5="Exponential",EXP('Advanced Entry'!P143),'Advanced Entry'!P143)))-'Advanced Entry'!P$6)/('Advanced Entry'!P$7-'Advanced Entry'!P$6),10*((IF('Advanced Entry'!P$5="Logarithm",LN(0.001+'Advanced Entry'!P143),IF('Advanced Entry'!P$5="Exponential",EXP('Advanced Entry'!P143),'Advanced Entry'!P143)))-'Advanced Entry'!P$6)/('Advanced Entry'!P$7-'Advanced Entry'!P$6)),1))),"No data"))</f>
        <v/>
      </c>
      <c r="Q143" s="17">
        <f>IF('Advanced Entry'!Q143="","",IFERROR(MAX(0,MIN(10,ROUND(IF('Advanced Entry'!Q$8="Decrease Risk",10-10*((IF('Advanced Entry'!Q$5="Logarithm",LN(0.001+'Advanced Entry'!Q143),IF('Advanced Entry'!Q$5="Exponential",EXP('Advanced Entry'!Q143),'Advanced Entry'!Q143)))-'Advanced Entry'!Q$6)/('Advanced Entry'!Q$7-'Advanced Entry'!Q$6),10*((IF('Advanced Entry'!Q$5="Logarithm",LN(0.001+'Advanced Entry'!Q143),IF('Advanced Entry'!Q$5="Exponential",EXP('Advanced Entry'!Q143),'Advanced Entry'!Q143)))-'Advanced Entry'!Q$6)/('Advanced Entry'!Q$7-'Advanced Entry'!Q$6)),1))),"No data"))</f>
        <v/>
      </c>
      <c r="R143" s="17">
        <f>IF('Advanced Entry'!R143="","",IFERROR(MAX(0,MIN(10,ROUND(IF('Advanced Entry'!R$8="Decrease Risk",10-10*((IF('Advanced Entry'!R$5="Logarithm",LN(0.001+'Advanced Entry'!R143),IF('Advanced Entry'!R$5="Exponential",EXP('Advanced Entry'!R143),'Advanced Entry'!R143)))-'Advanced Entry'!R$6)/('Advanced Entry'!R$7-'Advanced Entry'!R$6),10*((IF('Advanced Entry'!R$5="Logarithm",LN(0.001+'Advanced Entry'!R143),IF('Advanced Entry'!R$5="Exponential",EXP('Advanced Entry'!R143),'Advanced Entry'!R143)))-'Advanced Entry'!R$6)/('Advanced Entry'!R$7-'Advanced Entry'!R$6)),1))),"No data"))</f>
        <v/>
      </c>
      <c r="S143" s="17">
        <f>IF('Advanced Entry'!S143="","",IFERROR(MAX(0,MIN(10,ROUND(IF('Advanced Entry'!S$8="Decrease Risk",10-10*((IF('Advanced Entry'!S$5="Logarithm",LN(0.001+'Advanced Entry'!S143),IF('Advanced Entry'!S$5="Exponential",EXP('Advanced Entry'!S143),'Advanced Entry'!S143)))-'Advanced Entry'!S$6)/('Advanced Entry'!S$7-'Advanced Entry'!S$6),10*((IF('Advanced Entry'!S$5="Logarithm",LN(0.001+'Advanced Entry'!S143),IF('Advanced Entry'!S$5="Exponential",EXP('Advanced Entry'!S143),'Advanced Entry'!S143)))-'Advanced Entry'!S$6)/('Advanced Entry'!S$7-'Advanced Entry'!S$6)),1))),"No data"))</f>
        <v/>
      </c>
      <c r="T143" s="17">
        <f>IF('Advanced Entry'!T143="","",IFERROR(MAX(0,MIN(10,ROUND(IF('Advanced Entry'!T$8="Decrease Risk",10-10*((IF('Advanced Entry'!T$5="Logarithm",LN(0.001+'Advanced Entry'!T143),IF('Advanced Entry'!T$5="Exponential",EXP('Advanced Entry'!T143),'Advanced Entry'!T143)))-'Advanced Entry'!T$6)/('Advanced Entry'!T$7-'Advanced Entry'!T$6),10*((IF('Advanced Entry'!T$5="Logarithm",LN(0.001+'Advanced Entry'!T143),IF('Advanced Entry'!T$5="Exponential",EXP('Advanced Entry'!T143),'Advanced Entry'!T143)))-'Advanced Entry'!T$6)/('Advanced Entry'!T$7-'Advanced Entry'!T$6)),1))),"No data"))</f>
        <v/>
      </c>
      <c r="U143" s="17">
        <f>IF('Advanced Entry'!U143="","",IFERROR(MAX(0,MIN(10,ROUND(IF('Advanced Entry'!U$8="Decrease Risk",10-10*((IF('Advanced Entry'!U$5="Logarithm",LN(0.001+'Advanced Entry'!U143),IF('Advanced Entry'!U$5="Exponential",EXP('Advanced Entry'!U143),'Advanced Entry'!U143)))-'Advanced Entry'!U$6)/('Advanced Entry'!U$7-'Advanced Entry'!U$6),10*((IF('Advanced Entry'!U$5="Logarithm",LN(0.001+'Advanced Entry'!U143),IF('Advanced Entry'!U$5="Exponential",EXP('Advanced Entry'!U143),'Advanced Entry'!U143)))-'Advanced Entry'!U$6)/('Advanced Entry'!U$7-'Advanced Entry'!U$6)),1))),"No data"))</f>
        <v/>
      </c>
      <c r="V143" s="17">
        <f>IF('Advanced Entry'!V143="","",IFERROR(MAX(0,MIN(10,ROUND(IF('Advanced Entry'!V$8="Decrease Risk",10-10*((IF('Advanced Entry'!V$5="Logarithm",LN(0.001+'Advanced Entry'!V143),IF('Advanced Entry'!V$5="Exponential",EXP('Advanced Entry'!V143),'Advanced Entry'!V143)))-'Advanced Entry'!V$6)/('Advanced Entry'!V$7-'Advanced Entry'!V$6),10*((IF('Advanced Entry'!V$5="Logarithm",LN(0.001+'Advanced Entry'!V143),IF('Advanced Entry'!V$5="Exponential",EXP('Advanced Entry'!V143),'Advanced Entry'!V143)))-'Advanced Entry'!V$6)/('Advanced Entry'!V$7-'Advanced Entry'!V$6)),1))),"No data"))</f>
        <v/>
      </c>
      <c r="W143" s="17">
        <f>IF('Advanced Entry'!W143="","",IFERROR(MAX(0,MIN(10,ROUND(IF('Advanced Entry'!W$8="Decrease Risk",10-10*((IF('Advanced Entry'!W$5="Logarithm",LN(0.001+'Advanced Entry'!W143),IF('Advanced Entry'!W$5="Exponential",EXP('Advanced Entry'!W143),'Advanced Entry'!W143)))-'Advanced Entry'!W$6)/('Advanced Entry'!W$7-'Advanced Entry'!W$6),10*((IF('Advanced Entry'!W$5="Logarithm",LN(0.001+'Advanced Entry'!W143),IF('Advanced Entry'!W$5="Exponential",EXP('Advanced Entry'!W143),'Advanced Entry'!W143)))-'Advanced Entry'!W$6)/('Advanced Entry'!W$7-'Advanced Entry'!W$6)),1))),"No data"))</f>
        <v/>
      </c>
      <c r="X143" s="17">
        <f>IF('Advanced Entry'!X143="","",IFERROR(MAX(0,MIN(10,ROUND(IF('Advanced Entry'!X$8="Decrease Risk",10-10*((IF('Advanced Entry'!X$5="Logarithm",LN(0.001+'Advanced Entry'!X143),IF('Advanced Entry'!X$5="Exponential",EXP('Advanced Entry'!X143),'Advanced Entry'!X143)))-'Advanced Entry'!X$6)/('Advanced Entry'!X$7-'Advanced Entry'!X$6),10*((IF('Advanced Entry'!X$5="Logarithm",LN(0.001+'Advanced Entry'!X143),IF('Advanced Entry'!X$5="Exponential",EXP('Advanced Entry'!X143),'Advanced Entry'!X143)))-'Advanced Entry'!X$6)/('Advanced Entry'!X$7-'Advanced Entry'!X$6)),1))),"No data"))</f>
        <v/>
      </c>
      <c r="Y143" s="17">
        <f>IF('Advanced Entry'!Y143="","",IFERROR(MAX(0,MIN(10,ROUND(IF('Advanced Entry'!Y$8="Decrease Risk",10-10*((IF('Advanced Entry'!Y$5="Logarithm",LN(0.001+'Advanced Entry'!Y143),IF('Advanced Entry'!Y$5="Exponential",EXP('Advanced Entry'!Y143),'Advanced Entry'!Y143)))-'Advanced Entry'!Y$6)/('Advanced Entry'!Y$7-'Advanced Entry'!Y$6),10*((IF('Advanced Entry'!Y$5="Logarithm",LN(0.001+'Advanced Entry'!Y143),IF('Advanced Entry'!Y$5="Exponential",EXP('Advanced Entry'!Y143),'Advanced Entry'!Y143)))-'Advanced Entry'!Y$6)/('Advanced Entry'!Y$7-'Advanced Entry'!Y$6)),1))),"No data"))</f>
        <v/>
      </c>
      <c r="Z143" s="17">
        <f>IF('Advanced Entry'!Z143="","",IFERROR(MAX(0,MIN(10,ROUND(IF('Advanced Entry'!Z$8="Decrease Risk",10-10*((IF('Advanced Entry'!Z$5="Logarithm",LN(0.001+'Advanced Entry'!Z143),IF('Advanced Entry'!Z$5="Exponential",EXP('Advanced Entry'!Z143),'Advanced Entry'!Z143)))-'Advanced Entry'!Z$6)/('Advanced Entry'!Z$7-'Advanced Entry'!Z$6),10*((IF('Advanced Entry'!Z$5="Logarithm",LN(0.001+'Advanced Entry'!Z143),IF('Advanced Entry'!Z$5="Exponential",EXP('Advanced Entry'!Z143),'Advanced Entry'!Z143)))-'Advanced Entry'!Z$6)/('Advanced Entry'!Z$7-'Advanced Entry'!Z$6)),1))),"No data"))</f>
        <v/>
      </c>
      <c r="AA143" s="17">
        <f>IF('Advanced Entry'!AA143="","",IFERROR(MAX(0,MIN(10,ROUND(IF('Advanced Entry'!AA$8="Decrease Risk",10-10*((IF('Advanced Entry'!AA$5="Logarithm",LN(0.001+'Advanced Entry'!AA143),IF('Advanced Entry'!AA$5="Exponential",EXP('Advanced Entry'!AA143),'Advanced Entry'!AA143)))-'Advanced Entry'!AA$6)/('Advanced Entry'!AA$7-'Advanced Entry'!AA$6),10*((IF('Advanced Entry'!AA$5="Logarithm",LN(0.001+'Advanced Entry'!AA143),IF('Advanced Entry'!AA$5="Exponential",EXP('Advanced Entry'!AA143),'Advanced Entry'!AA143)))-'Advanced Entry'!AA$6)/('Advanced Entry'!AA$7-'Advanced Entry'!AA$6)),1))),"No data"))</f>
        <v/>
      </c>
      <c r="AB143" s="17">
        <f>IF('Advanced Entry'!AB143="","",IFERROR(MAX(0,MIN(10,ROUND(IF('Advanced Entry'!AB$8="Decrease Risk",10-10*((IF('Advanced Entry'!AB$5="Logarithm",LN(0.001+'Advanced Entry'!AB143),IF('Advanced Entry'!AB$5="Exponential",EXP('Advanced Entry'!AB143),'Advanced Entry'!AB143)))-'Advanced Entry'!AB$6)/('Advanced Entry'!AB$7-'Advanced Entry'!AB$6),10*((IF('Advanced Entry'!AB$5="Logarithm",LN(0.001+'Advanced Entry'!AB143),IF('Advanced Entry'!AB$5="Exponential",EXP('Advanced Entry'!AB143),'Advanced Entry'!AB143)))-'Advanced Entry'!AB$6)/('Advanced Entry'!AB$7-'Advanced Entry'!AB$6)),1))),"No data"))</f>
        <v/>
      </c>
    </row>
    <row r="144">
      <c r="A144" t="inlineStr">
        <is>
          <t>Pwani</t>
        </is>
      </c>
      <c r="B144" t="inlineStr">
        <is>
          <t>Kibaha District</t>
        </is>
      </c>
      <c r="C144" t="inlineStr">
        <is>
          <t>C045</t>
        </is>
      </c>
      <c r="D144" s="17">
        <f>IF('Advanced Entry'!D144="","",IFERROR(MAX(0,MIN(10,ROUND(IF('Advanced Entry'!D$8="Decrease Risk",10-10*((IF('Advanced Entry'!D$5="Logarithm",LN(0.001+'Advanced Entry'!D144),IF('Advanced Entry'!D$5="Exponential",EXP('Advanced Entry'!D144),'Advanced Entry'!D144)))-'Advanced Entry'!D$6)/('Advanced Entry'!D$7-'Advanced Entry'!D$6),10*((IF('Advanced Entry'!D$5="Logarithm",LN(0.001+'Advanced Entry'!D144),IF('Advanced Entry'!D$5="Exponential",EXP('Advanced Entry'!D144),'Advanced Entry'!D144)))-'Advanced Entry'!D$6)/('Advanced Entry'!D$7-'Advanced Entry'!D$6)),1))),"No data"))</f>
        <v/>
      </c>
      <c r="E144" s="17">
        <f>IF('Advanced Entry'!E144="","",IFERROR(MAX(0,MIN(10,ROUND(IF('Advanced Entry'!E$8="Decrease Risk",10-10*((IF('Advanced Entry'!E$5="Logarithm",LN(0.001+'Advanced Entry'!E144),IF('Advanced Entry'!E$5="Exponential",EXP('Advanced Entry'!E144),'Advanced Entry'!E144)))-'Advanced Entry'!E$6)/('Advanced Entry'!E$7-'Advanced Entry'!E$6),10*((IF('Advanced Entry'!E$5="Logarithm",LN(0.001+'Advanced Entry'!E144),IF('Advanced Entry'!E$5="Exponential",EXP('Advanced Entry'!E144),'Advanced Entry'!E144)))-'Advanced Entry'!E$6)/('Advanced Entry'!E$7-'Advanced Entry'!E$6)),1))),"No data"))</f>
        <v/>
      </c>
      <c r="F144" s="17">
        <f>IF('Advanced Entry'!F144="","",IFERROR(MAX(0,MIN(10,ROUND(IF('Advanced Entry'!F$8="Decrease Risk",10-10*((IF('Advanced Entry'!F$5="Logarithm",LN(0.001+'Advanced Entry'!F144),IF('Advanced Entry'!F$5="Exponential",EXP('Advanced Entry'!F144),'Advanced Entry'!F144)))-'Advanced Entry'!F$6)/('Advanced Entry'!F$7-'Advanced Entry'!F$6),10*((IF('Advanced Entry'!F$5="Logarithm",LN(0.001+'Advanced Entry'!F144),IF('Advanced Entry'!F$5="Exponential",EXP('Advanced Entry'!F144),'Advanced Entry'!F144)))-'Advanced Entry'!F$6)/('Advanced Entry'!F$7-'Advanced Entry'!F$6)),1))),"No data"))</f>
        <v/>
      </c>
      <c r="G144" s="17">
        <f>IF('Advanced Entry'!G144="","",IFERROR(MAX(0,MIN(10,ROUND(IF('Advanced Entry'!G$8="Decrease Risk",10-10*((IF('Advanced Entry'!G$5="Logarithm",LN(0.001+'Advanced Entry'!G144),IF('Advanced Entry'!G$5="Exponential",EXP('Advanced Entry'!G144),'Advanced Entry'!G144)))-'Advanced Entry'!G$6)/('Advanced Entry'!G$7-'Advanced Entry'!G$6),10*((IF('Advanced Entry'!G$5="Logarithm",LN(0.001+'Advanced Entry'!G144),IF('Advanced Entry'!G$5="Exponential",EXP('Advanced Entry'!G144),'Advanced Entry'!G144)))-'Advanced Entry'!G$6)/('Advanced Entry'!G$7-'Advanced Entry'!G$6)),1))),"No data"))</f>
        <v/>
      </c>
      <c r="H144" s="17">
        <f>IF('Advanced Entry'!H144="","",IFERROR(MAX(0,MIN(10,ROUND(IF('Advanced Entry'!H$8="Decrease Risk",10-10*((IF('Advanced Entry'!H$5="Logarithm",LN(0.001+'Advanced Entry'!H144),IF('Advanced Entry'!H$5="Exponential",EXP('Advanced Entry'!H144),'Advanced Entry'!H144)))-'Advanced Entry'!H$6)/('Advanced Entry'!H$7-'Advanced Entry'!H$6),10*((IF('Advanced Entry'!H$5="Logarithm",LN(0.001+'Advanced Entry'!H144),IF('Advanced Entry'!H$5="Exponential",EXP('Advanced Entry'!H144),'Advanced Entry'!H144)))-'Advanced Entry'!H$6)/('Advanced Entry'!H$7-'Advanced Entry'!H$6)),1))),"No data"))</f>
        <v/>
      </c>
      <c r="I144" s="17">
        <f>IF('Advanced Entry'!I144="","",IFERROR(MAX(0,MIN(10,ROUND(IF('Advanced Entry'!I$8="Decrease Risk",10-10*((IF('Advanced Entry'!I$5="Logarithm",LN(0.001+'Advanced Entry'!I144),IF('Advanced Entry'!I$5="Exponential",EXP('Advanced Entry'!I144),'Advanced Entry'!I144)))-'Advanced Entry'!I$6)/('Advanced Entry'!I$7-'Advanced Entry'!I$6),10*((IF('Advanced Entry'!I$5="Logarithm",LN(0.001+'Advanced Entry'!I144),IF('Advanced Entry'!I$5="Exponential",EXP('Advanced Entry'!I144),'Advanced Entry'!I144)))-'Advanced Entry'!I$6)/('Advanced Entry'!I$7-'Advanced Entry'!I$6)),1))),"No data"))</f>
        <v/>
      </c>
      <c r="J144" s="17">
        <f>IF('Advanced Entry'!J144="","",IFERROR(MAX(0,MIN(10,ROUND(IF('Advanced Entry'!J$8="Decrease Risk",10-10*((IF('Advanced Entry'!J$5="Logarithm",LN(0.001+'Advanced Entry'!J144),IF('Advanced Entry'!J$5="Exponential",EXP('Advanced Entry'!J144),'Advanced Entry'!J144)))-'Advanced Entry'!J$6)/('Advanced Entry'!J$7-'Advanced Entry'!J$6),10*((IF('Advanced Entry'!J$5="Logarithm",LN(0.001+'Advanced Entry'!J144),IF('Advanced Entry'!J$5="Exponential",EXP('Advanced Entry'!J144),'Advanced Entry'!J144)))-'Advanced Entry'!J$6)/('Advanced Entry'!J$7-'Advanced Entry'!J$6)),1))),"No data"))</f>
        <v/>
      </c>
      <c r="K144" s="17">
        <f>IF('Advanced Entry'!K144="","",IFERROR(MAX(0,MIN(10,ROUND(IF('Advanced Entry'!K$8="Decrease Risk",10-10*((IF('Advanced Entry'!K$5="Logarithm",LN(0.001+'Advanced Entry'!K144),IF('Advanced Entry'!K$5="Exponential",EXP('Advanced Entry'!K144),'Advanced Entry'!K144)))-'Advanced Entry'!K$6)/('Advanced Entry'!K$7-'Advanced Entry'!K$6),10*((IF('Advanced Entry'!K$5="Logarithm",LN(0.001+'Advanced Entry'!K144),IF('Advanced Entry'!K$5="Exponential",EXP('Advanced Entry'!K144),'Advanced Entry'!K144)))-'Advanced Entry'!K$6)/('Advanced Entry'!K$7-'Advanced Entry'!K$6)),1))),"No data"))</f>
        <v/>
      </c>
      <c r="L144" s="17">
        <f>IF('Advanced Entry'!L144="","",IFERROR(MAX(0,MIN(10,ROUND(IF('Advanced Entry'!L$8="Decrease Risk",10-10*((IF('Advanced Entry'!L$5="Logarithm",LN(0.001+'Advanced Entry'!L144),IF('Advanced Entry'!L$5="Exponential",EXP('Advanced Entry'!L144),'Advanced Entry'!L144)))-'Advanced Entry'!L$6)/('Advanced Entry'!L$7-'Advanced Entry'!L$6),10*((IF('Advanced Entry'!L$5="Logarithm",LN(0.001+'Advanced Entry'!L144),IF('Advanced Entry'!L$5="Exponential",EXP('Advanced Entry'!L144),'Advanced Entry'!L144)))-'Advanced Entry'!L$6)/('Advanced Entry'!L$7-'Advanced Entry'!L$6)),1))),"No data"))</f>
        <v/>
      </c>
      <c r="M144" s="17">
        <f>IF('Advanced Entry'!M144="","",IFERROR(MAX(0,MIN(10,ROUND(IF('Advanced Entry'!M$8="Decrease Risk",10-10*((IF('Advanced Entry'!M$5="Logarithm",LN(0.001+'Advanced Entry'!M144),IF('Advanced Entry'!M$5="Exponential",EXP('Advanced Entry'!M144),'Advanced Entry'!M144)))-'Advanced Entry'!M$6)/('Advanced Entry'!M$7-'Advanced Entry'!M$6),10*((IF('Advanced Entry'!M$5="Logarithm",LN(0.001+'Advanced Entry'!M144),IF('Advanced Entry'!M$5="Exponential",EXP('Advanced Entry'!M144),'Advanced Entry'!M144)))-'Advanced Entry'!M$6)/('Advanced Entry'!M$7-'Advanced Entry'!M$6)),1))),"No data"))</f>
        <v/>
      </c>
      <c r="N144" s="17">
        <f>IF('Advanced Entry'!N144="","",IFERROR(MAX(0,MIN(10,ROUND(IF('Advanced Entry'!N$8="Decrease Risk",10-10*((IF('Advanced Entry'!N$5="Logarithm",LN(0.001+'Advanced Entry'!N144),IF('Advanced Entry'!N$5="Exponential",EXP('Advanced Entry'!N144),'Advanced Entry'!N144)))-'Advanced Entry'!N$6)/('Advanced Entry'!N$7-'Advanced Entry'!N$6),10*((IF('Advanced Entry'!N$5="Logarithm",LN(0.001+'Advanced Entry'!N144),IF('Advanced Entry'!N$5="Exponential",EXP('Advanced Entry'!N144),'Advanced Entry'!N144)))-'Advanced Entry'!N$6)/('Advanced Entry'!N$7-'Advanced Entry'!N$6)),1))),"No data"))</f>
        <v/>
      </c>
      <c r="O144" s="17">
        <f>IF('Advanced Entry'!O144="","",IFERROR(MAX(0,MIN(10,ROUND(IF('Advanced Entry'!O$8="Decrease Risk",10-10*((IF('Advanced Entry'!O$5="Logarithm",LN(0.001+'Advanced Entry'!O144),IF('Advanced Entry'!O$5="Exponential",EXP('Advanced Entry'!O144),'Advanced Entry'!O144)))-'Advanced Entry'!O$6)/('Advanced Entry'!O$7-'Advanced Entry'!O$6),10*((IF('Advanced Entry'!O$5="Logarithm",LN(0.001+'Advanced Entry'!O144),IF('Advanced Entry'!O$5="Exponential",EXP('Advanced Entry'!O144),'Advanced Entry'!O144)))-'Advanced Entry'!O$6)/('Advanced Entry'!O$7-'Advanced Entry'!O$6)),1))),"No data"))</f>
        <v/>
      </c>
      <c r="P144" s="17">
        <f>IF('Advanced Entry'!P144="","",IFERROR(MAX(0,MIN(10,ROUND(IF('Advanced Entry'!P$8="Decrease Risk",10-10*((IF('Advanced Entry'!P$5="Logarithm",LN(0.001+'Advanced Entry'!P144),IF('Advanced Entry'!P$5="Exponential",EXP('Advanced Entry'!P144),'Advanced Entry'!P144)))-'Advanced Entry'!P$6)/('Advanced Entry'!P$7-'Advanced Entry'!P$6),10*((IF('Advanced Entry'!P$5="Logarithm",LN(0.001+'Advanced Entry'!P144),IF('Advanced Entry'!P$5="Exponential",EXP('Advanced Entry'!P144),'Advanced Entry'!P144)))-'Advanced Entry'!P$6)/('Advanced Entry'!P$7-'Advanced Entry'!P$6)),1))),"No data"))</f>
        <v/>
      </c>
      <c r="Q144" s="17">
        <f>IF('Advanced Entry'!Q144="","",IFERROR(MAX(0,MIN(10,ROUND(IF('Advanced Entry'!Q$8="Decrease Risk",10-10*((IF('Advanced Entry'!Q$5="Logarithm",LN(0.001+'Advanced Entry'!Q144),IF('Advanced Entry'!Q$5="Exponential",EXP('Advanced Entry'!Q144),'Advanced Entry'!Q144)))-'Advanced Entry'!Q$6)/('Advanced Entry'!Q$7-'Advanced Entry'!Q$6),10*((IF('Advanced Entry'!Q$5="Logarithm",LN(0.001+'Advanced Entry'!Q144),IF('Advanced Entry'!Q$5="Exponential",EXP('Advanced Entry'!Q144),'Advanced Entry'!Q144)))-'Advanced Entry'!Q$6)/('Advanced Entry'!Q$7-'Advanced Entry'!Q$6)),1))),"No data"))</f>
        <v/>
      </c>
      <c r="R144" s="17">
        <f>IF('Advanced Entry'!R144="","",IFERROR(MAX(0,MIN(10,ROUND(IF('Advanced Entry'!R$8="Decrease Risk",10-10*((IF('Advanced Entry'!R$5="Logarithm",LN(0.001+'Advanced Entry'!R144),IF('Advanced Entry'!R$5="Exponential",EXP('Advanced Entry'!R144),'Advanced Entry'!R144)))-'Advanced Entry'!R$6)/('Advanced Entry'!R$7-'Advanced Entry'!R$6),10*((IF('Advanced Entry'!R$5="Logarithm",LN(0.001+'Advanced Entry'!R144),IF('Advanced Entry'!R$5="Exponential",EXP('Advanced Entry'!R144),'Advanced Entry'!R144)))-'Advanced Entry'!R$6)/('Advanced Entry'!R$7-'Advanced Entry'!R$6)),1))),"No data"))</f>
        <v/>
      </c>
      <c r="S144" s="17">
        <f>IF('Advanced Entry'!S144="","",IFERROR(MAX(0,MIN(10,ROUND(IF('Advanced Entry'!S$8="Decrease Risk",10-10*((IF('Advanced Entry'!S$5="Logarithm",LN(0.001+'Advanced Entry'!S144),IF('Advanced Entry'!S$5="Exponential",EXP('Advanced Entry'!S144),'Advanced Entry'!S144)))-'Advanced Entry'!S$6)/('Advanced Entry'!S$7-'Advanced Entry'!S$6),10*((IF('Advanced Entry'!S$5="Logarithm",LN(0.001+'Advanced Entry'!S144),IF('Advanced Entry'!S$5="Exponential",EXP('Advanced Entry'!S144),'Advanced Entry'!S144)))-'Advanced Entry'!S$6)/('Advanced Entry'!S$7-'Advanced Entry'!S$6)),1))),"No data"))</f>
        <v/>
      </c>
      <c r="T144" s="17">
        <f>IF('Advanced Entry'!T144="","",IFERROR(MAX(0,MIN(10,ROUND(IF('Advanced Entry'!T$8="Decrease Risk",10-10*((IF('Advanced Entry'!T$5="Logarithm",LN(0.001+'Advanced Entry'!T144),IF('Advanced Entry'!T$5="Exponential",EXP('Advanced Entry'!T144),'Advanced Entry'!T144)))-'Advanced Entry'!T$6)/('Advanced Entry'!T$7-'Advanced Entry'!T$6),10*((IF('Advanced Entry'!T$5="Logarithm",LN(0.001+'Advanced Entry'!T144),IF('Advanced Entry'!T$5="Exponential",EXP('Advanced Entry'!T144),'Advanced Entry'!T144)))-'Advanced Entry'!T$6)/('Advanced Entry'!T$7-'Advanced Entry'!T$6)),1))),"No data"))</f>
        <v/>
      </c>
      <c r="U144" s="17">
        <f>IF('Advanced Entry'!U144="","",IFERROR(MAX(0,MIN(10,ROUND(IF('Advanced Entry'!U$8="Decrease Risk",10-10*((IF('Advanced Entry'!U$5="Logarithm",LN(0.001+'Advanced Entry'!U144),IF('Advanced Entry'!U$5="Exponential",EXP('Advanced Entry'!U144),'Advanced Entry'!U144)))-'Advanced Entry'!U$6)/('Advanced Entry'!U$7-'Advanced Entry'!U$6),10*((IF('Advanced Entry'!U$5="Logarithm",LN(0.001+'Advanced Entry'!U144),IF('Advanced Entry'!U$5="Exponential",EXP('Advanced Entry'!U144),'Advanced Entry'!U144)))-'Advanced Entry'!U$6)/('Advanced Entry'!U$7-'Advanced Entry'!U$6)),1))),"No data"))</f>
        <v/>
      </c>
      <c r="V144" s="17">
        <f>IF('Advanced Entry'!V144="","",IFERROR(MAX(0,MIN(10,ROUND(IF('Advanced Entry'!V$8="Decrease Risk",10-10*((IF('Advanced Entry'!V$5="Logarithm",LN(0.001+'Advanced Entry'!V144),IF('Advanced Entry'!V$5="Exponential",EXP('Advanced Entry'!V144),'Advanced Entry'!V144)))-'Advanced Entry'!V$6)/('Advanced Entry'!V$7-'Advanced Entry'!V$6),10*((IF('Advanced Entry'!V$5="Logarithm",LN(0.001+'Advanced Entry'!V144),IF('Advanced Entry'!V$5="Exponential",EXP('Advanced Entry'!V144),'Advanced Entry'!V144)))-'Advanced Entry'!V$6)/('Advanced Entry'!V$7-'Advanced Entry'!V$6)),1))),"No data"))</f>
        <v/>
      </c>
      <c r="W144" s="17">
        <f>IF('Advanced Entry'!W144="","",IFERROR(MAX(0,MIN(10,ROUND(IF('Advanced Entry'!W$8="Decrease Risk",10-10*((IF('Advanced Entry'!W$5="Logarithm",LN(0.001+'Advanced Entry'!W144),IF('Advanced Entry'!W$5="Exponential",EXP('Advanced Entry'!W144),'Advanced Entry'!W144)))-'Advanced Entry'!W$6)/('Advanced Entry'!W$7-'Advanced Entry'!W$6),10*((IF('Advanced Entry'!W$5="Logarithm",LN(0.001+'Advanced Entry'!W144),IF('Advanced Entry'!W$5="Exponential",EXP('Advanced Entry'!W144),'Advanced Entry'!W144)))-'Advanced Entry'!W$6)/('Advanced Entry'!W$7-'Advanced Entry'!W$6)),1))),"No data"))</f>
        <v/>
      </c>
      <c r="X144" s="17">
        <f>IF('Advanced Entry'!X144="","",IFERROR(MAX(0,MIN(10,ROUND(IF('Advanced Entry'!X$8="Decrease Risk",10-10*((IF('Advanced Entry'!X$5="Logarithm",LN(0.001+'Advanced Entry'!X144),IF('Advanced Entry'!X$5="Exponential",EXP('Advanced Entry'!X144),'Advanced Entry'!X144)))-'Advanced Entry'!X$6)/('Advanced Entry'!X$7-'Advanced Entry'!X$6),10*((IF('Advanced Entry'!X$5="Logarithm",LN(0.001+'Advanced Entry'!X144),IF('Advanced Entry'!X$5="Exponential",EXP('Advanced Entry'!X144),'Advanced Entry'!X144)))-'Advanced Entry'!X$6)/('Advanced Entry'!X$7-'Advanced Entry'!X$6)),1))),"No data"))</f>
        <v/>
      </c>
      <c r="Y144" s="17">
        <f>IF('Advanced Entry'!Y144="","",IFERROR(MAX(0,MIN(10,ROUND(IF('Advanced Entry'!Y$8="Decrease Risk",10-10*((IF('Advanced Entry'!Y$5="Logarithm",LN(0.001+'Advanced Entry'!Y144),IF('Advanced Entry'!Y$5="Exponential",EXP('Advanced Entry'!Y144),'Advanced Entry'!Y144)))-'Advanced Entry'!Y$6)/('Advanced Entry'!Y$7-'Advanced Entry'!Y$6),10*((IF('Advanced Entry'!Y$5="Logarithm",LN(0.001+'Advanced Entry'!Y144),IF('Advanced Entry'!Y$5="Exponential",EXP('Advanced Entry'!Y144),'Advanced Entry'!Y144)))-'Advanced Entry'!Y$6)/('Advanced Entry'!Y$7-'Advanced Entry'!Y$6)),1))),"No data"))</f>
        <v/>
      </c>
      <c r="Z144" s="17">
        <f>IF('Advanced Entry'!Z144="","",IFERROR(MAX(0,MIN(10,ROUND(IF('Advanced Entry'!Z$8="Decrease Risk",10-10*((IF('Advanced Entry'!Z$5="Logarithm",LN(0.001+'Advanced Entry'!Z144),IF('Advanced Entry'!Z$5="Exponential",EXP('Advanced Entry'!Z144),'Advanced Entry'!Z144)))-'Advanced Entry'!Z$6)/('Advanced Entry'!Z$7-'Advanced Entry'!Z$6),10*((IF('Advanced Entry'!Z$5="Logarithm",LN(0.001+'Advanced Entry'!Z144),IF('Advanced Entry'!Z$5="Exponential",EXP('Advanced Entry'!Z144),'Advanced Entry'!Z144)))-'Advanced Entry'!Z$6)/('Advanced Entry'!Z$7-'Advanced Entry'!Z$6)),1))),"No data"))</f>
        <v/>
      </c>
      <c r="AA144" s="17">
        <f>IF('Advanced Entry'!AA144="","",IFERROR(MAX(0,MIN(10,ROUND(IF('Advanced Entry'!AA$8="Decrease Risk",10-10*((IF('Advanced Entry'!AA$5="Logarithm",LN(0.001+'Advanced Entry'!AA144),IF('Advanced Entry'!AA$5="Exponential",EXP('Advanced Entry'!AA144),'Advanced Entry'!AA144)))-'Advanced Entry'!AA$6)/('Advanced Entry'!AA$7-'Advanced Entry'!AA$6),10*((IF('Advanced Entry'!AA$5="Logarithm",LN(0.001+'Advanced Entry'!AA144),IF('Advanced Entry'!AA$5="Exponential",EXP('Advanced Entry'!AA144),'Advanced Entry'!AA144)))-'Advanced Entry'!AA$6)/('Advanced Entry'!AA$7-'Advanced Entry'!AA$6)),1))),"No data"))</f>
        <v/>
      </c>
      <c r="AB144" s="17">
        <f>IF('Advanced Entry'!AB144="","",IFERROR(MAX(0,MIN(10,ROUND(IF('Advanced Entry'!AB$8="Decrease Risk",10-10*((IF('Advanced Entry'!AB$5="Logarithm",LN(0.001+'Advanced Entry'!AB144),IF('Advanced Entry'!AB$5="Exponential",EXP('Advanced Entry'!AB144),'Advanced Entry'!AB144)))-'Advanced Entry'!AB$6)/('Advanced Entry'!AB$7-'Advanced Entry'!AB$6),10*((IF('Advanced Entry'!AB$5="Logarithm",LN(0.001+'Advanced Entry'!AB144),IF('Advanced Entry'!AB$5="Exponential",EXP('Advanced Entry'!AB144),'Advanced Entry'!AB144)))-'Advanced Entry'!AB$6)/('Advanced Entry'!AB$7-'Advanced Entry'!AB$6)),1))),"No data"))</f>
        <v/>
      </c>
    </row>
    <row r="145">
      <c r="A145" t="inlineStr">
        <is>
          <t>Pwani</t>
        </is>
      </c>
      <c r="B145" t="inlineStr">
        <is>
          <t>Kibaha Town</t>
        </is>
      </c>
      <c r="C145" t="inlineStr">
        <is>
          <t>C046</t>
        </is>
      </c>
      <c r="D145" s="17">
        <f>IF('Advanced Entry'!D145="","",IFERROR(MAX(0,MIN(10,ROUND(IF('Advanced Entry'!D$8="Decrease Risk",10-10*((IF('Advanced Entry'!D$5="Logarithm",LN(0.001+'Advanced Entry'!D145),IF('Advanced Entry'!D$5="Exponential",EXP('Advanced Entry'!D145),'Advanced Entry'!D145)))-'Advanced Entry'!D$6)/('Advanced Entry'!D$7-'Advanced Entry'!D$6),10*((IF('Advanced Entry'!D$5="Logarithm",LN(0.001+'Advanced Entry'!D145),IF('Advanced Entry'!D$5="Exponential",EXP('Advanced Entry'!D145),'Advanced Entry'!D145)))-'Advanced Entry'!D$6)/('Advanced Entry'!D$7-'Advanced Entry'!D$6)),1))),"No data"))</f>
        <v/>
      </c>
      <c r="E145" s="17">
        <f>IF('Advanced Entry'!E145="","",IFERROR(MAX(0,MIN(10,ROUND(IF('Advanced Entry'!E$8="Decrease Risk",10-10*((IF('Advanced Entry'!E$5="Logarithm",LN(0.001+'Advanced Entry'!E145),IF('Advanced Entry'!E$5="Exponential",EXP('Advanced Entry'!E145),'Advanced Entry'!E145)))-'Advanced Entry'!E$6)/('Advanced Entry'!E$7-'Advanced Entry'!E$6),10*((IF('Advanced Entry'!E$5="Logarithm",LN(0.001+'Advanced Entry'!E145),IF('Advanced Entry'!E$5="Exponential",EXP('Advanced Entry'!E145),'Advanced Entry'!E145)))-'Advanced Entry'!E$6)/('Advanced Entry'!E$7-'Advanced Entry'!E$6)),1))),"No data"))</f>
        <v/>
      </c>
      <c r="F145" s="17">
        <f>IF('Advanced Entry'!F145="","",IFERROR(MAX(0,MIN(10,ROUND(IF('Advanced Entry'!F$8="Decrease Risk",10-10*((IF('Advanced Entry'!F$5="Logarithm",LN(0.001+'Advanced Entry'!F145),IF('Advanced Entry'!F$5="Exponential",EXP('Advanced Entry'!F145),'Advanced Entry'!F145)))-'Advanced Entry'!F$6)/('Advanced Entry'!F$7-'Advanced Entry'!F$6),10*((IF('Advanced Entry'!F$5="Logarithm",LN(0.001+'Advanced Entry'!F145),IF('Advanced Entry'!F$5="Exponential",EXP('Advanced Entry'!F145),'Advanced Entry'!F145)))-'Advanced Entry'!F$6)/('Advanced Entry'!F$7-'Advanced Entry'!F$6)),1))),"No data"))</f>
        <v/>
      </c>
      <c r="G145" s="17">
        <f>IF('Advanced Entry'!G145="","",IFERROR(MAX(0,MIN(10,ROUND(IF('Advanced Entry'!G$8="Decrease Risk",10-10*((IF('Advanced Entry'!G$5="Logarithm",LN(0.001+'Advanced Entry'!G145),IF('Advanced Entry'!G$5="Exponential",EXP('Advanced Entry'!G145),'Advanced Entry'!G145)))-'Advanced Entry'!G$6)/('Advanced Entry'!G$7-'Advanced Entry'!G$6),10*((IF('Advanced Entry'!G$5="Logarithm",LN(0.001+'Advanced Entry'!G145),IF('Advanced Entry'!G$5="Exponential",EXP('Advanced Entry'!G145),'Advanced Entry'!G145)))-'Advanced Entry'!G$6)/('Advanced Entry'!G$7-'Advanced Entry'!G$6)),1))),"No data"))</f>
        <v/>
      </c>
      <c r="H145" s="17">
        <f>IF('Advanced Entry'!H145="","",IFERROR(MAX(0,MIN(10,ROUND(IF('Advanced Entry'!H$8="Decrease Risk",10-10*((IF('Advanced Entry'!H$5="Logarithm",LN(0.001+'Advanced Entry'!H145),IF('Advanced Entry'!H$5="Exponential",EXP('Advanced Entry'!H145),'Advanced Entry'!H145)))-'Advanced Entry'!H$6)/('Advanced Entry'!H$7-'Advanced Entry'!H$6),10*((IF('Advanced Entry'!H$5="Logarithm",LN(0.001+'Advanced Entry'!H145),IF('Advanced Entry'!H$5="Exponential",EXP('Advanced Entry'!H145),'Advanced Entry'!H145)))-'Advanced Entry'!H$6)/('Advanced Entry'!H$7-'Advanced Entry'!H$6)),1))),"No data"))</f>
        <v/>
      </c>
      <c r="I145" s="17">
        <f>IF('Advanced Entry'!I145="","",IFERROR(MAX(0,MIN(10,ROUND(IF('Advanced Entry'!I$8="Decrease Risk",10-10*((IF('Advanced Entry'!I$5="Logarithm",LN(0.001+'Advanced Entry'!I145),IF('Advanced Entry'!I$5="Exponential",EXP('Advanced Entry'!I145),'Advanced Entry'!I145)))-'Advanced Entry'!I$6)/('Advanced Entry'!I$7-'Advanced Entry'!I$6),10*((IF('Advanced Entry'!I$5="Logarithm",LN(0.001+'Advanced Entry'!I145),IF('Advanced Entry'!I$5="Exponential",EXP('Advanced Entry'!I145),'Advanced Entry'!I145)))-'Advanced Entry'!I$6)/('Advanced Entry'!I$7-'Advanced Entry'!I$6)),1))),"No data"))</f>
        <v/>
      </c>
      <c r="J145" s="17">
        <f>IF('Advanced Entry'!J145="","",IFERROR(MAX(0,MIN(10,ROUND(IF('Advanced Entry'!J$8="Decrease Risk",10-10*((IF('Advanced Entry'!J$5="Logarithm",LN(0.001+'Advanced Entry'!J145),IF('Advanced Entry'!J$5="Exponential",EXP('Advanced Entry'!J145),'Advanced Entry'!J145)))-'Advanced Entry'!J$6)/('Advanced Entry'!J$7-'Advanced Entry'!J$6),10*((IF('Advanced Entry'!J$5="Logarithm",LN(0.001+'Advanced Entry'!J145),IF('Advanced Entry'!J$5="Exponential",EXP('Advanced Entry'!J145),'Advanced Entry'!J145)))-'Advanced Entry'!J$6)/('Advanced Entry'!J$7-'Advanced Entry'!J$6)),1))),"No data"))</f>
        <v/>
      </c>
      <c r="K145" s="17">
        <f>IF('Advanced Entry'!K145="","",IFERROR(MAX(0,MIN(10,ROUND(IF('Advanced Entry'!K$8="Decrease Risk",10-10*((IF('Advanced Entry'!K$5="Logarithm",LN(0.001+'Advanced Entry'!K145),IF('Advanced Entry'!K$5="Exponential",EXP('Advanced Entry'!K145),'Advanced Entry'!K145)))-'Advanced Entry'!K$6)/('Advanced Entry'!K$7-'Advanced Entry'!K$6),10*((IF('Advanced Entry'!K$5="Logarithm",LN(0.001+'Advanced Entry'!K145),IF('Advanced Entry'!K$5="Exponential",EXP('Advanced Entry'!K145),'Advanced Entry'!K145)))-'Advanced Entry'!K$6)/('Advanced Entry'!K$7-'Advanced Entry'!K$6)),1))),"No data"))</f>
        <v/>
      </c>
      <c r="L145" s="17">
        <f>IF('Advanced Entry'!L145="","",IFERROR(MAX(0,MIN(10,ROUND(IF('Advanced Entry'!L$8="Decrease Risk",10-10*((IF('Advanced Entry'!L$5="Logarithm",LN(0.001+'Advanced Entry'!L145),IF('Advanced Entry'!L$5="Exponential",EXP('Advanced Entry'!L145),'Advanced Entry'!L145)))-'Advanced Entry'!L$6)/('Advanced Entry'!L$7-'Advanced Entry'!L$6),10*((IF('Advanced Entry'!L$5="Logarithm",LN(0.001+'Advanced Entry'!L145),IF('Advanced Entry'!L$5="Exponential",EXP('Advanced Entry'!L145),'Advanced Entry'!L145)))-'Advanced Entry'!L$6)/('Advanced Entry'!L$7-'Advanced Entry'!L$6)),1))),"No data"))</f>
        <v/>
      </c>
      <c r="M145" s="17">
        <f>IF('Advanced Entry'!M145="","",IFERROR(MAX(0,MIN(10,ROUND(IF('Advanced Entry'!M$8="Decrease Risk",10-10*((IF('Advanced Entry'!M$5="Logarithm",LN(0.001+'Advanced Entry'!M145),IF('Advanced Entry'!M$5="Exponential",EXP('Advanced Entry'!M145),'Advanced Entry'!M145)))-'Advanced Entry'!M$6)/('Advanced Entry'!M$7-'Advanced Entry'!M$6),10*((IF('Advanced Entry'!M$5="Logarithm",LN(0.001+'Advanced Entry'!M145),IF('Advanced Entry'!M$5="Exponential",EXP('Advanced Entry'!M145),'Advanced Entry'!M145)))-'Advanced Entry'!M$6)/('Advanced Entry'!M$7-'Advanced Entry'!M$6)),1))),"No data"))</f>
        <v/>
      </c>
      <c r="N145" s="17">
        <f>IF('Advanced Entry'!N145="","",IFERROR(MAX(0,MIN(10,ROUND(IF('Advanced Entry'!N$8="Decrease Risk",10-10*((IF('Advanced Entry'!N$5="Logarithm",LN(0.001+'Advanced Entry'!N145),IF('Advanced Entry'!N$5="Exponential",EXP('Advanced Entry'!N145),'Advanced Entry'!N145)))-'Advanced Entry'!N$6)/('Advanced Entry'!N$7-'Advanced Entry'!N$6),10*((IF('Advanced Entry'!N$5="Logarithm",LN(0.001+'Advanced Entry'!N145),IF('Advanced Entry'!N$5="Exponential",EXP('Advanced Entry'!N145),'Advanced Entry'!N145)))-'Advanced Entry'!N$6)/('Advanced Entry'!N$7-'Advanced Entry'!N$6)),1))),"No data"))</f>
        <v/>
      </c>
      <c r="O145" s="17">
        <f>IF('Advanced Entry'!O145="","",IFERROR(MAX(0,MIN(10,ROUND(IF('Advanced Entry'!O$8="Decrease Risk",10-10*((IF('Advanced Entry'!O$5="Logarithm",LN(0.001+'Advanced Entry'!O145),IF('Advanced Entry'!O$5="Exponential",EXP('Advanced Entry'!O145),'Advanced Entry'!O145)))-'Advanced Entry'!O$6)/('Advanced Entry'!O$7-'Advanced Entry'!O$6),10*((IF('Advanced Entry'!O$5="Logarithm",LN(0.001+'Advanced Entry'!O145),IF('Advanced Entry'!O$5="Exponential",EXP('Advanced Entry'!O145),'Advanced Entry'!O145)))-'Advanced Entry'!O$6)/('Advanced Entry'!O$7-'Advanced Entry'!O$6)),1))),"No data"))</f>
        <v/>
      </c>
      <c r="P145" s="17">
        <f>IF('Advanced Entry'!P145="","",IFERROR(MAX(0,MIN(10,ROUND(IF('Advanced Entry'!P$8="Decrease Risk",10-10*((IF('Advanced Entry'!P$5="Logarithm",LN(0.001+'Advanced Entry'!P145),IF('Advanced Entry'!P$5="Exponential",EXP('Advanced Entry'!P145),'Advanced Entry'!P145)))-'Advanced Entry'!P$6)/('Advanced Entry'!P$7-'Advanced Entry'!P$6),10*((IF('Advanced Entry'!P$5="Logarithm",LN(0.001+'Advanced Entry'!P145),IF('Advanced Entry'!P$5="Exponential",EXP('Advanced Entry'!P145),'Advanced Entry'!P145)))-'Advanced Entry'!P$6)/('Advanced Entry'!P$7-'Advanced Entry'!P$6)),1))),"No data"))</f>
        <v/>
      </c>
      <c r="Q145" s="17">
        <f>IF('Advanced Entry'!Q145="","",IFERROR(MAX(0,MIN(10,ROUND(IF('Advanced Entry'!Q$8="Decrease Risk",10-10*((IF('Advanced Entry'!Q$5="Logarithm",LN(0.001+'Advanced Entry'!Q145),IF('Advanced Entry'!Q$5="Exponential",EXP('Advanced Entry'!Q145),'Advanced Entry'!Q145)))-'Advanced Entry'!Q$6)/('Advanced Entry'!Q$7-'Advanced Entry'!Q$6),10*((IF('Advanced Entry'!Q$5="Logarithm",LN(0.001+'Advanced Entry'!Q145),IF('Advanced Entry'!Q$5="Exponential",EXP('Advanced Entry'!Q145),'Advanced Entry'!Q145)))-'Advanced Entry'!Q$6)/('Advanced Entry'!Q$7-'Advanced Entry'!Q$6)),1))),"No data"))</f>
        <v/>
      </c>
      <c r="R145" s="17">
        <f>IF('Advanced Entry'!R145="","",IFERROR(MAX(0,MIN(10,ROUND(IF('Advanced Entry'!R$8="Decrease Risk",10-10*((IF('Advanced Entry'!R$5="Logarithm",LN(0.001+'Advanced Entry'!R145),IF('Advanced Entry'!R$5="Exponential",EXP('Advanced Entry'!R145),'Advanced Entry'!R145)))-'Advanced Entry'!R$6)/('Advanced Entry'!R$7-'Advanced Entry'!R$6),10*((IF('Advanced Entry'!R$5="Logarithm",LN(0.001+'Advanced Entry'!R145),IF('Advanced Entry'!R$5="Exponential",EXP('Advanced Entry'!R145),'Advanced Entry'!R145)))-'Advanced Entry'!R$6)/('Advanced Entry'!R$7-'Advanced Entry'!R$6)),1))),"No data"))</f>
        <v/>
      </c>
      <c r="S145" s="17">
        <f>IF('Advanced Entry'!S145="","",IFERROR(MAX(0,MIN(10,ROUND(IF('Advanced Entry'!S$8="Decrease Risk",10-10*((IF('Advanced Entry'!S$5="Logarithm",LN(0.001+'Advanced Entry'!S145),IF('Advanced Entry'!S$5="Exponential",EXP('Advanced Entry'!S145),'Advanced Entry'!S145)))-'Advanced Entry'!S$6)/('Advanced Entry'!S$7-'Advanced Entry'!S$6),10*((IF('Advanced Entry'!S$5="Logarithm",LN(0.001+'Advanced Entry'!S145),IF('Advanced Entry'!S$5="Exponential",EXP('Advanced Entry'!S145),'Advanced Entry'!S145)))-'Advanced Entry'!S$6)/('Advanced Entry'!S$7-'Advanced Entry'!S$6)),1))),"No data"))</f>
        <v/>
      </c>
      <c r="T145" s="17">
        <f>IF('Advanced Entry'!T145="","",IFERROR(MAX(0,MIN(10,ROUND(IF('Advanced Entry'!T$8="Decrease Risk",10-10*((IF('Advanced Entry'!T$5="Logarithm",LN(0.001+'Advanced Entry'!T145),IF('Advanced Entry'!T$5="Exponential",EXP('Advanced Entry'!T145),'Advanced Entry'!T145)))-'Advanced Entry'!T$6)/('Advanced Entry'!T$7-'Advanced Entry'!T$6),10*((IF('Advanced Entry'!T$5="Logarithm",LN(0.001+'Advanced Entry'!T145),IF('Advanced Entry'!T$5="Exponential",EXP('Advanced Entry'!T145),'Advanced Entry'!T145)))-'Advanced Entry'!T$6)/('Advanced Entry'!T$7-'Advanced Entry'!T$6)),1))),"No data"))</f>
        <v/>
      </c>
      <c r="U145" s="17">
        <f>IF('Advanced Entry'!U145="","",IFERROR(MAX(0,MIN(10,ROUND(IF('Advanced Entry'!U$8="Decrease Risk",10-10*((IF('Advanced Entry'!U$5="Logarithm",LN(0.001+'Advanced Entry'!U145),IF('Advanced Entry'!U$5="Exponential",EXP('Advanced Entry'!U145),'Advanced Entry'!U145)))-'Advanced Entry'!U$6)/('Advanced Entry'!U$7-'Advanced Entry'!U$6),10*((IF('Advanced Entry'!U$5="Logarithm",LN(0.001+'Advanced Entry'!U145),IF('Advanced Entry'!U$5="Exponential",EXP('Advanced Entry'!U145),'Advanced Entry'!U145)))-'Advanced Entry'!U$6)/('Advanced Entry'!U$7-'Advanced Entry'!U$6)),1))),"No data"))</f>
        <v/>
      </c>
      <c r="V145" s="17">
        <f>IF('Advanced Entry'!V145="","",IFERROR(MAX(0,MIN(10,ROUND(IF('Advanced Entry'!V$8="Decrease Risk",10-10*((IF('Advanced Entry'!V$5="Logarithm",LN(0.001+'Advanced Entry'!V145),IF('Advanced Entry'!V$5="Exponential",EXP('Advanced Entry'!V145),'Advanced Entry'!V145)))-'Advanced Entry'!V$6)/('Advanced Entry'!V$7-'Advanced Entry'!V$6),10*((IF('Advanced Entry'!V$5="Logarithm",LN(0.001+'Advanced Entry'!V145),IF('Advanced Entry'!V$5="Exponential",EXP('Advanced Entry'!V145),'Advanced Entry'!V145)))-'Advanced Entry'!V$6)/('Advanced Entry'!V$7-'Advanced Entry'!V$6)),1))),"No data"))</f>
        <v/>
      </c>
      <c r="W145" s="17">
        <f>IF('Advanced Entry'!W145="","",IFERROR(MAX(0,MIN(10,ROUND(IF('Advanced Entry'!W$8="Decrease Risk",10-10*((IF('Advanced Entry'!W$5="Logarithm",LN(0.001+'Advanced Entry'!W145),IF('Advanced Entry'!W$5="Exponential",EXP('Advanced Entry'!W145),'Advanced Entry'!W145)))-'Advanced Entry'!W$6)/('Advanced Entry'!W$7-'Advanced Entry'!W$6),10*((IF('Advanced Entry'!W$5="Logarithm",LN(0.001+'Advanced Entry'!W145),IF('Advanced Entry'!W$5="Exponential",EXP('Advanced Entry'!W145),'Advanced Entry'!W145)))-'Advanced Entry'!W$6)/('Advanced Entry'!W$7-'Advanced Entry'!W$6)),1))),"No data"))</f>
        <v/>
      </c>
      <c r="X145" s="17">
        <f>IF('Advanced Entry'!X145="","",IFERROR(MAX(0,MIN(10,ROUND(IF('Advanced Entry'!X$8="Decrease Risk",10-10*((IF('Advanced Entry'!X$5="Logarithm",LN(0.001+'Advanced Entry'!X145),IF('Advanced Entry'!X$5="Exponential",EXP('Advanced Entry'!X145),'Advanced Entry'!X145)))-'Advanced Entry'!X$6)/('Advanced Entry'!X$7-'Advanced Entry'!X$6),10*((IF('Advanced Entry'!X$5="Logarithm",LN(0.001+'Advanced Entry'!X145),IF('Advanced Entry'!X$5="Exponential",EXP('Advanced Entry'!X145),'Advanced Entry'!X145)))-'Advanced Entry'!X$6)/('Advanced Entry'!X$7-'Advanced Entry'!X$6)),1))),"No data"))</f>
        <v/>
      </c>
      <c r="Y145" s="17">
        <f>IF('Advanced Entry'!Y145="","",IFERROR(MAX(0,MIN(10,ROUND(IF('Advanced Entry'!Y$8="Decrease Risk",10-10*((IF('Advanced Entry'!Y$5="Logarithm",LN(0.001+'Advanced Entry'!Y145),IF('Advanced Entry'!Y$5="Exponential",EXP('Advanced Entry'!Y145),'Advanced Entry'!Y145)))-'Advanced Entry'!Y$6)/('Advanced Entry'!Y$7-'Advanced Entry'!Y$6),10*((IF('Advanced Entry'!Y$5="Logarithm",LN(0.001+'Advanced Entry'!Y145),IF('Advanced Entry'!Y$5="Exponential",EXP('Advanced Entry'!Y145),'Advanced Entry'!Y145)))-'Advanced Entry'!Y$6)/('Advanced Entry'!Y$7-'Advanced Entry'!Y$6)),1))),"No data"))</f>
        <v/>
      </c>
      <c r="Z145" s="17">
        <f>IF('Advanced Entry'!Z145="","",IFERROR(MAX(0,MIN(10,ROUND(IF('Advanced Entry'!Z$8="Decrease Risk",10-10*((IF('Advanced Entry'!Z$5="Logarithm",LN(0.001+'Advanced Entry'!Z145),IF('Advanced Entry'!Z$5="Exponential",EXP('Advanced Entry'!Z145),'Advanced Entry'!Z145)))-'Advanced Entry'!Z$6)/('Advanced Entry'!Z$7-'Advanced Entry'!Z$6),10*((IF('Advanced Entry'!Z$5="Logarithm",LN(0.001+'Advanced Entry'!Z145),IF('Advanced Entry'!Z$5="Exponential",EXP('Advanced Entry'!Z145),'Advanced Entry'!Z145)))-'Advanced Entry'!Z$6)/('Advanced Entry'!Z$7-'Advanced Entry'!Z$6)),1))),"No data"))</f>
        <v/>
      </c>
      <c r="AA145" s="17">
        <f>IF('Advanced Entry'!AA145="","",IFERROR(MAX(0,MIN(10,ROUND(IF('Advanced Entry'!AA$8="Decrease Risk",10-10*((IF('Advanced Entry'!AA$5="Logarithm",LN(0.001+'Advanced Entry'!AA145),IF('Advanced Entry'!AA$5="Exponential",EXP('Advanced Entry'!AA145),'Advanced Entry'!AA145)))-'Advanced Entry'!AA$6)/('Advanced Entry'!AA$7-'Advanced Entry'!AA$6),10*((IF('Advanced Entry'!AA$5="Logarithm",LN(0.001+'Advanced Entry'!AA145),IF('Advanced Entry'!AA$5="Exponential",EXP('Advanced Entry'!AA145),'Advanced Entry'!AA145)))-'Advanced Entry'!AA$6)/('Advanced Entry'!AA$7-'Advanced Entry'!AA$6)),1))),"No data"))</f>
        <v/>
      </c>
      <c r="AB145" s="17">
        <f>IF('Advanced Entry'!AB145="","",IFERROR(MAX(0,MIN(10,ROUND(IF('Advanced Entry'!AB$8="Decrease Risk",10-10*((IF('Advanced Entry'!AB$5="Logarithm",LN(0.001+'Advanced Entry'!AB145),IF('Advanced Entry'!AB$5="Exponential",EXP('Advanced Entry'!AB145),'Advanced Entry'!AB145)))-'Advanced Entry'!AB$6)/('Advanced Entry'!AB$7-'Advanced Entry'!AB$6),10*((IF('Advanced Entry'!AB$5="Logarithm",LN(0.001+'Advanced Entry'!AB145),IF('Advanced Entry'!AB$5="Exponential",EXP('Advanced Entry'!AB145),'Advanced Entry'!AB145)))-'Advanced Entry'!AB$6)/('Advanced Entry'!AB$7-'Advanced Entry'!AB$6)),1))),"No data"))</f>
        <v/>
      </c>
    </row>
    <row r="146">
      <c r="A146" t="inlineStr">
        <is>
          <t>Pwani</t>
        </is>
      </c>
      <c r="B146" t="inlineStr">
        <is>
          <t>Kibiti District</t>
        </is>
      </c>
      <c r="C146" t="inlineStr">
        <is>
          <t>C051</t>
        </is>
      </c>
      <c r="D146" s="17">
        <f>IF('Advanced Entry'!D146="","",IFERROR(MAX(0,MIN(10,ROUND(IF('Advanced Entry'!D$8="Decrease Risk",10-10*((IF('Advanced Entry'!D$5="Logarithm",LN(0.001+'Advanced Entry'!D146),IF('Advanced Entry'!D$5="Exponential",EXP('Advanced Entry'!D146),'Advanced Entry'!D146)))-'Advanced Entry'!D$6)/('Advanced Entry'!D$7-'Advanced Entry'!D$6),10*((IF('Advanced Entry'!D$5="Logarithm",LN(0.001+'Advanced Entry'!D146),IF('Advanced Entry'!D$5="Exponential",EXP('Advanced Entry'!D146),'Advanced Entry'!D146)))-'Advanced Entry'!D$6)/('Advanced Entry'!D$7-'Advanced Entry'!D$6)),1))),"No data"))</f>
        <v/>
      </c>
      <c r="E146" s="17">
        <f>IF('Advanced Entry'!E146="","",IFERROR(MAX(0,MIN(10,ROUND(IF('Advanced Entry'!E$8="Decrease Risk",10-10*((IF('Advanced Entry'!E$5="Logarithm",LN(0.001+'Advanced Entry'!E146),IF('Advanced Entry'!E$5="Exponential",EXP('Advanced Entry'!E146),'Advanced Entry'!E146)))-'Advanced Entry'!E$6)/('Advanced Entry'!E$7-'Advanced Entry'!E$6),10*((IF('Advanced Entry'!E$5="Logarithm",LN(0.001+'Advanced Entry'!E146),IF('Advanced Entry'!E$5="Exponential",EXP('Advanced Entry'!E146),'Advanced Entry'!E146)))-'Advanced Entry'!E$6)/('Advanced Entry'!E$7-'Advanced Entry'!E$6)),1))),"No data"))</f>
        <v/>
      </c>
      <c r="F146" s="17">
        <f>IF('Advanced Entry'!F146="","",IFERROR(MAX(0,MIN(10,ROUND(IF('Advanced Entry'!F$8="Decrease Risk",10-10*((IF('Advanced Entry'!F$5="Logarithm",LN(0.001+'Advanced Entry'!F146),IF('Advanced Entry'!F$5="Exponential",EXP('Advanced Entry'!F146),'Advanced Entry'!F146)))-'Advanced Entry'!F$6)/('Advanced Entry'!F$7-'Advanced Entry'!F$6),10*((IF('Advanced Entry'!F$5="Logarithm",LN(0.001+'Advanced Entry'!F146),IF('Advanced Entry'!F$5="Exponential",EXP('Advanced Entry'!F146),'Advanced Entry'!F146)))-'Advanced Entry'!F$6)/('Advanced Entry'!F$7-'Advanced Entry'!F$6)),1))),"No data"))</f>
        <v/>
      </c>
      <c r="G146" s="17">
        <f>IF('Advanced Entry'!G146="","",IFERROR(MAX(0,MIN(10,ROUND(IF('Advanced Entry'!G$8="Decrease Risk",10-10*((IF('Advanced Entry'!G$5="Logarithm",LN(0.001+'Advanced Entry'!G146),IF('Advanced Entry'!G$5="Exponential",EXP('Advanced Entry'!G146),'Advanced Entry'!G146)))-'Advanced Entry'!G$6)/('Advanced Entry'!G$7-'Advanced Entry'!G$6),10*((IF('Advanced Entry'!G$5="Logarithm",LN(0.001+'Advanced Entry'!G146),IF('Advanced Entry'!G$5="Exponential",EXP('Advanced Entry'!G146),'Advanced Entry'!G146)))-'Advanced Entry'!G$6)/('Advanced Entry'!G$7-'Advanced Entry'!G$6)),1))),"No data"))</f>
        <v/>
      </c>
      <c r="H146" s="17">
        <f>IF('Advanced Entry'!H146="","",IFERROR(MAX(0,MIN(10,ROUND(IF('Advanced Entry'!H$8="Decrease Risk",10-10*((IF('Advanced Entry'!H$5="Logarithm",LN(0.001+'Advanced Entry'!H146),IF('Advanced Entry'!H$5="Exponential",EXP('Advanced Entry'!H146),'Advanced Entry'!H146)))-'Advanced Entry'!H$6)/('Advanced Entry'!H$7-'Advanced Entry'!H$6),10*((IF('Advanced Entry'!H$5="Logarithm",LN(0.001+'Advanced Entry'!H146),IF('Advanced Entry'!H$5="Exponential",EXP('Advanced Entry'!H146),'Advanced Entry'!H146)))-'Advanced Entry'!H$6)/('Advanced Entry'!H$7-'Advanced Entry'!H$6)),1))),"No data"))</f>
        <v/>
      </c>
      <c r="I146" s="17">
        <f>IF('Advanced Entry'!I146="","",IFERROR(MAX(0,MIN(10,ROUND(IF('Advanced Entry'!I$8="Decrease Risk",10-10*((IF('Advanced Entry'!I$5="Logarithm",LN(0.001+'Advanced Entry'!I146),IF('Advanced Entry'!I$5="Exponential",EXP('Advanced Entry'!I146),'Advanced Entry'!I146)))-'Advanced Entry'!I$6)/('Advanced Entry'!I$7-'Advanced Entry'!I$6),10*((IF('Advanced Entry'!I$5="Logarithm",LN(0.001+'Advanced Entry'!I146),IF('Advanced Entry'!I$5="Exponential",EXP('Advanced Entry'!I146),'Advanced Entry'!I146)))-'Advanced Entry'!I$6)/('Advanced Entry'!I$7-'Advanced Entry'!I$6)),1))),"No data"))</f>
        <v/>
      </c>
      <c r="J146" s="17">
        <f>IF('Advanced Entry'!J146="","",IFERROR(MAX(0,MIN(10,ROUND(IF('Advanced Entry'!J$8="Decrease Risk",10-10*((IF('Advanced Entry'!J$5="Logarithm",LN(0.001+'Advanced Entry'!J146),IF('Advanced Entry'!J$5="Exponential",EXP('Advanced Entry'!J146),'Advanced Entry'!J146)))-'Advanced Entry'!J$6)/('Advanced Entry'!J$7-'Advanced Entry'!J$6),10*((IF('Advanced Entry'!J$5="Logarithm",LN(0.001+'Advanced Entry'!J146),IF('Advanced Entry'!J$5="Exponential",EXP('Advanced Entry'!J146),'Advanced Entry'!J146)))-'Advanced Entry'!J$6)/('Advanced Entry'!J$7-'Advanced Entry'!J$6)),1))),"No data"))</f>
        <v/>
      </c>
      <c r="K146" s="17">
        <f>IF('Advanced Entry'!K146="","",IFERROR(MAX(0,MIN(10,ROUND(IF('Advanced Entry'!K$8="Decrease Risk",10-10*((IF('Advanced Entry'!K$5="Logarithm",LN(0.001+'Advanced Entry'!K146),IF('Advanced Entry'!K$5="Exponential",EXP('Advanced Entry'!K146),'Advanced Entry'!K146)))-'Advanced Entry'!K$6)/('Advanced Entry'!K$7-'Advanced Entry'!K$6),10*((IF('Advanced Entry'!K$5="Logarithm",LN(0.001+'Advanced Entry'!K146),IF('Advanced Entry'!K$5="Exponential",EXP('Advanced Entry'!K146),'Advanced Entry'!K146)))-'Advanced Entry'!K$6)/('Advanced Entry'!K$7-'Advanced Entry'!K$6)),1))),"No data"))</f>
        <v/>
      </c>
      <c r="L146" s="17">
        <f>IF('Advanced Entry'!L146="","",IFERROR(MAX(0,MIN(10,ROUND(IF('Advanced Entry'!L$8="Decrease Risk",10-10*((IF('Advanced Entry'!L$5="Logarithm",LN(0.001+'Advanced Entry'!L146),IF('Advanced Entry'!L$5="Exponential",EXP('Advanced Entry'!L146),'Advanced Entry'!L146)))-'Advanced Entry'!L$6)/('Advanced Entry'!L$7-'Advanced Entry'!L$6),10*((IF('Advanced Entry'!L$5="Logarithm",LN(0.001+'Advanced Entry'!L146),IF('Advanced Entry'!L$5="Exponential",EXP('Advanced Entry'!L146),'Advanced Entry'!L146)))-'Advanced Entry'!L$6)/('Advanced Entry'!L$7-'Advanced Entry'!L$6)),1))),"No data"))</f>
        <v/>
      </c>
      <c r="M146" s="17">
        <f>IF('Advanced Entry'!M146="","",IFERROR(MAX(0,MIN(10,ROUND(IF('Advanced Entry'!M$8="Decrease Risk",10-10*((IF('Advanced Entry'!M$5="Logarithm",LN(0.001+'Advanced Entry'!M146),IF('Advanced Entry'!M$5="Exponential",EXP('Advanced Entry'!M146),'Advanced Entry'!M146)))-'Advanced Entry'!M$6)/('Advanced Entry'!M$7-'Advanced Entry'!M$6),10*((IF('Advanced Entry'!M$5="Logarithm",LN(0.001+'Advanced Entry'!M146),IF('Advanced Entry'!M$5="Exponential",EXP('Advanced Entry'!M146),'Advanced Entry'!M146)))-'Advanced Entry'!M$6)/('Advanced Entry'!M$7-'Advanced Entry'!M$6)),1))),"No data"))</f>
        <v/>
      </c>
      <c r="N146" s="17">
        <f>IF('Advanced Entry'!N146="","",IFERROR(MAX(0,MIN(10,ROUND(IF('Advanced Entry'!N$8="Decrease Risk",10-10*((IF('Advanced Entry'!N$5="Logarithm",LN(0.001+'Advanced Entry'!N146),IF('Advanced Entry'!N$5="Exponential",EXP('Advanced Entry'!N146),'Advanced Entry'!N146)))-'Advanced Entry'!N$6)/('Advanced Entry'!N$7-'Advanced Entry'!N$6),10*((IF('Advanced Entry'!N$5="Logarithm",LN(0.001+'Advanced Entry'!N146),IF('Advanced Entry'!N$5="Exponential",EXP('Advanced Entry'!N146),'Advanced Entry'!N146)))-'Advanced Entry'!N$6)/('Advanced Entry'!N$7-'Advanced Entry'!N$6)),1))),"No data"))</f>
        <v/>
      </c>
      <c r="O146" s="17">
        <f>IF('Advanced Entry'!O146="","",IFERROR(MAX(0,MIN(10,ROUND(IF('Advanced Entry'!O$8="Decrease Risk",10-10*((IF('Advanced Entry'!O$5="Logarithm",LN(0.001+'Advanced Entry'!O146),IF('Advanced Entry'!O$5="Exponential",EXP('Advanced Entry'!O146),'Advanced Entry'!O146)))-'Advanced Entry'!O$6)/('Advanced Entry'!O$7-'Advanced Entry'!O$6),10*((IF('Advanced Entry'!O$5="Logarithm",LN(0.001+'Advanced Entry'!O146),IF('Advanced Entry'!O$5="Exponential",EXP('Advanced Entry'!O146),'Advanced Entry'!O146)))-'Advanced Entry'!O$6)/('Advanced Entry'!O$7-'Advanced Entry'!O$6)),1))),"No data"))</f>
        <v/>
      </c>
      <c r="P146" s="17">
        <f>IF('Advanced Entry'!P146="","",IFERROR(MAX(0,MIN(10,ROUND(IF('Advanced Entry'!P$8="Decrease Risk",10-10*((IF('Advanced Entry'!P$5="Logarithm",LN(0.001+'Advanced Entry'!P146),IF('Advanced Entry'!P$5="Exponential",EXP('Advanced Entry'!P146),'Advanced Entry'!P146)))-'Advanced Entry'!P$6)/('Advanced Entry'!P$7-'Advanced Entry'!P$6),10*((IF('Advanced Entry'!P$5="Logarithm",LN(0.001+'Advanced Entry'!P146),IF('Advanced Entry'!P$5="Exponential",EXP('Advanced Entry'!P146),'Advanced Entry'!P146)))-'Advanced Entry'!P$6)/('Advanced Entry'!P$7-'Advanced Entry'!P$6)),1))),"No data"))</f>
        <v/>
      </c>
      <c r="Q146" s="17">
        <f>IF('Advanced Entry'!Q146="","",IFERROR(MAX(0,MIN(10,ROUND(IF('Advanced Entry'!Q$8="Decrease Risk",10-10*((IF('Advanced Entry'!Q$5="Logarithm",LN(0.001+'Advanced Entry'!Q146),IF('Advanced Entry'!Q$5="Exponential",EXP('Advanced Entry'!Q146),'Advanced Entry'!Q146)))-'Advanced Entry'!Q$6)/('Advanced Entry'!Q$7-'Advanced Entry'!Q$6),10*((IF('Advanced Entry'!Q$5="Logarithm",LN(0.001+'Advanced Entry'!Q146),IF('Advanced Entry'!Q$5="Exponential",EXP('Advanced Entry'!Q146),'Advanced Entry'!Q146)))-'Advanced Entry'!Q$6)/('Advanced Entry'!Q$7-'Advanced Entry'!Q$6)),1))),"No data"))</f>
        <v/>
      </c>
      <c r="R146" s="17">
        <f>IF('Advanced Entry'!R146="","",IFERROR(MAX(0,MIN(10,ROUND(IF('Advanced Entry'!R$8="Decrease Risk",10-10*((IF('Advanced Entry'!R$5="Logarithm",LN(0.001+'Advanced Entry'!R146),IF('Advanced Entry'!R$5="Exponential",EXP('Advanced Entry'!R146),'Advanced Entry'!R146)))-'Advanced Entry'!R$6)/('Advanced Entry'!R$7-'Advanced Entry'!R$6),10*((IF('Advanced Entry'!R$5="Logarithm",LN(0.001+'Advanced Entry'!R146),IF('Advanced Entry'!R$5="Exponential",EXP('Advanced Entry'!R146),'Advanced Entry'!R146)))-'Advanced Entry'!R$6)/('Advanced Entry'!R$7-'Advanced Entry'!R$6)),1))),"No data"))</f>
        <v/>
      </c>
      <c r="S146" s="17">
        <f>IF('Advanced Entry'!S146="","",IFERROR(MAX(0,MIN(10,ROUND(IF('Advanced Entry'!S$8="Decrease Risk",10-10*((IF('Advanced Entry'!S$5="Logarithm",LN(0.001+'Advanced Entry'!S146),IF('Advanced Entry'!S$5="Exponential",EXP('Advanced Entry'!S146),'Advanced Entry'!S146)))-'Advanced Entry'!S$6)/('Advanced Entry'!S$7-'Advanced Entry'!S$6),10*((IF('Advanced Entry'!S$5="Logarithm",LN(0.001+'Advanced Entry'!S146),IF('Advanced Entry'!S$5="Exponential",EXP('Advanced Entry'!S146),'Advanced Entry'!S146)))-'Advanced Entry'!S$6)/('Advanced Entry'!S$7-'Advanced Entry'!S$6)),1))),"No data"))</f>
        <v/>
      </c>
      <c r="T146" s="17">
        <f>IF('Advanced Entry'!T146="","",IFERROR(MAX(0,MIN(10,ROUND(IF('Advanced Entry'!T$8="Decrease Risk",10-10*((IF('Advanced Entry'!T$5="Logarithm",LN(0.001+'Advanced Entry'!T146),IF('Advanced Entry'!T$5="Exponential",EXP('Advanced Entry'!T146),'Advanced Entry'!T146)))-'Advanced Entry'!T$6)/('Advanced Entry'!T$7-'Advanced Entry'!T$6),10*((IF('Advanced Entry'!T$5="Logarithm",LN(0.001+'Advanced Entry'!T146),IF('Advanced Entry'!T$5="Exponential",EXP('Advanced Entry'!T146),'Advanced Entry'!T146)))-'Advanced Entry'!T$6)/('Advanced Entry'!T$7-'Advanced Entry'!T$6)),1))),"No data"))</f>
        <v/>
      </c>
      <c r="U146" s="17">
        <f>IF('Advanced Entry'!U146="","",IFERROR(MAX(0,MIN(10,ROUND(IF('Advanced Entry'!U$8="Decrease Risk",10-10*((IF('Advanced Entry'!U$5="Logarithm",LN(0.001+'Advanced Entry'!U146),IF('Advanced Entry'!U$5="Exponential",EXP('Advanced Entry'!U146),'Advanced Entry'!U146)))-'Advanced Entry'!U$6)/('Advanced Entry'!U$7-'Advanced Entry'!U$6),10*((IF('Advanced Entry'!U$5="Logarithm",LN(0.001+'Advanced Entry'!U146),IF('Advanced Entry'!U$5="Exponential",EXP('Advanced Entry'!U146),'Advanced Entry'!U146)))-'Advanced Entry'!U$6)/('Advanced Entry'!U$7-'Advanced Entry'!U$6)),1))),"No data"))</f>
        <v/>
      </c>
      <c r="V146" s="17">
        <f>IF('Advanced Entry'!V146="","",IFERROR(MAX(0,MIN(10,ROUND(IF('Advanced Entry'!V$8="Decrease Risk",10-10*((IF('Advanced Entry'!V$5="Logarithm",LN(0.001+'Advanced Entry'!V146),IF('Advanced Entry'!V$5="Exponential",EXP('Advanced Entry'!V146),'Advanced Entry'!V146)))-'Advanced Entry'!V$6)/('Advanced Entry'!V$7-'Advanced Entry'!V$6),10*((IF('Advanced Entry'!V$5="Logarithm",LN(0.001+'Advanced Entry'!V146),IF('Advanced Entry'!V$5="Exponential",EXP('Advanced Entry'!V146),'Advanced Entry'!V146)))-'Advanced Entry'!V$6)/('Advanced Entry'!V$7-'Advanced Entry'!V$6)),1))),"No data"))</f>
        <v/>
      </c>
      <c r="W146" s="17">
        <f>IF('Advanced Entry'!W146="","",IFERROR(MAX(0,MIN(10,ROUND(IF('Advanced Entry'!W$8="Decrease Risk",10-10*((IF('Advanced Entry'!W$5="Logarithm",LN(0.001+'Advanced Entry'!W146),IF('Advanced Entry'!W$5="Exponential",EXP('Advanced Entry'!W146),'Advanced Entry'!W146)))-'Advanced Entry'!W$6)/('Advanced Entry'!W$7-'Advanced Entry'!W$6),10*((IF('Advanced Entry'!W$5="Logarithm",LN(0.001+'Advanced Entry'!W146),IF('Advanced Entry'!W$5="Exponential",EXP('Advanced Entry'!W146),'Advanced Entry'!W146)))-'Advanced Entry'!W$6)/('Advanced Entry'!W$7-'Advanced Entry'!W$6)),1))),"No data"))</f>
        <v/>
      </c>
      <c r="X146" s="17">
        <f>IF('Advanced Entry'!X146="","",IFERROR(MAX(0,MIN(10,ROUND(IF('Advanced Entry'!X$8="Decrease Risk",10-10*((IF('Advanced Entry'!X$5="Logarithm",LN(0.001+'Advanced Entry'!X146),IF('Advanced Entry'!X$5="Exponential",EXP('Advanced Entry'!X146),'Advanced Entry'!X146)))-'Advanced Entry'!X$6)/('Advanced Entry'!X$7-'Advanced Entry'!X$6),10*((IF('Advanced Entry'!X$5="Logarithm",LN(0.001+'Advanced Entry'!X146),IF('Advanced Entry'!X$5="Exponential",EXP('Advanced Entry'!X146),'Advanced Entry'!X146)))-'Advanced Entry'!X$6)/('Advanced Entry'!X$7-'Advanced Entry'!X$6)),1))),"No data"))</f>
        <v/>
      </c>
      <c r="Y146" s="17">
        <f>IF('Advanced Entry'!Y146="","",IFERROR(MAX(0,MIN(10,ROUND(IF('Advanced Entry'!Y$8="Decrease Risk",10-10*((IF('Advanced Entry'!Y$5="Logarithm",LN(0.001+'Advanced Entry'!Y146),IF('Advanced Entry'!Y$5="Exponential",EXP('Advanced Entry'!Y146),'Advanced Entry'!Y146)))-'Advanced Entry'!Y$6)/('Advanced Entry'!Y$7-'Advanced Entry'!Y$6),10*((IF('Advanced Entry'!Y$5="Logarithm",LN(0.001+'Advanced Entry'!Y146),IF('Advanced Entry'!Y$5="Exponential",EXP('Advanced Entry'!Y146),'Advanced Entry'!Y146)))-'Advanced Entry'!Y$6)/('Advanced Entry'!Y$7-'Advanced Entry'!Y$6)),1))),"No data"))</f>
        <v/>
      </c>
      <c r="Z146" s="17">
        <f>IF('Advanced Entry'!Z146="","",IFERROR(MAX(0,MIN(10,ROUND(IF('Advanced Entry'!Z$8="Decrease Risk",10-10*((IF('Advanced Entry'!Z$5="Logarithm",LN(0.001+'Advanced Entry'!Z146),IF('Advanced Entry'!Z$5="Exponential",EXP('Advanced Entry'!Z146),'Advanced Entry'!Z146)))-'Advanced Entry'!Z$6)/('Advanced Entry'!Z$7-'Advanced Entry'!Z$6),10*((IF('Advanced Entry'!Z$5="Logarithm",LN(0.001+'Advanced Entry'!Z146),IF('Advanced Entry'!Z$5="Exponential",EXP('Advanced Entry'!Z146),'Advanced Entry'!Z146)))-'Advanced Entry'!Z$6)/('Advanced Entry'!Z$7-'Advanced Entry'!Z$6)),1))),"No data"))</f>
        <v/>
      </c>
      <c r="AA146" s="17">
        <f>IF('Advanced Entry'!AA146="","",IFERROR(MAX(0,MIN(10,ROUND(IF('Advanced Entry'!AA$8="Decrease Risk",10-10*((IF('Advanced Entry'!AA$5="Logarithm",LN(0.001+'Advanced Entry'!AA146),IF('Advanced Entry'!AA$5="Exponential",EXP('Advanced Entry'!AA146),'Advanced Entry'!AA146)))-'Advanced Entry'!AA$6)/('Advanced Entry'!AA$7-'Advanced Entry'!AA$6),10*((IF('Advanced Entry'!AA$5="Logarithm",LN(0.001+'Advanced Entry'!AA146),IF('Advanced Entry'!AA$5="Exponential",EXP('Advanced Entry'!AA146),'Advanced Entry'!AA146)))-'Advanced Entry'!AA$6)/('Advanced Entry'!AA$7-'Advanced Entry'!AA$6)),1))),"No data"))</f>
        <v/>
      </c>
      <c r="AB146" s="17">
        <f>IF('Advanced Entry'!AB146="","",IFERROR(MAX(0,MIN(10,ROUND(IF('Advanced Entry'!AB$8="Decrease Risk",10-10*((IF('Advanced Entry'!AB$5="Logarithm",LN(0.001+'Advanced Entry'!AB146),IF('Advanced Entry'!AB$5="Exponential",EXP('Advanced Entry'!AB146),'Advanced Entry'!AB146)))-'Advanced Entry'!AB$6)/('Advanced Entry'!AB$7-'Advanced Entry'!AB$6),10*((IF('Advanced Entry'!AB$5="Logarithm",LN(0.001+'Advanced Entry'!AB146),IF('Advanced Entry'!AB$5="Exponential",EXP('Advanced Entry'!AB146),'Advanced Entry'!AB146)))-'Advanced Entry'!AB$6)/('Advanced Entry'!AB$7-'Advanced Entry'!AB$6)),1))),"No data"))</f>
        <v/>
      </c>
    </row>
    <row r="147">
      <c r="A147" t="inlineStr">
        <is>
          <t>Pwani</t>
        </is>
      </c>
      <c r="B147" t="inlineStr">
        <is>
          <t>Kisarawe District</t>
        </is>
      </c>
      <c r="C147" t="inlineStr">
        <is>
          <t>C047</t>
        </is>
      </c>
      <c r="D147" s="17">
        <f>IF('Advanced Entry'!D147="","",IFERROR(MAX(0,MIN(10,ROUND(IF('Advanced Entry'!D$8="Decrease Risk",10-10*((IF('Advanced Entry'!D$5="Logarithm",LN(0.001+'Advanced Entry'!D147),IF('Advanced Entry'!D$5="Exponential",EXP('Advanced Entry'!D147),'Advanced Entry'!D147)))-'Advanced Entry'!D$6)/('Advanced Entry'!D$7-'Advanced Entry'!D$6),10*((IF('Advanced Entry'!D$5="Logarithm",LN(0.001+'Advanced Entry'!D147),IF('Advanced Entry'!D$5="Exponential",EXP('Advanced Entry'!D147),'Advanced Entry'!D147)))-'Advanced Entry'!D$6)/('Advanced Entry'!D$7-'Advanced Entry'!D$6)),1))),"No data"))</f>
        <v/>
      </c>
      <c r="E147" s="17">
        <f>IF('Advanced Entry'!E147="","",IFERROR(MAX(0,MIN(10,ROUND(IF('Advanced Entry'!E$8="Decrease Risk",10-10*((IF('Advanced Entry'!E$5="Logarithm",LN(0.001+'Advanced Entry'!E147),IF('Advanced Entry'!E$5="Exponential",EXP('Advanced Entry'!E147),'Advanced Entry'!E147)))-'Advanced Entry'!E$6)/('Advanced Entry'!E$7-'Advanced Entry'!E$6),10*((IF('Advanced Entry'!E$5="Logarithm",LN(0.001+'Advanced Entry'!E147),IF('Advanced Entry'!E$5="Exponential",EXP('Advanced Entry'!E147),'Advanced Entry'!E147)))-'Advanced Entry'!E$6)/('Advanced Entry'!E$7-'Advanced Entry'!E$6)),1))),"No data"))</f>
        <v/>
      </c>
      <c r="F147" s="17">
        <f>IF('Advanced Entry'!F147="","",IFERROR(MAX(0,MIN(10,ROUND(IF('Advanced Entry'!F$8="Decrease Risk",10-10*((IF('Advanced Entry'!F$5="Logarithm",LN(0.001+'Advanced Entry'!F147),IF('Advanced Entry'!F$5="Exponential",EXP('Advanced Entry'!F147),'Advanced Entry'!F147)))-'Advanced Entry'!F$6)/('Advanced Entry'!F$7-'Advanced Entry'!F$6),10*((IF('Advanced Entry'!F$5="Logarithm",LN(0.001+'Advanced Entry'!F147),IF('Advanced Entry'!F$5="Exponential",EXP('Advanced Entry'!F147),'Advanced Entry'!F147)))-'Advanced Entry'!F$6)/('Advanced Entry'!F$7-'Advanced Entry'!F$6)),1))),"No data"))</f>
        <v/>
      </c>
      <c r="G147" s="17">
        <f>IF('Advanced Entry'!G147="","",IFERROR(MAX(0,MIN(10,ROUND(IF('Advanced Entry'!G$8="Decrease Risk",10-10*((IF('Advanced Entry'!G$5="Logarithm",LN(0.001+'Advanced Entry'!G147),IF('Advanced Entry'!G$5="Exponential",EXP('Advanced Entry'!G147),'Advanced Entry'!G147)))-'Advanced Entry'!G$6)/('Advanced Entry'!G$7-'Advanced Entry'!G$6),10*((IF('Advanced Entry'!G$5="Logarithm",LN(0.001+'Advanced Entry'!G147),IF('Advanced Entry'!G$5="Exponential",EXP('Advanced Entry'!G147),'Advanced Entry'!G147)))-'Advanced Entry'!G$6)/('Advanced Entry'!G$7-'Advanced Entry'!G$6)),1))),"No data"))</f>
        <v/>
      </c>
      <c r="H147" s="17">
        <f>IF('Advanced Entry'!H147="","",IFERROR(MAX(0,MIN(10,ROUND(IF('Advanced Entry'!H$8="Decrease Risk",10-10*((IF('Advanced Entry'!H$5="Logarithm",LN(0.001+'Advanced Entry'!H147),IF('Advanced Entry'!H$5="Exponential",EXP('Advanced Entry'!H147),'Advanced Entry'!H147)))-'Advanced Entry'!H$6)/('Advanced Entry'!H$7-'Advanced Entry'!H$6),10*((IF('Advanced Entry'!H$5="Logarithm",LN(0.001+'Advanced Entry'!H147),IF('Advanced Entry'!H$5="Exponential",EXP('Advanced Entry'!H147),'Advanced Entry'!H147)))-'Advanced Entry'!H$6)/('Advanced Entry'!H$7-'Advanced Entry'!H$6)),1))),"No data"))</f>
        <v/>
      </c>
      <c r="I147" s="17">
        <f>IF('Advanced Entry'!I147="","",IFERROR(MAX(0,MIN(10,ROUND(IF('Advanced Entry'!I$8="Decrease Risk",10-10*((IF('Advanced Entry'!I$5="Logarithm",LN(0.001+'Advanced Entry'!I147),IF('Advanced Entry'!I$5="Exponential",EXP('Advanced Entry'!I147),'Advanced Entry'!I147)))-'Advanced Entry'!I$6)/('Advanced Entry'!I$7-'Advanced Entry'!I$6),10*((IF('Advanced Entry'!I$5="Logarithm",LN(0.001+'Advanced Entry'!I147),IF('Advanced Entry'!I$5="Exponential",EXP('Advanced Entry'!I147),'Advanced Entry'!I147)))-'Advanced Entry'!I$6)/('Advanced Entry'!I$7-'Advanced Entry'!I$6)),1))),"No data"))</f>
        <v/>
      </c>
      <c r="J147" s="17">
        <f>IF('Advanced Entry'!J147="","",IFERROR(MAX(0,MIN(10,ROUND(IF('Advanced Entry'!J$8="Decrease Risk",10-10*((IF('Advanced Entry'!J$5="Logarithm",LN(0.001+'Advanced Entry'!J147),IF('Advanced Entry'!J$5="Exponential",EXP('Advanced Entry'!J147),'Advanced Entry'!J147)))-'Advanced Entry'!J$6)/('Advanced Entry'!J$7-'Advanced Entry'!J$6),10*((IF('Advanced Entry'!J$5="Logarithm",LN(0.001+'Advanced Entry'!J147),IF('Advanced Entry'!J$5="Exponential",EXP('Advanced Entry'!J147),'Advanced Entry'!J147)))-'Advanced Entry'!J$6)/('Advanced Entry'!J$7-'Advanced Entry'!J$6)),1))),"No data"))</f>
        <v/>
      </c>
      <c r="K147" s="17">
        <f>IF('Advanced Entry'!K147="","",IFERROR(MAX(0,MIN(10,ROUND(IF('Advanced Entry'!K$8="Decrease Risk",10-10*((IF('Advanced Entry'!K$5="Logarithm",LN(0.001+'Advanced Entry'!K147),IF('Advanced Entry'!K$5="Exponential",EXP('Advanced Entry'!K147),'Advanced Entry'!K147)))-'Advanced Entry'!K$6)/('Advanced Entry'!K$7-'Advanced Entry'!K$6),10*((IF('Advanced Entry'!K$5="Logarithm",LN(0.001+'Advanced Entry'!K147),IF('Advanced Entry'!K$5="Exponential",EXP('Advanced Entry'!K147),'Advanced Entry'!K147)))-'Advanced Entry'!K$6)/('Advanced Entry'!K$7-'Advanced Entry'!K$6)),1))),"No data"))</f>
        <v/>
      </c>
      <c r="L147" s="17">
        <f>IF('Advanced Entry'!L147="","",IFERROR(MAX(0,MIN(10,ROUND(IF('Advanced Entry'!L$8="Decrease Risk",10-10*((IF('Advanced Entry'!L$5="Logarithm",LN(0.001+'Advanced Entry'!L147),IF('Advanced Entry'!L$5="Exponential",EXP('Advanced Entry'!L147),'Advanced Entry'!L147)))-'Advanced Entry'!L$6)/('Advanced Entry'!L$7-'Advanced Entry'!L$6),10*((IF('Advanced Entry'!L$5="Logarithm",LN(0.001+'Advanced Entry'!L147),IF('Advanced Entry'!L$5="Exponential",EXP('Advanced Entry'!L147),'Advanced Entry'!L147)))-'Advanced Entry'!L$6)/('Advanced Entry'!L$7-'Advanced Entry'!L$6)),1))),"No data"))</f>
        <v/>
      </c>
      <c r="M147" s="17">
        <f>IF('Advanced Entry'!M147="","",IFERROR(MAX(0,MIN(10,ROUND(IF('Advanced Entry'!M$8="Decrease Risk",10-10*((IF('Advanced Entry'!M$5="Logarithm",LN(0.001+'Advanced Entry'!M147),IF('Advanced Entry'!M$5="Exponential",EXP('Advanced Entry'!M147),'Advanced Entry'!M147)))-'Advanced Entry'!M$6)/('Advanced Entry'!M$7-'Advanced Entry'!M$6),10*((IF('Advanced Entry'!M$5="Logarithm",LN(0.001+'Advanced Entry'!M147),IF('Advanced Entry'!M$5="Exponential",EXP('Advanced Entry'!M147),'Advanced Entry'!M147)))-'Advanced Entry'!M$6)/('Advanced Entry'!M$7-'Advanced Entry'!M$6)),1))),"No data"))</f>
        <v/>
      </c>
      <c r="N147" s="17">
        <f>IF('Advanced Entry'!N147="","",IFERROR(MAX(0,MIN(10,ROUND(IF('Advanced Entry'!N$8="Decrease Risk",10-10*((IF('Advanced Entry'!N$5="Logarithm",LN(0.001+'Advanced Entry'!N147),IF('Advanced Entry'!N$5="Exponential",EXP('Advanced Entry'!N147),'Advanced Entry'!N147)))-'Advanced Entry'!N$6)/('Advanced Entry'!N$7-'Advanced Entry'!N$6),10*((IF('Advanced Entry'!N$5="Logarithm",LN(0.001+'Advanced Entry'!N147),IF('Advanced Entry'!N$5="Exponential",EXP('Advanced Entry'!N147),'Advanced Entry'!N147)))-'Advanced Entry'!N$6)/('Advanced Entry'!N$7-'Advanced Entry'!N$6)),1))),"No data"))</f>
        <v/>
      </c>
      <c r="O147" s="17">
        <f>IF('Advanced Entry'!O147="","",IFERROR(MAX(0,MIN(10,ROUND(IF('Advanced Entry'!O$8="Decrease Risk",10-10*((IF('Advanced Entry'!O$5="Logarithm",LN(0.001+'Advanced Entry'!O147),IF('Advanced Entry'!O$5="Exponential",EXP('Advanced Entry'!O147),'Advanced Entry'!O147)))-'Advanced Entry'!O$6)/('Advanced Entry'!O$7-'Advanced Entry'!O$6),10*((IF('Advanced Entry'!O$5="Logarithm",LN(0.001+'Advanced Entry'!O147),IF('Advanced Entry'!O$5="Exponential",EXP('Advanced Entry'!O147),'Advanced Entry'!O147)))-'Advanced Entry'!O$6)/('Advanced Entry'!O$7-'Advanced Entry'!O$6)),1))),"No data"))</f>
        <v/>
      </c>
      <c r="P147" s="17">
        <f>IF('Advanced Entry'!P147="","",IFERROR(MAX(0,MIN(10,ROUND(IF('Advanced Entry'!P$8="Decrease Risk",10-10*((IF('Advanced Entry'!P$5="Logarithm",LN(0.001+'Advanced Entry'!P147),IF('Advanced Entry'!P$5="Exponential",EXP('Advanced Entry'!P147),'Advanced Entry'!P147)))-'Advanced Entry'!P$6)/('Advanced Entry'!P$7-'Advanced Entry'!P$6),10*((IF('Advanced Entry'!P$5="Logarithm",LN(0.001+'Advanced Entry'!P147),IF('Advanced Entry'!P$5="Exponential",EXP('Advanced Entry'!P147),'Advanced Entry'!P147)))-'Advanced Entry'!P$6)/('Advanced Entry'!P$7-'Advanced Entry'!P$6)),1))),"No data"))</f>
        <v/>
      </c>
      <c r="Q147" s="17">
        <f>IF('Advanced Entry'!Q147="","",IFERROR(MAX(0,MIN(10,ROUND(IF('Advanced Entry'!Q$8="Decrease Risk",10-10*((IF('Advanced Entry'!Q$5="Logarithm",LN(0.001+'Advanced Entry'!Q147),IF('Advanced Entry'!Q$5="Exponential",EXP('Advanced Entry'!Q147),'Advanced Entry'!Q147)))-'Advanced Entry'!Q$6)/('Advanced Entry'!Q$7-'Advanced Entry'!Q$6),10*((IF('Advanced Entry'!Q$5="Logarithm",LN(0.001+'Advanced Entry'!Q147),IF('Advanced Entry'!Q$5="Exponential",EXP('Advanced Entry'!Q147),'Advanced Entry'!Q147)))-'Advanced Entry'!Q$6)/('Advanced Entry'!Q$7-'Advanced Entry'!Q$6)),1))),"No data"))</f>
        <v/>
      </c>
      <c r="R147" s="17">
        <f>IF('Advanced Entry'!R147="","",IFERROR(MAX(0,MIN(10,ROUND(IF('Advanced Entry'!R$8="Decrease Risk",10-10*((IF('Advanced Entry'!R$5="Logarithm",LN(0.001+'Advanced Entry'!R147),IF('Advanced Entry'!R$5="Exponential",EXP('Advanced Entry'!R147),'Advanced Entry'!R147)))-'Advanced Entry'!R$6)/('Advanced Entry'!R$7-'Advanced Entry'!R$6),10*((IF('Advanced Entry'!R$5="Logarithm",LN(0.001+'Advanced Entry'!R147),IF('Advanced Entry'!R$5="Exponential",EXP('Advanced Entry'!R147),'Advanced Entry'!R147)))-'Advanced Entry'!R$6)/('Advanced Entry'!R$7-'Advanced Entry'!R$6)),1))),"No data"))</f>
        <v/>
      </c>
      <c r="S147" s="17">
        <f>IF('Advanced Entry'!S147="","",IFERROR(MAX(0,MIN(10,ROUND(IF('Advanced Entry'!S$8="Decrease Risk",10-10*((IF('Advanced Entry'!S$5="Logarithm",LN(0.001+'Advanced Entry'!S147),IF('Advanced Entry'!S$5="Exponential",EXP('Advanced Entry'!S147),'Advanced Entry'!S147)))-'Advanced Entry'!S$6)/('Advanced Entry'!S$7-'Advanced Entry'!S$6),10*((IF('Advanced Entry'!S$5="Logarithm",LN(0.001+'Advanced Entry'!S147),IF('Advanced Entry'!S$5="Exponential",EXP('Advanced Entry'!S147),'Advanced Entry'!S147)))-'Advanced Entry'!S$6)/('Advanced Entry'!S$7-'Advanced Entry'!S$6)),1))),"No data"))</f>
        <v/>
      </c>
      <c r="T147" s="17">
        <f>IF('Advanced Entry'!T147="","",IFERROR(MAX(0,MIN(10,ROUND(IF('Advanced Entry'!T$8="Decrease Risk",10-10*((IF('Advanced Entry'!T$5="Logarithm",LN(0.001+'Advanced Entry'!T147),IF('Advanced Entry'!T$5="Exponential",EXP('Advanced Entry'!T147),'Advanced Entry'!T147)))-'Advanced Entry'!T$6)/('Advanced Entry'!T$7-'Advanced Entry'!T$6),10*((IF('Advanced Entry'!T$5="Logarithm",LN(0.001+'Advanced Entry'!T147),IF('Advanced Entry'!T$5="Exponential",EXP('Advanced Entry'!T147),'Advanced Entry'!T147)))-'Advanced Entry'!T$6)/('Advanced Entry'!T$7-'Advanced Entry'!T$6)),1))),"No data"))</f>
        <v/>
      </c>
      <c r="U147" s="17">
        <f>IF('Advanced Entry'!U147="","",IFERROR(MAX(0,MIN(10,ROUND(IF('Advanced Entry'!U$8="Decrease Risk",10-10*((IF('Advanced Entry'!U$5="Logarithm",LN(0.001+'Advanced Entry'!U147),IF('Advanced Entry'!U$5="Exponential",EXP('Advanced Entry'!U147),'Advanced Entry'!U147)))-'Advanced Entry'!U$6)/('Advanced Entry'!U$7-'Advanced Entry'!U$6),10*((IF('Advanced Entry'!U$5="Logarithm",LN(0.001+'Advanced Entry'!U147),IF('Advanced Entry'!U$5="Exponential",EXP('Advanced Entry'!U147),'Advanced Entry'!U147)))-'Advanced Entry'!U$6)/('Advanced Entry'!U$7-'Advanced Entry'!U$6)),1))),"No data"))</f>
        <v/>
      </c>
      <c r="V147" s="17">
        <f>IF('Advanced Entry'!V147="","",IFERROR(MAX(0,MIN(10,ROUND(IF('Advanced Entry'!V$8="Decrease Risk",10-10*((IF('Advanced Entry'!V$5="Logarithm",LN(0.001+'Advanced Entry'!V147),IF('Advanced Entry'!V$5="Exponential",EXP('Advanced Entry'!V147),'Advanced Entry'!V147)))-'Advanced Entry'!V$6)/('Advanced Entry'!V$7-'Advanced Entry'!V$6),10*((IF('Advanced Entry'!V$5="Logarithm",LN(0.001+'Advanced Entry'!V147),IF('Advanced Entry'!V$5="Exponential",EXP('Advanced Entry'!V147),'Advanced Entry'!V147)))-'Advanced Entry'!V$6)/('Advanced Entry'!V$7-'Advanced Entry'!V$6)),1))),"No data"))</f>
        <v/>
      </c>
      <c r="W147" s="17">
        <f>IF('Advanced Entry'!W147="","",IFERROR(MAX(0,MIN(10,ROUND(IF('Advanced Entry'!W$8="Decrease Risk",10-10*((IF('Advanced Entry'!W$5="Logarithm",LN(0.001+'Advanced Entry'!W147),IF('Advanced Entry'!W$5="Exponential",EXP('Advanced Entry'!W147),'Advanced Entry'!W147)))-'Advanced Entry'!W$6)/('Advanced Entry'!W$7-'Advanced Entry'!W$6),10*((IF('Advanced Entry'!W$5="Logarithm",LN(0.001+'Advanced Entry'!W147),IF('Advanced Entry'!W$5="Exponential",EXP('Advanced Entry'!W147),'Advanced Entry'!W147)))-'Advanced Entry'!W$6)/('Advanced Entry'!W$7-'Advanced Entry'!W$6)),1))),"No data"))</f>
        <v/>
      </c>
      <c r="X147" s="17">
        <f>IF('Advanced Entry'!X147="","",IFERROR(MAX(0,MIN(10,ROUND(IF('Advanced Entry'!X$8="Decrease Risk",10-10*((IF('Advanced Entry'!X$5="Logarithm",LN(0.001+'Advanced Entry'!X147),IF('Advanced Entry'!X$5="Exponential",EXP('Advanced Entry'!X147),'Advanced Entry'!X147)))-'Advanced Entry'!X$6)/('Advanced Entry'!X$7-'Advanced Entry'!X$6),10*((IF('Advanced Entry'!X$5="Logarithm",LN(0.001+'Advanced Entry'!X147),IF('Advanced Entry'!X$5="Exponential",EXP('Advanced Entry'!X147),'Advanced Entry'!X147)))-'Advanced Entry'!X$6)/('Advanced Entry'!X$7-'Advanced Entry'!X$6)),1))),"No data"))</f>
        <v/>
      </c>
      <c r="Y147" s="17">
        <f>IF('Advanced Entry'!Y147="","",IFERROR(MAX(0,MIN(10,ROUND(IF('Advanced Entry'!Y$8="Decrease Risk",10-10*((IF('Advanced Entry'!Y$5="Logarithm",LN(0.001+'Advanced Entry'!Y147),IF('Advanced Entry'!Y$5="Exponential",EXP('Advanced Entry'!Y147),'Advanced Entry'!Y147)))-'Advanced Entry'!Y$6)/('Advanced Entry'!Y$7-'Advanced Entry'!Y$6),10*((IF('Advanced Entry'!Y$5="Logarithm",LN(0.001+'Advanced Entry'!Y147),IF('Advanced Entry'!Y$5="Exponential",EXP('Advanced Entry'!Y147),'Advanced Entry'!Y147)))-'Advanced Entry'!Y$6)/('Advanced Entry'!Y$7-'Advanced Entry'!Y$6)),1))),"No data"))</f>
        <v/>
      </c>
      <c r="Z147" s="17">
        <f>IF('Advanced Entry'!Z147="","",IFERROR(MAX(0,MIN(10,ROUND(IF('Advanced Entry'!Z$8="Decrease Risk",10-10*((IF('Advanced Entry'!Z$5="Logarithm",LN(0.001+'Advanced Entry'!Z147),IF('Advanced Entry'!Z$5="Exponential",EXP('Advanced Entry'!Z147),'Advanced Entry'!Z147)))-'Advanced Entry'!Z$6)/('Advanced Entry'!Z$7-'Advanced Entry'!Z$6),10*((IF('Advanced Entry'!Z$5="Logarithm",LN(0.001+'Advanced Entry'!Z147),IF('Advanced Entry'!Z$5="Exponential",EXP('Advanced Entry'!Z147),'Advanced Entry'!Z147)))-'Advanced Entry'!Z$6)/('Advanced Entry'!Z$7-'Advanced Entry'!Z$6)),1))),"No data"))</f>
        <v/>
      </c>
      <c r="AA147" s="17">
        <f>IF('Advanced Entry'!AA147="","",IFERROR(MAX(0,MIN(10,ROUND(IF('Advanced Entry'!AA$8="Decrease Risk",10-10*((IF('Advanced Entry'!AA$5="Logarithm",LN(0.001+'Advanced Entry'!AA147),IF('Advanced Entry'!AA$5="Exponential",EXP('Advanced Entry'!AA147),'Advanced Entry'!AA147)))-'Advanced Entry'!AA$6)/('Advanced Entry'!AA$7-'Advanced Entry'!AA$6),10*((IF('Advanced Entry'!AA$5="Logarithm",LN(0.001+'Advanced Entry'!AA147),IF('Advanced Entry'!AA$5="Exponential",EXP('Advanced Entry'!AA147),'Advanced Entry'!AA147)))-'Advanced Entry'!AA$6)/('Advanced Entry'!AA$7-'Advanced Entry'!AA$6)),1))),"No data"))</f>
        <v/>
      </c>
      <c r="AB147" s="17">
        <f>IF('Advanced Entry'!AB147="","",IFERROR(MAX(0,MIN(10,ROUND(IF('Advanced Entry'!AB$8="Decrease Risk",10-10*((IF('Advanced Entry'!AB$5="Logarithm",LN(0.001+'Advanced Entry'!AB147),IF('Advanced Entry'!AB$5="Exponential",EXP('Advanced Entry'!AB147),'Advanced Entry'!AB147)))-'Advanced Entry'!AB$6)/('Advanced Entry'!AB$7-'Advanced Entry'!AB$6),10*((IF('Advanced Entry'!AB$5="Logarithm",LN(0.001+'Advanced Entry'!AB147),IF('Advanced Entry'!AB$5="Exponential",EXP('Advanced Entry'!AB147),'Advanced Entry'!AB147)))-'Advanced Entry'!AB$6)/('Advanced Entry'!AB$7-'Advanced Entry'!AB$6)),1))),"No data"))</f>
        <v/>
      </c>
    </row>
    <row r="148">
      <c r="A148" t="inlineStr">
        <is>
          <t>Pwani</t>
        </is>
      </c>
      <c r="B148" t="inlineStr">
        <is>
          <t>Mafia District</t>
        </is>
      </c>
      <c r="C148" t="inlineStr">
        <is>
          <t>C050</t>
        </is>
      </c>
      <c r="D148" s="17">
        <f>IF('Advanced Entry'!D148="","",IFERROR(MAX(0,MIN(10,ROUND(IF('Advanced Entry'!D$8="Decrease Risk",10-10*((IF('Advanced Entry'!D$5="Logarithm",LN(0.001+'Advanced Entry'!D148),IF('Advanced Entry'!D$5="Exponential",EXP('Advanced Entry'!D148),'Advanced Entry'!D148)))-'Advanced Entry'!D$6)/('Advanced Entry'!D$7-'Advanced Entry'!D$6),10*((IF('Advanced Entry'!D$5="Logarithm",LN(0.001+'Advanced Entry'!D148),IF('Advanced Entry'!D$5="Exponential",EXP('Advanced Entry'!D148),'Advanced Entry'!D148)))-'Advanced Entry'!D$6)/('Advanced Entry'!D$7-'Advanced Entry'!D$6)),1))),"No data"))</f>
        <v/>
      </c>
      <c r="E148" s="17">
        <f>IF('Advanced Entry'!E148="","",IFERROR(MAX(0,MIN(10,ROUND(IF('Advanced Entry'!E$8="Decrease Risk",10-10*((IF('Advanced Entry'!E$5="Logarithm",LN(0.001+'Advanced Entry'!E148),IF('Advanced Entry'!E$5="Exponential",EXP('Advanced Entry'!E148),'Advanced Entry'!E148)))-'Advanced Entry'!E$6)/('Advanced Entry'!E$7-'Advanced Entry'!E$6),10*((IF('Advanced Entry'!E$5="Logarithm",LN(0.001+'Advanced Entry'!E148),IF('Advanced Entry'!E$5="Exponential",EXP('Advanced Entry'!E148),'Advanced Entry'!E148)))-'Advanced Entry'!E$6)/('Advanced Entry'!E$7-'Advanced Entry'!E$6)),1))),"No data"))</f>
        <v/>
      </c>
      <c r="F148" s="17">
        <f>IF('Advanced Entry'!F148="","",IFERROR(MAX(0,MIN(10,ROUND(IF('Advanced Entry'!F$8="Decrease Risk",10-10*((IF('Advanced Entry'!F$5="Logarithm",LN(0.001+'Advanced Entry'!F148),IF('Advanced Entry'!F$5="Exponential",EXP('Advanced Entry'!F148),'Advanced Entry'!F148)))-'Advanced Entry'!F$6)/('Advanced Entry'!F$7-'Advanced Entry'!F$6),10*((IF('Advanced Entry'!F$5="Logarithm",LN(0.001+'Advanced Entry'!F148),IF('Advanced Entry'!F$5="Exponential",EXP('Advanced Entry'!F148),'Advanced Entry'!F148)))-'Advanced Entry'!F$6)/('Advanced Entry'!F$7-'Advanced Entry'!F$6)),1))),"No data"))</f>
        <v/>
      </c>
      <c r="G148" s="17">
        <f>IF('Advanced Entry'!G148="","",IFERROR(MAX(0,MIN(10,ROUND(IF('Advanced Entry'!G$8="Decrease Risk",10-10*((IF('Advanced Entry'!G$5="Logarithm",LN(0.001+'Advanced Entry'!G148),IF('Advanced Entry'!G$5="Exponential",EXP('Advanced Entry'!G148),'Advanced Entry'!G148)))-'Advanced Entry'!G$6)/('Advanced Entry'!G$7-'Advanced Entry'!G$6),10*((IF('Advanced Entry'!G$5="Logarithm",LN(0.001+'Advanced Entry'!G148),IF('Advanced Entry'!G$5="Exponential",EXP('Advanced Entry'!G148),'Advanced Entry'!G148)))-'Advanced Entry'!G$6)/('Advanced Entry'!G$7-'Advanced Entry'!G$6)),1))),"No data"))</f>
        <v/>
      </c>
      <c r="H148" s="17">
        <f>IF('Advanced Entry'!H148="","",IFERROR(MAX(0,MIN(10,ROUND(IF('Advanced Entry'!H$8="Decrease Risk",10-10*((IF('Advanced Entry'!H$5="Logarithm",LN(0.001+'Advanced Entry'!H148),IF('Advanced Entry'!H$5="Exponential",EXP('Advanced Entry'!H148),'Advanced Entry'!H148)))-'Advanced Entry'!H$6)/('Advanced Entry'!H$7-'Advanced Entry'!H$6),10*((IF('Advanced Entry'!H$5="Logarithm",LN(0.001+'Advanced Entry'!H148),IF('Advanced Entry'!H$5="Exponential",EXP('Advanced Entry'!H148),'Advanced Entry'!H148)))-'Advanced Entry'!H$6)/('Advanced Entry'!H$7-'Advanced Entry'!H$6)),1))),"No data"))</f>
        <v/>
      </c>
      <c r="I148" s="17">
        <f>IF('Advanced Entry'!I148="","",IFERROR(MAX(0,MIN(10,ROUND(IF('Advanced Entry'!I$8="Decrease Risk",10-10*((IF('Advanced Entry'!I$5="Logarithm",LN(0.001+'Advanced Entry'!I148),IF('Advanced Entry'!I$5="Exponential",EXP('Advanced Entry'!I148),'Advanced Entry'!I148)))-'Advanced Entry'!I$6)/('Advanced Entry'!I$7-'Advanced Entry'!I$6),10*((IF('Advanced Entry'!I$5="Logarithm",LN(0.001+'Advanced Entry'!I148),IF('Advanced Entry'!I$5="Exponential",EXP('Advanced Entry'!I148),'Advanced Entry'!I148)))-'Advanced Entry'!I$6)/('Advanced Entry'!I$7-'Advanced Entry'!I$6)),1))),"No data"))</f>
        <v/>
      </c>
      <c r="J148" s="17">
        <f>IF('Advanced Entry'!J148="","",IFERROR(MAX(0,MIN(10,ROUND(IF('Advanced Entry'!J$8="Decrease Risk",10-10*((IF('Advanced Entry'!J$5="Logarithm",LN(0.001+'Advanced Entry'!J148),IF('Advanced Entry'!J$5="Exponential",EXP('Advanced Entry'!J148),'Advanced Entry'!J148)))-'Advanced Entry'!J$6)/('Advanced Entry'!J$7-'Advanced Entry'!J$6),10*((IF('Advanced Entry'!J$5="Logarithm",LN(0.001+'Advanced Entry'!J148),IF('Advanced Entry'!J$5="Exponential",EXP('Advanced Entry'!J148),'Advanced Entry'!J148)))-'Advanced Entry'!J$6)/('Advanced Entry'!J$7-'Advanced Entry'!J$6)),1))),"No data"))</f>
        <v/>
      </c>
      <c r="K148" s="17">
        <f>IF('Advanced Entry'!K148="","",IFERROR(MAX(0,MIN(10,ROUND(IF('Advanced Entry'!K$8="Decrease Risk",10-10*((IF('Advanced Entry'!K$5="Logarithm",LN(0.001+'Advanced Entry'!K148),IF('Advanced Entry'!K$5="Exponential",EXP('Advanced Entry'!K148),'Advanced Entry'!K148)))-'Advanced Entry'!K$6)/('Advanced Entry'!K$7-'Advanced Entry'!K$6),10*((IF('Advanced Entry'!K$5="Logarithm",LN(0.001+'Advanced Entry'!K148),IF('Advanced Entry'!K$5="Exponential",EXP('Advanced Entry'!K148),'Advanced Entry'!K148)))-'Advanced Entry'!K$6)/('Advanced Entry'!K$7-'Advanced Entry'!K$6)),1))),"No data"))</f>
        <v/>
      </c>
      <c r="L148" s="17">
        <f>IF('Advanced Entry'!L148="","",IFERROR(MAX(0,MIN(10,ROUND(IF('Advanced Entry'!L$8="Decrease Risk",10-10*((IF('Advanced Entry'!L$5="Logarithm",LN(0.001+'Advanced Entry'!L148),IF('Advanced Entry'!L$5="Exponential",EXP('Advanced Entry'!L148),'Advanced Entry'!L148)))-'Advanced Entry'!L$6)/('Advanced Entry'!L$7-'Advanced Entry'!L$6),10*((IF('Advanced Entry'!L$5="Logarithm",LN(0.001+'Advanced Entry'!L148),IF('Advanced Entry'!L$5="Exponential",EXP('Advanced Entry'!L148),'Advanced Entry'!L148)))-'Advanced Entry'!L$6)/('Advanced Entry'!L$7-'Advanced Entry'!L$6)),1))),"No data"))</f>
        <v/>
      </c>
      <c r="M148" s="17">
        <f>IF('Advanced Entry'!M148="","",IFERROR(MAX(0,MIN(10,ROUND(IF('Advanced Entry'!M$8="Decrease Risk",10-10*((IF('Advanced Entry'!M$5="Logarithm",LN(0.001+'Advanced Entry'!M148),IF('Advanced Entry'!M$5="Exponential",EXP('Advanced Entry'!M148),'Advanced Entry'!M148)))-'Advanced Entry'!M$6)/('Advanced Entry'!M$7-'Advanced Entry'!M$6),10*((IF('Advanced Entry'!M$5="Logarithm",LN(0.001+'Advanced Entry'!M148),IF('Advanced Entry'!M$5="Exponential",EXP('Advanced Entry'!M148),'Advanced Entry'!M148)))-'Advanced Entry'!M$6)/('Advanced Entry'!M$7-'Advanced Entry'!M$6)),1))),"No data"))</f>
        <v/>
      </c>
      <c r="N148" s="17">
        <f>IF('Advanced Entry'!N148="","",IFERROR(MAX(0,MIN(10,ROUND(IF('Advanced Entry'!N$8="Decrease Risk",10-10*((IF('Advanced Entry'!N$5="Logarithm",LN(0.001+'Advanced Entry'!N148),IF('Advanced Entry'!N$5="Exponential",EXP('Advanced Entry'!N148),'Advanced Entry'!N148)))-'Advanced Entry'!N$6)/('Advanced Entry'!N$7-'Advanced Entry'!N$6),10*((IF('Advanced Entry'!N$5="Logarithm",LN(0.001+'Advanced Entry'!N148),IF('Advanced Entry'!N$5="Exponential",EXP('Advanced Entry'!N148),'Advanced Entry'!N148)))-'Advanced Entry'!N$6)/('Advanced Entry'!N$7-'Advanced Entry'!N$6)),1))),"No data"))</f>
        <v/>
      </c>
      <c r="O148" s="17">
        <f>IF('Advanced Entry'!O148="","",IFERROR(MAX(0,MIN(10,ROUND(IF('Advanced Entry'!O$8="Decrease Risk",10-10*((IF('Advanced Entry'!O$5="Logarithm",LN(0.001+'Advanced Entry'!O148),IF('Advanced Entry'!O$5="Exponential",EXP('Advanced Entry'!O148),'Advanced Entry'!O148)))-'Advanced Entry'!O$6)/('Advanced Entry'!O$7-'Advanced Entry'!O$6),10*((IF('Advanced Entry'!O$5="Logarithm",LN(0.001+'Advanced Entry'!O148),IF('Advanced Entry'!O$5="Exponential",EXP('Advanced Entry'!O148),'Advanced Entry'!O148)))-'Advanced Entry'!O$6)/('Advanced Entry'!O$7-'Advanced Entry'!O$6)),1))),"No data"))</f>
        <v/>
      </c>
      <c r="P148" s="17">
        <f>IF('Advanced Entry'!P148="","",IFERROR(MAX(0,MIN(10,ROUND(IF('Advanced Entry'!P$8="Decrease Risk",10-10*((IF('Advanced Entry'!P$5="Logarithm",LN(0.001+'Advanced Entry'!P148),IF('Advanced Entry'!P$5="Exponential",EXP('Advanced Entry'!P148),'Advanced Entry'!P148)))-'Advanced Entry'!P$6)/('Advanced Entry'!P$7-'Advanced Entry'!P$6),10*((IF('Advanced Entry'!P$5="Logarithm",LN(0.001+'Advanced Entry'!P148),IF('Advanced Entry'!P$5="Exponential",EXP('Advanced Entry'!P148),'Advanced Entry'!P148)))-'Advanced Entry'!P$6)/('Advanced Entry'!P$7-'Advanced Entry'!P$6)),1))),"No data"))</f>
        <v/>
      </c>
      <c r="Q148" s="17">
        <f>IF('Advanced Entry'!Q148="","",IFERROR(MAX(0,MIN(10,ROUND(IF('Advanced Entry'!Q$8="Decrease Risk",10-10*((IF('Advanced Entry'!Q$5="Logarithm",LN(0.001+'Advanced Entry'!Q148),IF('Advanced Entry'!Q$5="Exponential",EXP('Advanced Entry'!Q148),'Advanced Entry'!Q148)))-'Advanced Entry'!Q$6)/('Advanced Entry'!Q$7-'Advanced Entry'!Q$6),10*((IF('Advanced Entry'!Q$5="Logarithm",LN(0.001+'Advanced Entry'!Q148),IF('Advanced Entry'!Q$5="Exponential",EXP('Advanced Entry'!Q148),'Advanced Entry'!Q148)))-'Advanced Entry'!Q$6)/('Advanced Entry'!Q$7-'Advanced Entry'!Q$6)),1))),"No data"))</f>
        <v/>
      </c>
      <c r="R148" s="17">
        <f>IF('Advanced Entry'!R148="","",IFERROR(MAX(0,MIN(10,ROUND(IF('Advanced Entry'!R$8="Decrease Risk",10-10*((IF('Advanced Entry'!R$5="Logarithm",LN(0.001+'Advanced Entry'!R148),IF('Advanced Entry'!R$5="Exponential",EXP('Advanced Entry'!R148),'Advanced Entry'!R148)))-'Advanced Entry'!R$6)/('Advanced Entry'!R$7-'Advanced Entry'!R$6),10*((IF('Advanced Entry'!R$5="Logarithm",LN(0.001+'Advanced Entry'!R148),IF('Advanced Entry'!R$5="Exponential",EXP('Advanced Entry'!R148),'Advanced Entry'!R148)))-'Advanced Entry'!R$6)/('Advanced Entry'!R$7-'Advanced Entry'!R$6)),1))),"No data"))</f>
        <v/>
      </c>
      <c r="S148" s="17">
        <f>IF('Advanced Entry'!S148="","",IFERROR(MAX(0,MIN(10,ROUND(IF('Advanced Entry'!S$8="Decrease Risk",10-10*((IF('Advanced Entry'!S$5="Logarithm",LN(0.001+'Advanced Entry'!S148),IF('Advanced Entry'!S$5="Exponential",EXP('Advanced Entry'!S148),'Advanced Entry'!S148)))-'Advanced Entry'!S$6)/('Advanced Entry'!S$7-'Advanced Entry'!S$6),10*((IF('Advanced Entry'!S$5="Logarithm",LN(0.001+'Advanced Entry'!S148),IF('Advanced Entry'!S$5="Exponential",EXP('Advanced Entry'!S148),'Advanced Entry'!S148)))-'Advanced Entry'!S$6)/('Advanced Entry'!S$7-'Advanced Entry'!S$6)),1))),"No data"))</f>
        <v/>
      </c>
      <c r="T148" s="17">
        <f>IF('Advanced Entry'!T148="","",IFERROR(MAX(0,MIN(10,ROUND(IF('Advanced Entry'!T$8="Decrease Risk",10-10*((IF('Advanced Entry'!T$5="Logarithm",LN(0.001+'Advanced Entry'!T148),IF('Advanced Entry'!T$5="Exponential",EXP('Advanced Entry'!T148),'Advanced Entry'!T148)))-'Advanced Entry'!T$6)/('Advanced Entry'!T$7-'Advanced Entry'!T$6),10*((IF('Advanced Entry'!T$5="Logarithm",LN(0.001+'Advanced Entry'!T148),IF('Advanced Entry'!T$5="Exponential",EXP('Advanced Entry'!T148),'Advanced Entry'!T148)))-'Advanced Entry'!T$6)/('Advanced Entry'!T$7-'Advanced Entry'!T$6)),1))),"No data"))</f>
        <v/>
      </c>
      <c r="U148" s="17">
        <f>IF('Advanced Entry'!U148="","",IFERROR(MAX(0,MIN(10,ROUND(IF('Advanced Entry'!U$8="Decrease Risk",10-10*((IF('Advanced Entry'!U$5="Logarithm",LN(0.001+'Advanced Entry'!U148),IF('Advanced Entry'!U$5="Exponential",EXP('Advanced Entry'!U148),'Advanced Entry'!U148)))-'Advanced Entry'!U$6)/('Advanced Entry'!U$7-'Advanced Entry'!U$6),10*((IF('Advanced Entry'!U$5="Logarithm",LN(0.001+'Advanced Entry'!U148),IF('Advanced Entry'!U$5="Exponential",EXP('Advanced Entry'!U148),'Advanced Entry'!U148)))-'Advanced Entry'!U$6)/('Advanced Entry'!U$7-'Advanced Entry'!U$6)),1))),"No data"))</f>
        <v/>
      </c>
      <c r="V148" s="17">
        <f>IF('Advanced Entry'!V148="","",IFERROR(MAX(0,MIN(10,ROUND(IF('Advanced Entry'!V$8="Decrease Risk",10-10*((IF('Advanced Entry'!V$5="Logarithm",LN(0.001+'Advanced Entry'!V148),IF('Advanced Entry'!V$5="Exponential",EXP('Advanced Entry'!V148),'Advanced Entry'!V148)))-'Advanced Entry'!V$6)/('Advanced Entry'!V$7-'Advanced Entry'!V$6),10*((IF('Advanced Entry'!V$5="Logarithm",LN(0.001+'Advanced Entry'!V148),IF('Advanced Entry'!V$5="Exponential",EXP('Advanced Entry'!V148),'Advanced Entry'!V148)))-'Advanced Entry'!V$6)/('Advanced Entry'!V$7-'Advanced Entry'!V$6)),1))),"No data"))</f>
        <v/>
      </c>
      <c r="W148" s="17">
        <f>IF('Advanced Entry'!W148="","",IFERROR(MAX(0,MIN(10,ROUND(IF('Advanced Entry'!W$8="Decrease Risk",10-10*((IF('Advanced Entry'!W$5="Logarithm",LN(0.001+'Advanced Entry'!W148),IF('Advanced Entry'!W$5="Exponential",EXP('Advanced Entry'!W148),'Advanced Entry'!W148)))-'Advanced Entry'!W$6)/('Advanced Entry'!W$7-'Advanced Entry'!W$6),10*((IF('Advanced Entry'!W$5="Logarithm",LN(0.001+'Advanced Entry'!W148),IF('Advanced Entry'!W$5="Exponential",EXP('Advanced Entry'!W148),'Advanced Entry'!W148)))-'Advanced Entry'!W$6)/('Advanced Entry'!W$7-'Advanced Entry'!W$6)),1))),"No data"))</f>
        <v/>
      </c>
      <c r="X148" s="17">
        <f>IF('Advanced Entry'!X148="","",IFERROR(MAX(0,MIN(10,ROUND(IF('Advanced Entry'!X$8="Decrease Risk",10-10*((IF('Advanced Entry'!X$5="Logarithm",LN(0.001+'Advanced Entry'!X148),IF('Advanced Entry'!X$5="Exponential",EXP('Advanced Entry'!X148),'Advanced Entry'!X148)))-'Advanced Entry'!X$6)/('Advanced Entry'!X$7-'Advanced Entry'!X$6),10*((IF('Advanced Entry'!X$5="Logarithm",LN(0.001+'Advanced Entry'!X148),IF('Advanced Entry'!X$5="Exponential",EXP('Advanced Entry'!X148),'Advanced Entry'!X148)))-'Advanced Entry'!X$6)/('Advanced Entry'!X$7-'Advanced Entry'!X$6)),1))),"No data"))</f>
        <v/>
      </c>
      <c r="Y148" s="17">
        <f>IF('Advanced Entry'!Y148="","",IFERROR(MAX(0,MIN(10,ROUND(IF('Advanced Entry'!Y$8="Decrease Risk",10-10*((IF('Advanced Entry'!Y$5="Logarithm",LN(0.001+'Advanced Entry'!Y148),IF('Advanced Entry'!Y$5="Exponential",EXP('Advanced Entry'!Y148),'Advanced Entry'!Y148)))-'Advanced Entry'!Y$6)/('Advanced Entry'!Y$7-'Advanced Entry'!Y$6),10*((IF('Advanced Entry'!Y$5="Logarithm",LN(0.001+'Advanced Entry'!Y148),IF('Advanced Entry'!Y$5="Exponential",EXP('Advanced Entry'!Y148),'Advanced Entry'!Y148)))-'Advanced Entry'!Y$6)/('Advanced Entry'!Y$7-'Advanced Entry'!Y$6)),1))),"No data"))</f>
        <v/>
      </c>
      <c r="Z148" s="17">
        <f>IF('Advanced Entry'!Z148="","",IFERROR(MAX(0,MIN(10,ROUND(IF('Advanced Entry'!Z$8="Decrease Risk",10-10*((IF('Advanced Entry'!Z$5="Logarithm",LN(0.001+'Advanced Entry'!Z148),IF('Advanced Entry'!Z$5="Exponential",EXP('Advanced Entry'!Z148),'Advanced Entry'!Z148)))-'Advanced Entry'!Z$6)/('Advanced Entry'!Z$7-'Advanced Entry'!Z$6),10*((IF('Advanced Entry'!Z$5="Logarithm",LN(0.001+'Advanced Entry'!Z148),IF('Advanced Entry'!Z$5="Exponential",EXP('Advanced Entry'!Z148),'Advanced Entry'!Z148)))-'Advanced Entry'!Z$6)/('Advanced Entry'!Z$7-'Advanced Entry'!Z$6)),1))),"No data"))</f>
        <v/>
      </c>
      <c r="AA148" s="17">
        <f>IF('Advanced Entry'!AA148="","",IFERROR(MAX(0,MIN(10,ROUND(IF('Advanced Entry'!AA$8="Decrease Risk",10-10*((IF('Advanced Entry'!AA$5="Logarithm",LN(0.001+'Advanced Entry'!AA148),IF('Advanced Entry'!AA$5="Exponential",EXP('Advanced Entry'!AA148),'Advanced Entry'!AA148)))-'Advanced Entry'!AA$6)/('Advanced Entry'!AA$7-'Advanced Entry'!AA$6),10*((IF('Advanced Entry'!AA$5="Logarithm",LN(0.001+'Advanced Entry'!AA148),IF('Advanced Entry'!AA$5="Exponential",EXP('Advanced Entry'!AA148),'Advanced Entry'!AA148)))-'Advanced Entry'!AA$6)/('Advanced Entry'!AA$7-'Advanced Entry'!AA$6)),1))),"No data"))</f>
        <v/>
      </c>
      <c r="AB148" s="17">
        <f>IF('Advanced Entry'!AB148="","",IFERROR(MAX(0,MIN(10,ROUND(IF('Advanced Entry'!AB$8="Decrease Risk",10-10*((IF('Advanced Entry'!AB$5="Logarithm",LN(0.001+'Advanced Entry'!AB148),IF('Advanced Entry'!AB$5="Exponential",EXP('Advanced Entry'!AB148),'Advanced Entry'!AB148)))-'Advanced Entry'!AB$6)/('Advanced Entry'!AB$7-'Advanced Entry'!AB$6),10*((IF('Advanced Entry'!AB$5="Logarithm",LN(0.001+'Advanced Entry'!AB148),IF('Advanced Entry'!AB$5="Exponential",EXP('Advanced Entry'!AB148),'Advanced Entry'!AB148)))-'Advanced Entry'!AB$6)/('Advanced Entry'!AB$7-'Advanced Entry'!AB$6)),1))),"No data"))</f>
        <v/>
      </c>
    </row>
    <row r="149">
      <c r="A149" t="inlineStr">
        <is>
          <t>Pwani</t>
        </is>
      </c>
      <c r="B149" t="inlineStr">
        <is>
          <t>Mkuranga District</t>
        </is>
      </c>
      <c r="C149" t="inlineStr">
        <is>
          <t>C048</t>
        </is>
      </c>
      <c r="D149" s="17">
        <f>IF('Advanced Entry'!D149="","",IFERROR(MAX(0,MIN(10,ROUND(IF('Advanced Entry'!D$8="Decrease Risk",10-10*((IF('Advanced Entry'!D$5="Logarithm",LN(0.001+'Advanced Entry'!D149),IF('Advanced Entry'!D$5="Exponential",EXP('Advanced Entry'!D149),'Advanced Entry'!D149)))-'Advanced Entry'!D$6)/('Advanced Entry'!D$7-'Advanced Entry'!D$6),10*((IF('Advanced Entry'!D$5="Logarithm",LN(0.001+'Advanced Entry'!D149),IF('Advanced Entry'!D$5="Exponential",EXP('Advanced Entry'!D149),'Advanced Entry'!D149)))-'Advanced Entry'!D$6)/('Advanced Entry'!D$7-'Advanced Entry'!D$6)),1))),"No data"))</f>
        <v/>
      </c>
      <c r="E149" s="17">
        <f>IF('Advanced Entry'!E149="","",IFERROR(MAX(0,MIN(10,ROUND(IF('Advanced Entry'!E$8="Decrease Risk",10-10*((IF('Advanced Entry'!E$5="Logarithm",LN(0.001+'Advanced Entry'!E149),IF('Advanced Entry'!E$5="Exponential",EXP('Advanced Entry'!E149),'Advanced Entry'!E149)))-'Advanced Entry'!E$6)/('Advanced Entry'!E$7-'Advanced Entry'!E$6),10*((IF('Advanced Entry'!E$5="Logarithm",LN(0.001+'Advanced Entry'!E149),IF('Advanced Entry'!E$5="Exponential",EXP('Advanced Entry'!E149),'Advanced Entry'!E149)))-'Advanced Entry'!E$6)/('Advanced Entry'!E$7-'Advanced Entry'!E$6)),1))),"No data"))</f>
        <v/>
      </c>
      <c r="F149" s="17">
        <f>IF('Advanced Entry'!F149="","",IFERROR(MAX(0,MIN(10,ROUND(IF('Advanced Entry'!F$8="Decrease Risk",10-10*((IF('Advanced Entry'!F$5="Logarithm",LN(0.001+'Advanced Entry'!F149),IF('Advanced Entry'!F$5="Exponential",EXP('Advanced Entry'!F149),'Advanced Entry'!F149)))-'Advanced Entry'!F$6)/('Advanced Entry'!F$7-'Advanced Entry'!F$6),10*((IF('Advanced Entry'!F$5="Logarithm",LN(0.001+'Advanced Entry'!F149),IF('Advanced Entry'!F$5="Exponential",EXP('Advanced Entry'!F149),'Advanced Entry'!F149)))-'Advanced Entry'!F$6)/('Advanced Entry'!F$7-'Advanced Entry'!F$6)),1))),"No data"))</f>
        <v/>
      </c>
      <c r="G149" s="17">
        <f>IF('Advanced Entry'!G149="","",IFERROR(MAX(0,MIN(10,ROUND(IF('Advanced Entry'!G$8="Decrease Risk",10-10*((IF('Advanced Entry'!G$5="Logarithm",LN(0.001+'Advanced Entry'!G149),IF('Advanced Entry'!G$5="Exponential",EXP('Advanced Entry'!G149),'Advanced Entry'!G149)))-'Advanced Entry'!G$6)/('Advanced Entry'!G$7-'Advanced Entry'!G$6),10*((IF('Advanced Entry'!G$5="Logarithm",LN(0.001+'Advanced Entry'!G149),IF('Advanced Entry'!G$5="Exponential",EXP('Advanced Entry'!G149),'Advanced Entry'!G149)))-'Advanced Entry'!G$6)/('Advanced Entry'!G$7-'Advanced Entry'!G$6)),1))),"No data"))</f>
        <v/>
      </c>
      <c r="H149" s="17">
        <f>IF('Advanced Entry'!H149="","",IFERROR(MAX(0,MIN(10,ROUND(IF('Advanced Entry'!H$8="Decrease Risk",10-10*((IF('Advanced Entry'!H$5="Logarithm",LN(0.001+'Advanced Entry'!H149),IF('Advanced Entry'!H$5="Exponential",EXP('Advanced Entry'!H149),'Advanced Entry'!H149)))-'Advanced Entry'!H$6)/('Advanced Entry'!H$7-'Advanced Entry'!H$6),10*((IF('Advanced Entry'!H$5="Logarithm",LN(0.001+'Advanced Entry'!H149),IF('Advanced Entry'!H$5="Exponential",EXP('Advanced Entry'!H149),'Advanced Entry'!H149)))-'Advanced Entry'!H$6)/('Advanced Entry'!H$7-'Advanced Entry'!H$6)),1))),"No data"))</f>
        <v/>
      </c>
      <c r="I149" s="17">
        <f>IF('Advanced Entry'!I149="","",IFERROR(MAX(0,MIN(10,ROUND(IF('Advanced Entry'!I$8="Decrease Risk",10-10*((IF('Advanced Entry'!I$5="Logarithm",LN(0.001+'Advanced Entry'!I149),IF('Advanced Entry'!I$5="Exponential",EXP('Advanced Entry'!I149),'Advanced Entry'!I149)))-'Advanced Entry'!I$6)/('Advanced Entry'!I$7-'Advanced Entry'!I$6),10*((IF('Advanced Entry'!I$5="Logarithm",LN(0.001+'Advanced Entry'!I149),IF('Advanced Entry'!I$5="Exponential",EXP('Advanced Entry'!I149),'Advanced Entry'!I149)))-'Advanced Entry'!I$6)/('Advanced Entry'!I$7-'Advanced Entry'!I$6)),1))),"No data"))</f>
        <v/>
      </c>
      <c r="J149" s="17">
        <f>IF('Advanced Entry'!J149="","",IFERROR(MAX(0,MIN(10,ROUND(IF('Advanced Entry'!J$8="Decrease Risk",10-10*((IF('Advanced Entry'!J$5="Logarithm",LN(0.001+'Advanced Entry'!J149),IF('Advanced Entry'!J$5="Exponential",EXP('Advanced Entry'!J149),'Advanced Entry'!J149)))-'Advanced Entry'!J$6)/('Advanced Entry'!J$7-'Advanced Entry'!J$6),10*((IF('Advanced Entry'!J$5="Logarithm",LN(0.001+'Advanced Entry'!J149),IF('Advanced Entry'!J$5="Exponential",EXP('Advanced Entry'!J149),'Advanced Entry'!J149)))-'Advanced Entry'!J$6)/('Advanced Entry'!J$7-'Advanced Entry'!J$6)),1))),"No data"))</f>
        <v/>
      </c>
      <c r="K149" s="17">
        <f>IF('Advanced Entry'!K149="","",IFERROR(MAX(0,MIN(10,ROUND(IF('Advanced Entry'!K$8="Decrease Risk",10-10*((IF('Advanced Entry'!K$5="Logarithm",LN(0.001+'Advanced Entry'!K149),IF('Advanced Entry'!K$5="Exponential",EXP('Advanced Entry'!K149),'Advanced Entry'!K149)))-'Advanced Entry'!K$6)/('Advanced Entry'!K$7-'Advanced Entry'!K$6),10*((IF('Advanced Entry'!K$5="Logarithm",LN(0.001+'Advanced Entry'!K149),IF('Advanced Entry'!K$5="Exponential",EXP('Advanced Entry'!K149),'Advanced Entry'!K149)))-'Advanced Entry'!K$6)/('Advanced Entry'!K$7-'Advanced Entry'!K$6)),1))),"No data"))</f>
        <v/>
      </c>
      <c r="L149" s="17">
        <f>IF('Advanced Entry'!L149="","",IFERROR(MAX(0,MIN(10,ROUND(IF('Advanced Entry'!L$8="Decrease Risk",10-10*((IF('Advanced Entry'!L$5="Logarithm",LN(0.001+'Advanced Entry'!L149),IF('Advanced Entry'!L$5="Exponential",EXP('Advanced Entry'!L149),'Advanced Entry'!L149)))-'Advanced Entry'!L$6)/('Advanced Entry'!L$7-'Advanced Entry'!L$6),10*((IF('Advanced Entry'!L$5="Logarithm",LN(0.001+'Advanced Entry'!L149),IF('Advanced Entry'!L$5="Exponential",EXP('Advanced Entry'!L149),'Advanced Entry'!L149)))-'Advanced Entry'!L$6)/('Advanced Entry'!L$7-'Advanced Entry'!L$6)),1))),"No data"))</f>
        <v/>
      </c>
      <c r="M149" s="17">
        <f>IF('Advanced Entry'!M149="","",IFERROR(MAX(0,MIN(10,ROUND(IF('Advanced Entry'!M$8="Decrease Risk",10-10*((IF('Advanced Entry'!M$5="Logarithm",LN(0.001+'Advanced Entry'!M149),IF('Advanced Entry'!M$5="Exponential",EXP('Advanced Entry'!M149),'Advanced Entry'!M149)))-'Advanced Entry'!M$6)/('Advanced Entry'!M$7-'Advanced Entry'!M$6),10*((IF('Advanced Entry'!M$5="Logarithm",LN(0.001+'Advanced Entry'!M149),IF('Advanced Entry'!M$5="Exponential",EXP('Advanced Entry'!M149),'Advanced Entry'!M149)))-'Advanced Entry'!M$6)/('Advanced Entry'!M$7-'Advanced Entry'!M$6)),1))),"No data"))</f>
        <v/>
      </c>
      <c r="N149" s="17">
        <f>IF('Advanced Entry'!N149="","",IFERROR(MAX(0,MIN(10,ROUND(IF('Advanced Entry'!N$8="Decrease Risk",10-10*((IF('Advanced Entry'!N$5="Logarithm",LN(0.001+'Advanced Entry'!N149),IF('Advanced Entry'!N$5="Exponential",EXP('Advanced Entry'!N149),'Advanced Entry'!N149)))-'Advanced Entry'!N$6)/('Advanced Entry'!N$7-'Advanced Entry'!N$6),10*((IF('Advanced Entry'!N$5="Logarithm",LN(0.001+'Advanced Entry'!N149),IF('Advanced Entry'!N$5="Exponential",EXP('Advanced Entry'!N149),'Advanced Entry'!N149)))-'Advanced Entry'!N$6)/('Advanced Entry'!N$7-'Advanced Entry'!N$6)),1))),"No data"))</f>
        <v/>
      </c>
      <c r="O149" s="17">
        <f>IF('Advanced Entry'!O149="","",IFERROR(MAX(0,MIN(10,ROUND(IF('Advanced Entry'!O$8="Decrease Risk",10-10*((IF('Advanced Entry'!O$5="Logarithm",LN(0.001+'Advanced Entry'!O149),IF('Advanced Entry'!O$5="Exponential",EXP('Advanced Entry'!O149),'Advanced Entry'!O149)))-'Advanced Entry'!O$6)/('Advanced Entry'!O$7-'Advanced Entry'!O$6),10*((IF('Advanced Entry'!O$5="Logarithm",LN(0.001+'Advanced Entry'!O149),IF('Advanced Entry'!O$5="Exponential",EXP('Advanced Entry'!O149),'Advanced Entry'!O149)))-'Advanced Entry'!O$6)/('Advanced Entry'!O$7-'Advanced Entry'!O$6)),1))),"No data"))</f>
        <v/>
      </c>
      <c r="P149" s="17">
        <f>IF('Advanced Entry'!P149="","",IFERROR(MAX(0,MIN(10,ROUND(IF('Advanced Entry'!P$8="Decrease Risk",10-10*((IF('Advanced Entry'!P$5="Logarithm",LN(0.001+'Advanced Entry'!P149),IF('Advanced Entry'!P$5="Exponential",EXP('Advanced Entry'!P149),'Advanced Entry'!P149)))-'Advanced Entry'!P$6)/('Advanced Entry'!P$7-'Advanced Entry'!P$6),10*((IF('Advanced Entry'!P$5="Logarithm",LN(0.001+'Advanced Entry'!P149),IF('Advanced Entry'!P$5="Exponential",EXP('Advanced Entry'!P149),'Advanced Entry'!P149)))-'Advanced Entry'!P$6)/('Advanced Entry'!P$7-'Advanced Entry'!P$6)),1))),"No data"))</f>
        <v/>
      </c>
      <c r="Q149" s="17">
        <f>IF('Advanced Entry'!Q149="","",IFERROR(MAX(0,MIN(10,ROUND(IF('Advanced Entry'!Q$8="Decrease Risk",10-10*((IF('Advanced Entry'!Q$5="Logarithm",LN(0.001+'Advanced Entry'!Q149),IF('Advanced Entry'!Q$5="Exponential",EXP('Advanced Entry'!Q149),'Advanced Entry'!Q149)))-'Advanced Entry'!Q$6)/('Advanced Entry'!Q$7-'Advanced Entry'!Q$6),10*((IF('Advanced Entry'!Q$5="Logarithm",LN(0.001+'Advanced Entry'!Q149),IF('Advanced Entry'!Q$5="Exponential",EXP('Advanced Entry'!Q149),'Advanced Entry'!Q149)))-'Advanced Entry'!Q$6)/('Advanced Entry'!Q$7-'Advanced Entry'!Q$6)),1))),"No data"))</f>
        <v/>
      </c>
      <c r="R149" s="17">
        <f>IF('Advanced Entry'!R149="","",IFERROR(MAX(0,MIN(10,ROUND(IF('Advanced Entry'!R$8="Decrease Risk",10-10*((IF('Advanced Entry'!R$5="Logarithm",LN(0.001+'Advanced Entry'!R149),IF('Advanced Entry'!R$5="Exponential",EXP('Advanced Entry'!R149),'Advanced Entry'!R149)))-'Advanced Entry'!R$6)/('Advanced Entry'!R$7-'Advanced Entry'!R$6),10*((IF('Advanced Entry'!R$5="Logarithm",LN(0.001+'Advanced Entry'!R149),IF('Advanced Entry'!R$5="Exponential",EXP('Advanced Entry'!R149),'Advanced Entry'!R149)))-'Advanced Entry'!R$6)/('Advanced Entry'!R$7-'Advanced Entry'!R$6)),1))),"No data"))</f>
        <v/>
      </c>
      <c r="S149" s="17">
        <f>IF('Advanced Entry'!S149="","",IFERROR(MAX(0,MIN(10,ROUND(IF('Advanced Entry'!S$8="Decrease Risk",10-10*((IF('Advanced Entry'!S$5="Logarithm",LN(0.001+'Advanced Entry'!S149),IF('Advanced Entry'!S$5="Exponential",EXP('Advanced Entry'!S149),'Advanced Entry'!S149)))-'Advanced Entry'!S$6)/('Advanced Entry'!S$7-'Advanced Entry'!S$6),10*((IF('Advanced Entry'!S$5="Logarithm",LN(0.001+'Advanced Entry'!S149),IF('Advanced Entry'!S$5="Exponential",EXP('Advanced Entry'!S149),'Advanced Entry'!S149)))-'Advanced Entry'!S$6)/('Advanced Entry'!S$7-'Advanced Entry'!S$6)),1))),"No data"))</f>
        <v/>
      </c>
      <c r="T149" s="17">
        <f>IF('Advanced Entry'!T149="","",IFERROR(MAX(0,MIN(10,ROUND(IF('Advanced Entry'!T$8="Decrease Risk",10-10*((IF('Advanced Entry'!T$5="Logarithm",LN(0.001+'Advanced Entry'!T149),IF('Advanced Entry'!T$5="Exponential",EXP('Advanced Entry'!T149),'Advanced Entry'!T149)))-'Advanced Entry'!T$6)/('Advanced Entry'!T$7-'Advanced Entry'!T$6),10*((IF('Advanced Entry'!T$5="Logarithm",LN(0.001+'Advanced Entry'!T149),IF('Advanced Entry'!T$5="Exponential",EXP('Advanced Entry'!T149),'Advanced Entry'!T149)))-'Advanced Entry'!T$6)/('Advanced Entry'!T$7-'Advanced Entry'!T$6)),1))),"No data"))</f>
        <v/>
      </c>
      <c r="U149" s="17">
        <f>IF('Advanced Entry'!U149="","",IFERROR(MAX(0,MIN(10,ROUND(IF('Advanced Entry'!U$8="Decrease Risk",10-10*((IF('Advanced Entry'!U$5="Logarithm",LN(0.001+'Advanced Entry'!U149),IF('Advanced Entry'!U$5="Exponential",EXP('Advanced Entry'!U149),'Advanced Entry'!U149)))-'Advanced Entry'!U$6)/('Advanced Entry'!U$7-'Advanced Entry'!U$6),10*((IF('Advanced Entry'!U$5="Logarithm",LN(0.001+'Advanced Entry'!U149),IF('Advanced Entry'!U$5="Exponential",EXP('Advanced Entry'!U149),'Advanced Entry'!U149)))-'Advanced Entry'!U$6)/('Advanced Entry'!U$7-'Advanced Entry'!U$6)),1))),"No data"))</f>
        <v/>
      </c>
      <c r="V149" s="17">
        <f>IF('Advanced Entry'!V149="","",IFERROR(MAX(0,MIN(10,ROUND(IF('Advanced Entry'!V$8="Decrease Risk",10-10*((IF('Advanced Entry'!V$5="Logarithm",LN(0.001+'Advanced Entry'!V149),IF('Advanced Entry'!V$5="Exponential",EXP('Advanced Entry'!V149),'Advanced Entry'!V149)))-'Advanced Entry'!V$6)/('Advanced Entry'!V$7-'Advanced Entry'!V$6),10*((IF('Advanced Entry'!V$5="Logarithm",LN(0.001+'Advanced Entry'!V149),IF('Advanced Entry'!V$5="Exponential",EXP('Advanced Entry'!V149),'Advanced Entry'!V149)))-'Advanced Entry'!V$6)/('Advanced Entry'!V$7-'Advanced Entry'!V$6)),1))),"No data"))</f>
        <v/>
      </c>
      <c r="W149" s="17">
        <f>IF('Advanced Entry'!W149="","",IFERROR(MAX(0,MIN(10,ROUND(IF('Advanced Entry'!W$8="Decrease Risk",10-10*((IF('Advanced Entry'!W$5="Logarithm",LN(0.001+'Advanced Entry'!W149),IF('Advanced Entry'!W$5="Exponential",EXP('Advanced Entry'!W149),'Advanced Entry'!W149)))-'Advanced Entry'!W$6)/('Advanced Entry'!W$7-'Advanced Entry'!W$6),10*((IF('Advanced Entry'!W$5="Logarithm",LN(0.001+'Advanced Entry'!W149),IF('Advanced Entry'!W$5="Exponential",EXP('Advanced Entry'!W149),'Advanced Entry'!W149)))-'Advanced Entry'!W$6)/('Advanced Entry'!W$7-'Advanced Entry'!W$6)),1))),"No data"))</f>
        <v/>
      </c>
      <c r="X149" s="17">
        <f>IF('Advanced Entry'!X149="","",IFERROR(MAX(0,MIN(10,ROUND(IF('Advanced Entry'!X$8="Decrease Risk",10-10*((IF('Advanced Entry'!X$5="Logarithm",LN(0.001+'Advanced Entry'!X149),IF('Advanced Entry'!X$5="Exponential",EXP('Advanced Entry'!X149),'Advanced Entry'!X149)))-'Advanced Entry'!X$6)/('Advanced Entry'!X$7-'Advanced Entry'!X$6),10*((IF('Advanced Entry'!X$5="Logarithm",LN(0.001+'Advanced Entry'!X149),IF('Advanced Entry'!X$5="Exponential",EXP('Advanced Entry'!X149),'Advanced Entry'!X149)))-'Advanced Entry'!X$6)/('Advanced Entry'!X$7-'Advanced Entry'!X$6)),1))),"No data"))</f>
        <v/>
      </c>
      <c r="Y149" s="17">
        <f>IF('Advanced Entry'!Y149="","",IFERROR(MAX(0,MIN(10,ROUND(IF('Advanced Entry'!Y$8="Decrease Risk",10-10*((IF('Advanced Entry'!Y$5="Logarithm",LN(0.001+'Advanced Entry'!Y149),IF('Advanced Entry'!Y$5="Exponential",EXP('Advanced Entry'!Y149),'Advanced Entry'!Y149)))-'Advanced Entry'!Y$6)/('Advanced Entry'!Y$7-'Advanced Entry'!Y$6),10*((IF('Advanced Entry'!Y$5="Logarithm",LN(0.001+'Advanced Entry'!Y149),IF('Advanced Entry'!Y$5="Exponential",EXP('Advanced Entry'!Y149),'Advanced Entry'!Y149)))-'Advanced Entry'!Y$6)/('Advanced Entry'!Y$7-'Advanced Entry'!Y$6)),1))),"No data"))</f>
        <v/>
      </c>
      <c r="Z149" s="17">
        <f>IF('Advanced Entry'!Z149="","",IFERROR(MAX(0,MIN(10,ROUND(IF('Advanced Entry'!Z$8="Decrease Risk",10-10*((IF('Advanced Entry'!Z$5="Logarithm",LN(0.001+'Advanced Entry'!Z149),IF('Advanced Entry'!Z$5="Exponential",EXP('Advanced Entry'!Z149),'Advanced Entry'!Z149)))-'Advanced Entry'!Z$6)/('Advanced Entry'!Z$7-'Advanced Entry'!Z$6),10*((IF('Advanced Entry'!Z$5="Logarithm",LN(0.001+'Advanced Entry'!Z149),IF('Advanced Entry'!Z$5="Exponential",EXP('Advanced Entry'!Z149),'Advanced Entry'!Z149)))-'Advanced Entry'!Z$6)/('Advanced Entry'!Z$7-'Advanced Entry'!Z$6)),1))),"No data"))</f>
        <v/>
      </c>
      <c r="AA149" s="17">
        <f>IF('Advanced Entry'!AA149="","",IFERROR(MAX(0,MIN(10,ROUND(IF('Advanced Entry'!AA$8="Decrease Risk",10-10*((IF('Advanced Entry'!AA$5="Logarithm",LN(0.001+'Advanced Entry'!AA149),IF('Advanced Entry'!AA$5="Exponential",EXP('Advanced Entry'!AA149),'Advanced Entry'!AA149)))-'Advanced Entry'!AA$6)/('Advanced Entry'!AA$7-'Advanced Entry'!AA$6),10*((IF('Advanced Entry'!AA$5="Logarithm",LN(0.001+'Advanced Entry'!AA149),IF('Advanced Entry'!AA$5="Exponential",EXP('Advanced Entry'!AA149),'Advanced Entry'!AA149)))-'Advanced Entry'!AA$6)/('Advanced Entry'!AA$7-'Advanced Entry'!AA$6)),1))),"No data"))</f>
        <v/>
      </c>
      <c r="AB149" s="17">
        <f>IF('Advanced Entry'!AB149="","",IFERROR(MAX(0,MIN(10,ROUND(IF('Advanced Entry'!AB$8="Decrease Risk",10-10*((IF('Advanced Entry'!AB$5="Logarithm",LN(0.001+'Advanced Entry'!AB149),IF('Advanced Entry'!AB$5="Exponential",EXP('Advanced Entry'!AB149),'Advanced Entry'!AB149)))-'Advanced Entry'!AB$6)/('Advanced Entry'!AB$7-'Advanced Entry'!AB$6),10*((IF('Advanced Entry'!AB$5="Logarithm",LN(0.001+'Advanced Entry'!AB149),IF('Advanced Entry'!AB$5="Exponential",EXP('Advanced Entry'!AB149),'Advanced Entry'!AB149)))-'Advanced Entry'!AB$6)/('Advanced Entry'!AB$7-'Advanced Entry'!AB$6)),1))),"No data"))</f>
        <v/>
      </c>
    </row>
    <row r="150">
      <c r="A150" t="inlineStr">
        <is>
          <t>Pwani</t>
        </is>
      </c>
      <c r="B150" t="inlineStr">
        <is>
          <t>Rufiji District</t>
        </is>
      </c>
      <c r="C150" t="inlineStr">
        <is>
          <t>C049</t>
        </is>
      </c>
      <c r="D150" s="17">
        <f>IF('Advanced Entry'!D150="","",IFERROR(MAX(0,MIN(10,ROUND(IF('Advanced Entry'!D$8="Decrease Risk",10-10*((IF('Advanced Entry'!D$5="Logarithm",LN(0.001+'Advanced Entry'!D150),IF('Advanced Entry'!D$5="Exponential",EXP('Advanced Entry'!D150),'Advanced Entry'!D150)))-'Advanced Entry'!D$6)/('Advanced Entry'!D$7-'Advanced Entry'!D$6),10*((IF('Advanced Entry'!D$5="Logarithm",LN(0.001+'Advanced Entry'!D150),IF('Advanced Entry'!D$5="Exponential",EXP('Advanced Entry'!D150),'Advanced Entry'!D150)))-'Advanced Entry'!D$6)/('Advanced Entry'!D$7-'Advanced Entry'!D$6)),1))),"No data"))</f>
        <v/>
      </c>
      <c r="E150" s="17">
        <f>IF('Advanced Entry'!E150="","",IFERROR(MAX(0,MIN(10,ROUND(IF('Advanced Entry'!E$8="Decrease Risk",10-10*((IF('Advanced Entry'!E$5="Logarithm",LN(0.001+'Advanced Entry'!E150),IF('Advanced Entry'!E$5="Exponential",EXP('Advanced Entry'!E150),'Advanced Entry'!E150)))-'Advanced Entry'!E$6)/('Advanced Entry'!E$7-'Advanced Entry'!E$6),10*((IF('Advanced Entry'!E$5="Logarithm",LN(0.001+'Advanced Entry'!E150),IF('Advanced Entry'!E$5="Exponential",EXP('Advanced Entry'!E150),'Advanced Entry'!E150)))-'Advanced Entry'!E$6)/('Advanced Entry'!E$7-'Advanced Entry'!E$6)),1))),"No data"))</f>
        <v/>
      </c>
      <c r="F150" s="17">
        <f>IF('Advanced Entry'!F150="","",IFERROR(MAX(0,MIN(10,ROUND(IF('Advanced Entry'!F$8="Decrease Risk",10-10*((IF('Advanced Entry'!F$5="Logarithm",LN(0.001+'Advanced Entry'!F150),IF('Advanced Entry'!F$5="Exponential",EXP('Advanced Entry'!F150),'Advanced Entry'!F150)))-'Advanced Entry'!F$6)/('Advanced Entry'!F$7-'Advanced Entry'!F$6),10*((IF('Advanced Entry'!F$5="Logarithm",LN(0.001+'Advanced Entry'!F150),IF('Advanced Entry'!F$5="Exponential",EXP('Advanced Entry'!F150),'Advanced Entry'!F150)))-'Advanced Entry'!F$6)/('Advanced Entry'!F$7-'Advanced Entry'!F$6)),1))),"No data"))</f>
        <v/>
      </c>
      <c r="G150" s="17">
        <f>IF('Advanced Entry'!G150="","",IFERROR(MAX(0,MIN(10,ROUND(IF('Advanced Entry'!G$8="Decrease Risk",10-10*((IF('Advanced Entry'!G$5="Logarithm",LN(0.001+'Advanced Entry'!G150),IF('Advanced Entry'!G$5="Exponential",EXP('Advanced Entry'!G150),'Advanced Entry'!G150)))-'Advanced Entry'!G$6)/('Advanced Entry'!G$7-'Advanced Entry'!G$6),10*((IF('Advanced Entry'!G$5="Logarithm",LN(0.001+'Advanced Entry'!G150),IF('Advanced Entry'!G$5="Exponential",EXP('Advanced Entry'!G150),'Advanced Entry'!G150)))-'Advanced Entry'!G$6)/('Advanced Entry'!G$7-'Advanced Entry'!G$6)),1))),"No data"))</f>
        <v/>
      </c>
      <c r="H150" s="17">
        <f>IF('Advanced Entry'!H150="","",IFERROR(MAX(0,MIN(10,ROUND(IF('Advanced Entry'!H$8="Decrease Risk",10-10*((IF('Advanced Entry'!H$5="Logarithm",LN(0.001+'Advanced Entry'!H150),IF('Advanced Entry'!H$5="Exponential",EXP('Advanced Entry'!H150),'Advanced Entry'!H150)))-'Advanced Entry'!H$6)/('Advanced Entry'!H$7-'Advanced Entry'!H$6),10*((IF('Advanced Entry'!H$5="Logarithm",LN(0.001+'Advanced Entry'!H150),IF('Advanced Entry'!H$5="Exponential",EXP('Advanced Entry'!H150),'Advanced Entry'!H150)))-'Advanced Entry'!H$6)/('Advanced Entry'!H$7-'Advanced Entry'!H$6)),1))),"No data"))</f>
        <v/>
      </c>
      <c r="I150" s="17">
        <f>IF('Advanced Entry'!I150="","",IFERROR(MAX(0,MIN(10,ROUND(IF('Advanced Entry'!I$8="Decrease Risk",10-10*((IF('Advanced Entry'!I$5="Logarithm",LN(0.001+'Advanced Entry'!I150),IF('Advanced Entry'!I$5="Exponential",EXP('Advanced Entry'!I150),'Advanced Entry'!I150)))-'Advanced Entry'!I$6)/('Advanced Entry'!I$7-'Advanced Entry'!I$6),10*((IF('Advanced Entry'!I$5="Logarithm",LN(0.001+'Advanced Entry'!I150),IF('Advanced Entry'!I$5="Exponential",EXP('Advanced Entry'!I150),'Advanced Entry'!I150)))-'Advanced Entry'!I$6)/('Advanced Entry'!I$7-'Advanced Entry'!I$6)),1))),"No data"))</f>
        <v/>
      </c>
      <c r="J150" s="17">
        <f>IF('Advanced Entry'!J150="","",IFERROR(MAX(0,MIN(10,ROUND(IF('Advanced Entry'!J$8="Decrease Risk",10-10*((IF('Advanced Entry'!J$5="Logarithm",LN(0.001+'Advanced Entry'!J150),IF('Advanced Entry'!J$5="Exponential",EXP('Advanced Entry'!J150),'Advanced Entry'!J150)))-'Advanced Entry'!J$6)/('Advanced Entry'!J$7-'Advanced Entry'!J$6),10*((IF('Advanced Entry'!J$5="Logarithm",LN(0.001+'Advanced Entry'!J150),IF('Advanced Entry'!J$5="Exponential",EXP('Advanced Entry'!J150),'Advanced Entry'!J150)))-'Advanced Entry'!J$6)/('Advanced Entry'!J$7-'Advanced Entry'!J$6)),1))),"No data"))</f>
        <v/>
      </c>
      <c r="K150" s="17">
        <f>IF('Advanced Entry'!K150="","",IFERROR(MAX(0,MIN(10,ROUND(IF('Advanced Entry'!K$8="Decrease Risk",10-10*((IF('Advanced Entry'!K$5="Logarithm",LN(0.001+'Advanced Entry'!K150),IF('Advanced Entry'!K$5="Exponential",EXP('Advanced Entry'!K150),'Advanced Entry'!K150)))-'Advanced Entry'!K$6)/('Advanced Entry'!K$7-'Advanced Entry'!K$6),10*((IF('Advanced Entry'!K$5="Logarithm",LN(0.001+'Advanced Entry'!K150),IF('Advanced Entry'!K$5="Exponential",EXP('Advanced Entry'!K150),'Advanced Entry'!K150)))-'Advanced Entry'!K$6)/('Advanced Entry'!K$7-'Advanced Entry'!K$6)),1))),"No data"))</f>
        <v/>
      </c>
      <c r="L150" s="17">
        <f>IF('Advanced Entry'!L150="","",IFERROR(MAX(0,MIN(10,ROUND(IF('Advanced Entry'!L$8="Decrease Risk",10-10*((IF('Advanced Entry'!L$5="Logarithm",LN(0.001+'Advanced Entry'!L150),IF('Advanced Entry'!L$5="Exponential",EXP('Advanced Entry'!L150),'Advanced Entry'!L150)))-'Advanced Entry'!L$6)/('Advanced Entry'!L$7-'Advanced Entry'!L$6),10*((IF('Advanced Entry'!L$5="Logarithm",LN(0.001+'Advanced Entry'!L150),IF('Advanced Entry'!L$5="Exponential",EXP('Advanced Entry'!L150),'Advanced Entry'!L150)))-'Advanced Entry'!L$6)/('Advanced Entry'!L$7-'Advanced Entry'!L$6)),1))),"No data"))</f>
        <v/>
      </c>
      <c r="M150" s="17">
        <f>IF('Advanced Entry'!M150="","",IFERROR(MAX(0,MIN(10,ROUND(IF('Advanced Entry'!M$8="Decrease Risk",10-10*((IF('Advanced Entry'!M$5="Logarithm",LN(0.001+'Advanced Entry'!M150),IF('Advanced Entry'!M$5="Exponential",EXP('Advanced Entry'!M150),'Advanced Entry'!M150)))-'Advanced Entry'!M$6)/('Advanced Entry'!M$7-'Advanced Entry'!M$6),10*((IF('Advanced Entry'!M$5="Logarithm",LN(0.001+'Advanced Entry'!M150),IF('Advanced Entry'!M$5="Exponential",EXP('Advanced Entry'!M150),'Advanced Entry'!M150)))-'Advanced Entry'!M$6)/('Advanced Entry'!M$7-'Advanced Entry'!M$6)),1))),"No data"))</f>
        <v/>
      </c>
      <c r="N150" s="17">
        <f>IF('Advanced Entry'!N150="","",IFERROR(MAX(0,MIN(10,ROUND(IF('Advanced Entry'!N$8="Decrease Risk",10-10*((IF('Advanced Entry'!N$5="Logarithm",LN(0.001+'Advanced Entry'!N150),IF('Advanced Entry'!N$5="Exponential",EXP('Advanced Entry'!N150),'Advanced Entry'!N150)))-'Advanced Entry'!N$6)/('Advanced Entry'!N$7-'Advanced Entry'!N$6),10*((IF('Advanced Entry'!N$5="Logarithm",LN(0.001+'Advanced Entry'!N150),IF('Advanced Entry'!N$5="Exponential",EXP('Advanced Entry'!N150),'Advanced Entry'!N150)))-'Advanced Entry'!N$6)/('Advanced Entry'!N$7-'Advanced Entry'!N$6)),1))),"No data"))</f>
        <v/>
      </c>
      <c r="O150" s="17">
        <f>IF('Advanced Entry'!O150="","",IFERROR(MAX(0,MIN(10,ROUND(IF('Advanced Entry'!O$8="Decrease Risk",10-10*((IF('Advanced Entry'!O$5="Logarithm",LN(0.001+'Advanced Entry'!O150),IF('Advanced Entry'!O$5="Exponential",EXP('Advanced Entry'!O150),'Advanced Entry'!O150)))-'Advanced Entry'!O$6)/('Advanced Entry'!O$7-'Advanced Entry'!O$6),10*((IF('Advanced Entry'!O$5="Logarithm",LN(0.001+'Advanced Entry'!O150),IF('Advanced Entry'!O$5="Exponential",EXP('Advanced Entry'!O150),'Advanced Entry'!O150)))-'Advanced Entry'!O$6)/('Advanced Entry'!O$7-'Advanced Entry'!O$6)),1))),"No data"))</f>
        <v/>
      </c>
      <c r="P150" s="17">
        <f>IF('Advanced Entry'!P150="","",IFERROR(MAX(0,MIN(10,ROUND(IF('Advanced Entry'!P$8="Decrease Risk",10-10*((IF('Advanced Entry'!P$5="Logarithm",LN(0.001+'Advanced Entry'!P150),IF('Advanced Entry'!P$5="Exponential",EXP('Advanced Entry'!P150),'Advanced Entry'!P150)))-'Advanced Entry'!P$6)/('Advanced Entry'!P$7-'Advanced Entry'!P$6),10*((IF('Advanced Entry'!P$5="Logarithm",LN(0.001+'Advanced Entry'!P150),IF('Advanced Entry'!P$5="Exponential",EXP('Advanced Entry'!P150),'Advanced Entry'!P150)))-'Advanced Entry'!P$6)/('Advanced Entry'!P$7-'Advanced Entry'!P$6)),1))),"No data"))</f>
        <v/>
      </c>
      <c r="Q150" s="17">
        <f>IF('Advanced Entry'!Q150="","",IFERROR(MAX(0,MIN(10,ROUND(IF('Advanced Entry'!Q$8="Decrease Risk",10-10*((IF('Advanced Entry'!Q$5="Logarithm",LN(0.001+'Advanced Entry'!Q150),IF('Advanced Entry'!Q$5="Exponential",EXP('Advanced Entry'!Q150),'Advanced Entry'!Q150)))-'Advanced Entry'!Q$6)/('Advanced Entry'!Q$7-'Advanced Entry'!Q$6),10*((IF('Advanced Entry'!Q$5="Logarithm",LN(0.001+'Advanced Entry'!Q150),IF('Advanced Entry'!Q$5="Exponential",EXP('Advanced Entry'!Q150),'Advanced Entry'!Q150)))-'Advanced Entry'!Q$6)/('Advanced Entry'!Q$7-'Advanced Entry'!Q$6)),1))),"No data"))</f>
        <v/>
      </c>
      <c r="R150" s="17">
        <f>IF('Advanced Entry'!R150="","",IFERROR(MAX(0,MIN(10,ROUND(IF('Advanced Entry'!R$8="Decrease Risk",10-10*((IF('Advanced Entry'!R$5="Logarithm",LN(0.001+'Advanced Entry'!R150),IF('Advanced Entry'!R$5="Exponential",EXP('Advanced Entry'!R150),'Advanced Entry'!R150)))-'Advanced Entry'!R$6)/('Advanced Entry'!R$7-'Advanced Entry'!R$6),10*((IF('Advanced Entry'!R$5="Logarithm",LN(0.001+'Advanced Entry'!R150),IF('Advanced Entry'!R$5="Exponential",EXP('Advanced Entry'!R150),'Advanced Entry'!R150)))-'Advanced Entry'!R$6)/('Advanced Entry'!R$7-'Advanced Entry'!R$6)),1))),"No data"))</f>
        <v/>
      </c>
      <c r="S150" s="17">
        <f>IF('Advanced Entry'!S150="","",IFERROR(MAX(0,MIN(10,ROUND(IF('Advanced Entry'!S$8="Decrease Risk",10-10*((IF('Advanced Entry'!S$5="Logarithm",LN(0.001+'Advanced Entry'!S150),IF('Advanced Entry'!S$5="Exponential",EXP('Advanced Entry'!S150),'Advanced Entry'!S150)))-'Advanced Entry'!S$6)/('Advanced Entry'!S$7-'Advanced Entry'!S$6),10*((IF('Advanced Entry'!S$5="Logarithm",LN(0.001+'Advanced Entry'!S150),IF('Advanced Entry'!S$5="Exponential",EXP('Advanced Entry'!S150),'Advanced Entry'!S150)))-'Advanced Entry'!S$6)/('Advanced Entry'!S$7-'Advanced Entry'!S$6)),1))),"No data"))</f>
        <v/>
      </c>
      <c r="T150" s="17">
        <f>IF('Advanced Entry'!T150="","",IFERROR(MAX(0,MIN(10,ROUND(IF('Advanced Entry'!T$8="Decrease Risk",10-10*((IF('Advanced Entry'!T$5="Logarithm",LN(0.001+'Advanced Entry'!T150),IF('Advanced Entry'!T$5="Exponential",EXP('Advanced Entry'!T150),'Advanced Entry'!T150)))-'Advanced Entry'!T$6)/('Advanced Entry'!T$7-'Advanced Entry'!T$6),10*((IF('Advanced Entry'!T$5="Logarithm",LN(0.001+'Advanced Entry'!T150),IF('Advanced Entry'!T$5="Exponential",EXP('Advanced Entry'!T150),'Advanced Entry'!T150)))-'Advanced Entry'!T$6)/('Advanced Entry'!T$7-'Advanced Entry'!T$6)),1))),"No data"))</f>
        <v/>
      </c>
      <c r="U150" s="17">
        <f>IF('Advanced Entry'!U150="","",IFERROR(MAX(0,MIN(10,ROUND(IF('Advanced Entry'!U$8="Decrease Risk",10-10*((IF('Advanced Entry'!U$5="Logarithm",LN(0.001+'Advanced Entry'!U150),IF('Advanced Entry'!U$5="Exponential",EXP('Advanced Entry'!U150),'Advanced Entry'!U150)))-'Advanced Entry'!U$6)/('Advanced Entry'!U$7-'Advanced Entry'!U$6),10*((IF('Advanced Entry'!U$5="Logarithm",LN(0.001+'Advanced Entry'!U150),IF('Advanced Entry'!U$5="Exponential",EXP('Advanced Entry'!U150),'Advanced Entry'!U150)))-'Advanced Entry'!U$6)/('Advanced Entry'!U$7-'Advanced Entry'!U$6)),1))),"No data"))</f>
        <v/>
      </c>
      <c r="V150" s="17">
        <f>IF('Advanced Entry'!V150="","",IFERROR(MAX(0,MIN(10,ROUND(IF('Advanced Entry'!V$8="Decrease Risk",10-10*((IF('Advanced Entry'!V$5="Logarithm",LN(0.001+'Advanced Entry'!V150),IF('Advanced Entry'!V$5="Exponential",EXP('Advanced Entry'!V150),'Advanced Entry'!V150)))-'Advanced Entry'!V$6)/('Advanced Entry'!V$7-'Advanced Entry'!V$6),10*((IF('Advanced Entry'!V$5="Logarithm",LN(0.001+'Advanced Entry'!V150),IF('Advanced Entry'!V$5="Exponential",EXP('Advanced Entry'!V150),'Advanced Entry'!V150)))-'Advanced Entry'!V$6)/('Advanced Entry'!V$7-'Advanced Entry'!V$6)),1))),"No data"))</f>
        <v/>
      </c>
      <c r="W150" s="17">
        <f>IF('Advanced Entry'!W150="","",IFERROR(MAX(0,MIN(10,ROUND(IF('Advanced Entry'!W$8="Decrease Risk",10-10*((IF('Advanced Entry'!W$5="Logarithm",LN(0.001+'Advanced Entry'!W150),IF('Advanced Entry'!W$5="Exponential",EXP('Advanced Entry'!W150),'Advanced Entry'!W150)))-'Advanced Entry'!W$6)/('Advanced Entry'!W$7-'Advanced Entry'!W$6),10*((IF('Advanced Entry'!W$5="Logarithm",LN(0.001+'Advanced Entry'!W150),IF('Advanced Entry'!W$5="Exponential",EXP('Advanced Entry'!W150),'Advanced Entry'!W150)))-'Advanced Entry'!W$6)/('Advanced Entry'!W$7-'Advanced Entry'!W$6)),1))),"No data"))</f>
        <v/>
      </c>
      <c r="X150" s="17">
        <f>IF('Advanced Entry'!X150="","",IFERROR(MAX(0,MIN(10,ROUND(IF('Advanced Entry'!X$8="Decrease Risk",10-10*((IF('Advanced Entry'!X$5="Logarithm",LN(0.001+'Advanced Entry'!X150),IF('Advanced Entry'!X$5="Exponential",EXP('Advanced Entry'!X150),'Advanced Entry'!X150)))-'Advanced Entry'!X$6)/('Advanced Entry'!X$7-'Advanced Entry'!X$6),10*((IF('Advanced Entry'!X$5="Logarithm",LN(0.001+'Advanced Entry'!X150),IF('Advanced Entry'!X$5="Exponential",EXP('Advanced Entry'!X150),'Advanced Entry'!X150)))-'Advanced Entry'!X$6)/('Advanced Entry'!X$7-'Advanced Entry'!X$6)),1))),"No data"))</f>
        <v/>
      </c>
      <c r="Y150" s="17">
        <f>IF('Advanced Entry'!Y150="","",IFERROR(MAX(0,MIN(10,ROUND(IF('Advanced Entry'!Y$8="Decrease Risk",10-10*((IF('Advanced Entry'!Y$5="Logarithm",LN(0.001+'Advanced Entry'!Y150),IF('Advanced Entry'!Y$5="Exponential",EXP('Advanced Entry'!Y150),'Advanced Entry'!Y150)))-'Advanced Entry'!Y$6)/('Advanced Entry'!Y$7-'Advanced Entry'!Y$6),10*((IF('Advanced Entry'!Y$5="Logarithm",LN(0.001+'Advanced Entry'!Y150),IF('Advanced Entry'!Y$5="Exponential",EXP('Advanced Entry'!Y150),'Advanced Entry'!Y150)))-'Advanced Entry'!Y$6)/('Advanced Entry'!Y$7-'Advanced Entry'!Y$6)),1))),"No data"))</f>
        <v/>
      </c>
      <c r="Z150" s="17">
        <f>IF('Advanced Entry'!Z150="","",IFERROR(MAX(0,MIN(10,ROUND(IF('Advanced Entry'!Z$8="Decrease Risk",10-10*((IF('Advanced Entry'!Z$5="Logarithm",LN(0.001+'Advanced Entry'!Z150),IF('Advanced Entry'!Z$5="Exponential",EXP('Advanced Entry'!Z150),'Advanced Entry'!Z150)))-'Advanced Entry'!Z$6)/('Advanced Entry'!Z$7-'Advanced Entry'!Z$6),10*((IF('Advanced Entry'!Z$5="Logarithm",LN(0.001+'Advanced Entry'!Z150),IF('Advanced Entry'!Z$5="Exponential",EXP('Advanced Entry'!Z150),'Advanced Entry'!Z150)))-'Advanced Entry'!Z$6)/('Advanced Entry'!Z$7-'Advanced Entry'!Z$6)),1))),"No data"))</f>
        <v/>
      </c>
      <c r="AA150" s="17">
        <f>IF('Advanced Entry'!AA150="","",IFERROR(MAX(0,MIN(10,ROUND(IF('Advanced Entry'!AA$8="Decrease Risk",10-10*((IF('Advanced Entry'!AA$5="Logarithm",LN(0.001+'Advanced Entry'!AA150),IF('Advanced Entry'!AA$5="Exponential",EXP('Advanced Entry'!AA150),'Advanced Entry'!AA150)))-'Advanced Entry'!AA$6)/('Advanced Entry'!AA$7-'Advanced Entry'!AA$6),10*((IF('Advanced Entry'!AA$5="Logarithm",LN(0.001+'Advanced Entry'!AA150),IF('Advanced Entry'!AA$5="Exponential",EXP('Advanced Entry'!AA150),'Advanced Entry'!AA150)))-'Advanced Entry'!AA$6)/('Advanced Entry'!AA$7-'Advanced Entry'!AA$6)),1))),"No data"))</f>
        <v/>
      </c>
      <c r="AB150" s="17">
        <f>IF('Advanced Entry'!AB150="","",IFERROR(MAX(0,MIN(10,ROUND(IF('Advanced Entry'!AB$8="Decrease Risk",10-10*((IF('Advanced Entry'!AB$5="Logarithm",LN(0.001+'Advanced Entry'!AB150),IF('Advanced Entry'!AB$5="Exponential",EXP('Advanced Entry'!AB150),'Advanced Entry'!AB150)))-'Advanced Entry'!AB$6)/('Advanced Entry'!AB$7-'Advanced Entry'!AB$6),10*((IF('Advanced Entry'!AB$5="Logarithm",LN(0.001+'Advanced Entry'!AB150),IF('Advanced Entry'!AB$5="Exponential",EXP('Advanced Entry'!AB150),'Advanced Entry'!AB150)))-'Advanced Entry'!AB$6)/('Advanced Entry'!AB$7-'Advanced Entry'!AB$6)),1))),"No data"))</f>
        <v/>
      </c>
    </row>
    <row r="151">
      <c r="A151" t="inlineStr">
        <is>
          <t>Rukwa</t>
        </is>
      </c>
      <c r="B151" t="inlineStr">
        <is>
          <t>Kalambo District</t>
        </is>
      </c>
      <c r="C151" t="inlineStr">
        <is>
          <t>C107</t>
        </is>
      </c>
      <c r="D151" s="17">
        <f>IF('Advanced Entry'!D151="","",IFERROR(MAX(0,MIN(10,ROUND(IF('Advanced Entry'!D$8="Decrease Risk",10-10*((IF('Advanced Entry'!D$5="Logarithm",LN(0.001+'Advanced Entry'!D151),IF('Advanced Entry'!D$5="Exponential",EXP('Advanced Entry'!D151),'Advanced Entry'!D151)))-'Advanced Entry'!D$6)/('Advanced Entry'!D$7-'Advanced Entry'!D$6),10*((IF('Advanced Entry'!D$5="Logarithm",LN(0.001+'Advanced Entry'!D151),IF('Advanced Entry'!D$5="Exponential",EXP('Advanced Entry'!D151),'Advanced Entry'!D151)))-'Advanced Entry'!D$6)/('Advanced Entry'!D$7-'Advanced Entry'!D$6)),1))),"No data"))</f>
        <v/>
      </c>
      <c r="E151" s="17">
        <f>IF('Advanced Entry'!E151="","",IFERROR(MAX(0,MIN(10,ROUND(IF('Advanced Entry'!E$8="Decrease Risk",10-10*((IF('Advanced Entry'!E$5="Logarithm",LN(0.001+'Advanced Entry'!E151),IF('Advanced Entry'!E$5="Exponential",EXP('Advanced Entry'!E151),'Advanced Entry'!E151)))-'Advanced Entry'!E$6)/('Advanced Entry'!E$7-'Advanced Entry'!E$6),10*((IF('Advanced Entry'!E$5="Logarithm",LN(0.001+'Advanced Entry'!E151),IF('Advanced Entry'!E$5="Exponential",EXP('Advanced Entry'!E151),'Advanced Entry'!E151)))-'Advanced Entry'!E$6)/('Advanced Entry'!E$7-'Advanced Entry'!E$6)),1))),"No data"))</f>
        <v/>
      </c>
      <c r="F151" s="17">
        <f>IF('Advanced Entry'!F151="","",IFERROR(MAX(0,MIN(10,ROUND(IF('Advanced Entry'!F$8="Decrease Risk",10-10*((IF('Advanced Entry'!F$5="Logarithm",LN(0.001+'Advanced Entry'!F151),IF('Advanced Entry'!F$5="Exponential",EXP('Advanced Entry'!F151),'Advanced Entry'!F151)))-'Advanced Entry'!F$6)/('Advanced Entry'!F$7-'Advanced Entry'!F$6),10*((IF('Advanced Entry'!F$5="Logarithm",LN(0.001+'Advanced Entry'!F151),IF('Advanced Entry'!F$5="Exponential",EXP('Advanced Entry'!F151),'Advanced Entry'!F151)))-'Advanced Entry'!F$6)/('Advanced Entry'!F$7-'Advanced Entry'!F$6)),1))),"No data"))</f>
        <v/>
      </c>
      <c r="G151" s="17">
        <f>IF('Advanced Entry'!G151="","",IFERROR(MAX(0,MIN(10,ROUND(IF('Advanced Entry'!G$8="Decrease Risk",10-10*((IF('Advanced Entry'!G$5="Logarithm",LN(0.001+'Advanced Entry'!G151),IF('Advanced Entry'!G$5="Exponential",EXP('Advanced Entry'!G151),'Advanced Entry'!G151)))-'Advanced Entry'!G$6)/('Advanced Entry'!G$7-'Advanced Entry'!G$6),10*((IF('Advanced Entry'!G$5="Logarithm",LN(0.001+'Advanced Entry'!G151),IF('Advanced Entry'!G$5="Exponential",EXP('Advanced Entry'!G151),'Advanced Entry'!G151)))-'Advanced Entry'!G$6)/('Advanced Entry'!G$7-'Advanced Entry'!G$6)),1))),"No data"))</f>
        <v/>
      </c>
      <c r="H151" s="17">
        <f>IF('Advanced Entry'!H151="","",IFERROR(MAX(0,MIN(10,ROUND(IF('Advanced Entry'!H$8="Decrease Risk",10-10*((IF('Advanced Entry'!H$5="Logarithm",LN(0.001+'Advanced Entry'!H151),IF('Advanced Entry'!H$5="Exponential",EXP('Advanced Entry'!H151),'Advanced Entry'!H151)))-'Advanced Entry'!H$6)/('Advanced Entry'!H$7-'Advanced Entry'!H$6),10*((IF('Advanced Entry'!H$5="Logarithm",LN(0.001+'Advanced Entry'!H151),IF('Advanced Entry'!H$5="Exponential",EXP('Advanced Entry'!H151),'Advanced Entry'!H151)))-'Advanced Entry'!H$6)/('Advanced Entry'!H$7-'Advanced Entry'!H$6)),1))),"No data"))</f>
        <v/>
      </c>
      <c r="I151" s="17">
        <f>IF('Advanced Entry'!I151="","",IFERROR(MAX(0,MIN(10,ROUND(IF('Advanced Entry'!I$8="Decrease Risk",10-10*((IF('Advanced Entry'!I$5="Logarithm",LN(0.001+'Advanced Entry'!I151),IF('Advanced Entry'!I$5="Exponential",EXP('Advanced Entry'!I151),'Advanced Entry'!I151)))-'Advanced Entry'!I$6)/('Advanced Entry'!I$7-'Advanced Entry'!I$6),10*((IF('Advanced Entry'!I$5="Logarithm",LN(0.001+'Advanced Entry'!I151),IF('Advanced Entry'!I$5="Exponential",EXP('Advanced Entry'!I151),'Advanced Entry'!I151)))-'Advanced Entry'!I$6)/('Advanced Entry'!I$7-'Advanced Entry'!I$6)),1))),"No data"))</f>
        <v/>
      </c>
      <c r="J151" s="17">
        <f>IF('Advanced Entry'!J151="","",IFERROR(MAX(0,MIN(10,ROUND(IF('Advanced Entry'!J$8="Decrease Risk",10-10*((IF('Advanced Entry'!J$5="Logarithm",LN(0.001+'Advanced Entry'!J151),IF('Advanced Entry'!J$5="Exponential",EXP('Advanced Entry'!J151),'Advanced Entry'!J151)))-'Advanced Entry'!J$6)/('Advanced Entry'!J$7-'Advanced Entry'!J$6),10*((IF('Advanced Entry'!J$5="Logarithm",LN(0.001+'Advanced Entry'!J151),IF('Advanced Entry'!J$5="Exponential",EXP('Advanced Entry'!J151),'Advanced Entry'!J151)))-'Advanced Entry'!J$6)/('Advanced Entry'!J$7-'Advanced Entry'!J$6)),1))),"No data"))</f>
        <v/>
      </c>
      <c r="K151" s="17">
        <f>IF('Advanced Entry'!K151="","",IFERROR(MAX(0,MIN(10,ROUND(IF('Advanced Entry'!K$8="Decrease Risk",10-10*((IF('Advanced Entry'!K$5="Logarithm",LN(0.001+'Advanced Entry'!K151),IF('Advanced Entry'!K$5="Exponential",EXP('Advanced Entry'!K151),'Advanced Entry'!K151)))-'Advanced Entry'!K$6)/('Advanced Entry'!K$7-'Advanced Entry'!K$6),10*((IF('Advanced Entry'!K$5="Logarithm",LN(0.001+'Advanced Entry'!K151),IF('Advanced Entry'!K$5="Exponential",EXP('Advanced Entry'!K151),'Advanced Entry'!K151)))-'Advanced Entry'!K$6)/('Advanced Entry'!K$7-'Advanced Entry'!K$6)),1))),"No data"))</f>
        <v/>
      </c>
      <c r="L151" s="17">
        <f>IF('Advanced Entry'!L151="","",IFERROR(MAX(0,MIN(10,ROUND(IF('Advanced Entry'!L$8="Decrease Risk",10-10*((IF('Advanced Entry'!L$5="Logarithm",LN(0.001+'Advanced Entry'!L151),IF('Advanced Entry'!L$5="Exponential",EXP('Advanced Entry'!L151),'Advanced Entry'!L151)))-'Advanced Entry'!L$6)/('Advanced Entry'!L$7-'Advanced Entry'!L$6),10*((IF('Advanced Entry'!L$5="Logarithm",LN(0.001+'Advanced Entry'!L151),IF('Advanced Entry'!L$5="Exponential",EXP('Advanced Entry'!L151),'Advanced Entry'!L151)))-'Advanced Entry'!L$6)/('Advanced Entry'!L$7-'Advanced Entry'!L$6)),1))),"No data"))</f>
        <v/>
      </c>
      <c r="M151" s="17">
        <f>IF('Advanced Entry'!M151="","",IFERROR(MAX(0,MIN(10,ROUND(IF('Advanced Entry'!M$8="Decrease Risk",10-10*((IF('Advanced Entry'!M$5="Logarithm",LN(0.001+'Advanced Entry'!M151),IF('Advanced Entry'!M$5="Exponential",EXP('Advanced Entry'!M151),'Advanced Entry'!M151)))-'Advanced Entry'!M$6)/('Advanced Entry'!M$7-'Advanced Entry'!M$6),10*((IF('Advanced Entry'!M$5="Logarithm",LN(0.001+'Advanced Entry'!M151),IF('Advanced Entry'!M$5="Exponential",EXP('Advanced Entry'!M151),'Advanced Entry'!M151)))-'Advanced Entry'!M$6)/('Advanced Entry'!M$7-'Advanced Entry'!M$6)),1))),"No data"))</f>
        <v/>
      </c>
      <c r="N151" s="17">
        <f>IF('Advanced Entry'!N151="","",IFERROR(MAX(0,MIN(10,ROUND(IF('Advanced Entry'!N$8="Decrease Risk",10-10*((IF('Advanced Entry'!N$5="Logarithm",LN(0.001+'Advanced Entry'!N151),IF('Advanced Entry'!N$5="Exponential",EXP('Advanced Entry'!N151),'Advanced Entry'!N151)))-'Advanced Entry'!N$6)/('Advanced Entry'!N$7-'Advanced Entry'!N$6),10*((IF('Advanced Entry'!N$5="Logarithm",LN(0.001+'Advanced Entry'!N151),IF('Advanced Entry'!N$5="Exponential",EXP('Advanced Entry'!N151),'Advanced Entry'!N151)))-'Advanced Entry'!N$6)/('Advanced Entry'!N$7-'Advanced Entry'!N$6)),1))),"No data"))</f>
        <v/>
      </c>
      <c r="O151" s="17">
        <f>IF('Advanced Entry'!O151="","",IFERROR(MAX(0,MIN(10,ROUND(IF('Advanced Entry'!O$8="Decrease Risk",10-10*((IF('Advanced Entry'!O$5="Logarithm",LN(0.001+'Advanced Entry'!O151),IF('Advanced Entry'!O$5="Exponential",EXP('Advanced Entry'!O151),'Advanced Entry'!O151)))-'Advanced Entry'!O$6)/('Advanced Entry'!O$7-'Advanced Entry'!O$6),10*((IF('Advanced Entry'!O$5="Logarithm",LN(0.001+'Advanced Entry'!O151),IF('Advanced Entry'!O$5="Exponential",EXP('Advanced Entry'!O151),'Advanced Entry'!O151)))-'Advanced Entry'!O$6)/('Advanced Entry'!O$7-'Advanced Entry'!O$6)),1))),"No data"))</f>
        <v/>
      </c>
      <c r="P151" s="17">
        <f>IF('Advanced Entry'!P151="","",IFERROR(MAX(0,MIN(10,ROUND(IF('Advanced Entry'!P$8="Decrease Risk",10-10*((IF('Advanced Entry'!P$5="Logarithm",LN(0.001+'Advanced Entry'!P151),IF('Advanced Entry'!P$5="Exponential",EXP('Advanced Entry'!P151),'Advanced Entry'!P151)))-'Advanced Entry'!P$6)/('Advanced Entry'!P$7-'Advanced Entry'!P$6),10*((IF('Advanced Entry'!P$5="Logarithm",LN(0.001+'Advanced Entry'!P151),IF('Advanced Entry'!P$5="Exponential",EXP('Advanced Entry'!P151),'Advanced Entry'!P151)))-'Advanced Entry'!P$6)/('Advanced Entry'!P$7-'Advanced Entry'!P$6)),1))),"No data"))</f>
        <v/>
      </c>
      <c r="Q151" s="17">
        <f>IF('Advanced Entry'!Q151="","",IFERROR(MAX(0,MIN(10,ROUND(IF('Advanced Entry'!Q$8="Decrease Risk",10-10*((IF('Advanced Entry'!Q$5="Logarithm",LN(0.001+'Advanced Entry'!Q151),IF('Advanced Entry'!Q$5="Exponential",EXP('Advanced Entry'!Q151),'Advanced Entry'!Q151)))-'Advanced Entry'!Q$6)/('Advanced Entry'!Q$7-'Advanced Entry'!Q$6),10*((IF('Advanced Entry'!Q$5="Logarithm",LN(0.001+'Advanced Entry'!Q151),IF('Advanced Entry'!Q$5="Exponential",EXP('Advanced Entry'!Q151),'Advanced Entry'!Q151)))-'Advanced Entry'!Q$6)/('Advanced Entry'!Q$7-'Advanced Entry'!Q$6)),1))),"No data"))</f>
        <v/>
      </c>
      <c r="R151" s="17">
        <f>IF('Advanced Entry'!R151="","",IFERROR(MAX(0,MIN(10,ROUND(IF('Advanced Entry'!R$8="Decrease Risk",10-10*((IF('Advanced Entry'!R$5="Logarithm",LN(0.001+'Advanced Entry'!R151),IF('Advanced Entry'!R$5="Exponential",EXP('Advanced Entry'!R151),'Advanced Entry'!R151)))-'Advanced Entry'!R$6)/('Advanced Entry'!R$7-'Advanced Entry'!R$6),10*((IF('Advanced Entry'!R$5="Logarithm",LN(0.001+'Advanced Entry'!R151),IF('Advanced Entry'!R$5="Exponential",EXP('Advanced Entry'!R151),'Advanced Entry'!R151)))-'Advanced Entry'!R$6)/('Advanced Entry'!R$7-'Advanced Entry'!R$6)),1))),"No data"))</f>
        <v/>
      </c>
      <c r="S151" s="17">
        <f>IF('Advanced Entry'!S151="","",IFERROR(MAX(0,MIN(10,ROUND(IF('Advanced Entry'!S$8="Decrease Risk",10-10*((IF('Advanced Entry'!S$5="Logarithm",LN(0.001+'Advanced Entry'!S151),IF('Advanced Entry'!S$5="Exponential",EXP('Advanced Entry'!S151),'Advanced Entry'!S151)))-'Advanced Entry'!S$6)/('Advanced Entry'!S$7-'Advanced Entry'!S$6),10*((IF('Advanced Entry'!S$5="Logarithm",LN(0.001+'Advanced Entry'!S151),IF('Advanced Entry'!S$5="Exponential",EXP('Advanced Entry'!S151),'Advanced Entry'!S151)))-'Advanced Entry'!S$6)/('Advanced Entry'!S$7-'Advanced Entry'!S$6)),1))),"No data"))</f>
        <v/>
      </c>
      <c r="T151" s="17">
        <f>IF('Advanced Entry'!T151="","",IFERROR(MAX(0,MIN(10,ROUND(IF('Advanced Entry'!T$8="Decrease Risk",10-10*((IF('Advanced Entry'!T$5="Logarithm",LN(0.001+'Advanced Entry'!T151),IF('Advanced Entry'!T$5="Exponential",EXP('Advanced Entry'!T151),'Advanced Entry'!T151)))-'Advanced Entry'!T$6)/('Advanced Entry'!T$7-'Advanced Entry'!T$6),10*((IF('Advanced Entry'!T$5="Logarithm",LN(0.001+'Advanced Entry'!T151),IF('Advanced Entry'!T$5="Exponential",EXP('Advanced Entry'!T151),'Advanced Entry'!T151)))-'Advanced Entry'!T$6)/('Advanced Entry'!T$7-'Advanced Entry'!T$6)),1))),"No data"))</f>
        <v/>
      </c>
      <c r="U151" s="17">
        <f>IF('Advanced Entry'!U151="","",IFERROR(MAX(0,MIN(10,ROUND(IF('Advanced Entry'!U$8="Decrease Risk",10-10*((IF('Advanced Entry'!U$5="Logarithm",LN(0.001+'Advanced Entry'!U151),IF('Advanced Entry'!U$5="Exponential",EXP('Advanced Entry'!U151),'Advanced Entry'!U151)))-'Advanced Entry'!U$6)/('Advanced Entry'!U$7-'Advanced Entry'!U$6),10*((IF('Advanced Entry'!U$5="Logarithm",LN(0.001+'Advanced Entry'!U151),IF('Advanced Entry'!U$5="Exponential",EXP('Advanced Entry'!U151),'Advanced Entry'!U151)))-'Advanced Entry'!U$6)/('Advanced Entry'!U$7-'Advanced Entry'!U$6)),1))),"No data"))</f>
        <v/>
      </c>
      <c r="V151" s="17">
        <f>IF('Advanced Entry'!V151="","",IFERROR(MAX(0,MIN(10,ROUND(IF('Advanced Entry'!V$8="Decrease Risk",10-10*((IF('Advanced Entry'!V$5="Logarithm",LN(0.001+'Advanced Entry'!V151),IF('Advanced Entry'!V$5="Exponential",EXP('Advanced Entry'!V151),'Advanced Entry'!V151)))-'Advanced Entry'!V$6)/('Advanced Entry'!V$7-'Advanced Entry'!V$6),10*((IF('Advanced Entry'!V$5="Logarithm",LN(0.001+'Advanced Entry'!V151),IF('Advanced Entry'!V$5="Exponential",EXP('Advanced Entry'!V151),'Advanced Entry'!V151)))-'Advanced Entry'!V$6)/('Advanced Entry'!V$7-'Advanced Entry'!V$6)),1))),"No data"))</f>
        <v/>
      </c>
      <c r="W151" s="17">
        <f>IF('Advanced Entry'!W151="","",IFERROR(MAX(0,MIN(10,ROUND(IF('Advanced Entry'!W$8="Decrease Risk",10-10*((IF('Advanced Entry'!W$5="Logarithm",LN(0.001+'Advanced Entry'!W151),IF('Advanced Entry'!W$5="Exponential",EXP('Advanced Entry'!W151),'Advanced Entry'!W151)))-'Advanced Entry'!W$6)/('Advanced Entry'!W$7-'Advanced Entry'!W$6),10*((IF('Advanced Entry'!W$5="Logarithm",LN(0.001+'Advanced Entry'!W151),IF('Advanced Entry'!W$5="Exponential",EXP('Advanced Entry'!W151),'Advanced Entry'!W151)))-'Advanced Entry'!W$6)/('Advanced Entry'!W$7-'Advanced Entry'!W$6)),1))),"No data"))</f>
        <v/>
      </c>
      <c r="X151" s="17">
        <f>IF('Advanced Entry'!X151="","",IFERROR(MAX(0,MIN(10,ROUND(IF('Advanced Entry'!X$8="Decrease Risk",10-10*((IF('Advanced Entry'!X$5="Logarithm",LN(0.001+'Advanced Entry'!X151),IF('Advanced Entry'!X$5="Exponential",EXP('Advanced Entry'!X151),'Advanced Entry'!X151)))-'Advanced Entry'!X$6)/('Advanced Entry'!X$7-'Advanced Entry'!X$6),10*((IF('Advanced Entry'!X$5="Logarithm",LN(0.001+'Advanced Entry'!X151),IF('Advanced Entry'!X$5="Exponential",EXP('Advanced Entry'!X151),'Advanced Entry'!X151)))-'Advanced Entry'!X$6)/('Advanced Entry'!X$7-'Advanced Entry'!X$6)),1))),"No data"))</f>
        <v/>
      </c>
      <c r="Y151" s="17">
        <f>IF('Advanced Entry'!Y151="","",IFERROR(MAX(0,MIN(10,ROUND(IF('Advanced Entry'!Y$8="Decrease Risk",10-10*((IF('Advanced Entry'!Y$5="Logarithm",LN(0.001+'Advanced Entry'!Y151),IF('Advanced Entry'!Y$5="Exponential",EXP('Advanced Entry'!Y151),'Advanced Entry'!Y151)))-'Advanced Entry'!Y$6)/('Advanced Entry'!Y$7-'Advanced Entry'!Y$6),10*((IF('Advanced Entry'!Y$5="Logarithm",LN(0.001+'Advanced Entry'!Y151),IF('Advanced Entry'!Y$5="Exponential",EXP('Advanced Entry'!Y151),'Advanced Entry'!Y151)))-'Advanced Entry'!Y$6)/('Advanced Entry'!Y$7-'Advanced Entry'!Y$6)),1))),"No data"))</f>
        <v/>
      </c>
      <c r="Z151" s="17">
        <f>IF('Advanced Entry'!Z151="","",IFERROR(MAX(0,MIN(10,ROUND(IF('Advanced Entry'!Z$8="Decrease Risk",10-10*((IF('Advanced Entry'!Z$5="Logarithm",LN(0.001+'Advanced Entry'!Z151),IF('Advanced Entry'!Z$5="Exponential",EXP('Advanced Entry'!Z151),'Advanced Entry'!Z151)))-'Advanced Entry'!Z$6)/('Advanced Entry'!Z$7-'Advanced Entry'!Z$6),10*((IF('Advanced Entry'!Z$5="Logarithm",LN(0.001+'Advanced Entry'!Z151),IF('Advanced Entry'!Z$5="Exponential",EXP('Advanced Entry'!Z151),'Advanced Entry'!Z151)))-'Advanced Entry'!Z$6)/('Advanced Entry'!Z$7-'Advanced Entry'!Z$6)),1))),"No data"))</f>
        <v/>
      </c>
      <c r="AA151" s="17">
        <f>IF('Advanced Entry'!AA151="","",IFERROR(MAX(0,MIN(10,ROUND(IF('Advanced Entry'!AA$8="Decrease Risk",10-10*((IF('Advanced Entry'!AA$5="Logarithm",LN(0.001+'Advanced Entry'!AA151),IF('Advanced Entry'!AA$5="Exponential",EXP('Advanced Entry'!AA151),'Advanced Entry'!AA151)))-'Advanced Entry'!AA$6)/('Advanced Entry'!AA$7-'Advanced Entry'!AA$6),10*((IF('Advanced Entry'!AA$5="Logarithm",LN(0.001+'Advanced Entry'!AA151),IF('Advanced Entry'!AA$5="Exponential",EXP('Advanced Entry'!AA151),'Advanced Entry'!AA151)))-'Advanced Entry'!AA$6)/('Advanced Entry'!AA$7-'Advanced Entry'!AA$6)),1))),"No data"))</f>
        <v/>
      </c>
      <c r="AB151" s="17">
        <f>IF('Advanced Entry'!AB151="","",IFERROR(MAX(0,MIN(10,ROUND(IF('Advanced Entry'!AB$8="Decrease Risk",10-10*((IF('Advanced Entry'!AB$5="Logarithm",LN(0.001+'Advanced Entry'!AB151),IF('Advanced Entry'!AB$5="Exponential",EXP('Advanced Entry'!AB151),'Advanced Entry'!AB151)))-'Advanced Entry'!AB$6)/('Advanced Entry'!AB$7-'Advanced Entry'!AB$6),10*((IF('Advanced Entry'!AB$5="Logarithm",LN(0.001+'Advanced Entry'!AB151),IF('Advanced Entry'!AB$5="Exponential",EXP('Advanced Entry'!AB151),'Advanced Entry'!AB151)))-'Advanced Entry'!AB$6)/('Advanced Entry'!AB$7-'Advanced Entry'!AB$6)),1))),"No data"))</f>
        <v/>
      </c>
    </row>
    <row r="152">
      <c r="A152" t="inlineStr">
        <is>
          <t>Rukwa</t>
        </is>
      </c>
      <c r="B152" t="inlineStr">
        <is>
          <t>Nkasi District</t>
        </is>
      </c>
      <c r="C152" t="inlineStr">
        <is>
          <t>C110</t>
        </is>
      </c>
      <c r="D152" s="17">
        <f>IF('Advanced Entry'!D152="","",IFERROR(MAX(0,MIN(10,ROUND(IF('Advanced Entry'!D$8="Decrease Risk",10-10*((IF('Advanced Entry'!D$5="Logarithm",LN(0.001+'Advanced Entry'!D152),IF('Advanced Entry'!D$5="Exponential",EXP('Advanced Entry'!D152),'Advanced Entry'!D152)))-'Advanced Entry'!D$6)/('Advanced Entry'!D$7-'Advanced Entry'!D$6),10*((IF('Advanced Entry'!D$5="Logarithm",LN(0.001+'Advanced Entry'!D152),IF('Advanced Entry'!D$5="Exponential",EXP('Advanced Entry'!D152),'Advanced Entry'!D152)))-'Advanced Entry'!D$6)/('Advanced Entry'!D$7-'Advanced Entry'!D$6)),1))),"No data"))</f>
        <v/>
      </c>
      <c r="E152" s="17">
        <f>IF('Advanced Entry'!E152="","",IFERROR(MAX(0,MIN(10,ROUND(IF('Advanced Entry'!E$8="Decrease Risk",10-10*((IF('Advanced Entry'!E$5="Logarithm",LN(0.001+'Advanced Entry'!E152),IF('Advanced Entry'!E$5="Exponential",EXP('Advanced Entry'!E152),'Advanced Entry'!E152)))-'Advanced Entry'!E$6)/('Advanced Entry'!E$7-'Advanced Entry'!E$6),10*((IF('Advanced Entry'!E$5="Logarithm",LN(0.001+'Advanced Entry'!E152),IF('Advanced Entry'!E$5="Exponential",EXP('Advanced Entry'!E152),'Advanced Entry'!E152)))-'Advanced Entry'!E$6)/('Advanced Entry'!E$7-'Advanced Entry'!E$6)),1))),"No data"))</f>
        <v/>
      </c>
      <c r="F152" s="17">
        <f>IF('Advanced Entry'!F152="","",IFERROR(MAX(0,MIN(10,ROUND(IF('Advanced Entry'!F$8="Decrease Risk",10-10*((IF('Advanced Entry'!F$5="Logarithm",LN(0.001+'Advanced Entry'!F152),IF('Advanced Entry'!F$5="Exponential",EXP('Advanced Entry'!F152),'Advanced Entry'!F152)))-'Advanced Entry'!F$6)/('Advanced Entry'!F$7-'Advanced Entry'!F$6),10*((IF('Advanced Entry'!F$5="Logarithm",LN(0.001+'Advanced Entry'!F152),IF('Advanced Entry'!F$5="Exponential",EXP('Advanced Entry'!F152),'Advanced Entry'!F152)))-'Advanced Entry'!F$6)/('Advanced Entry'!F$7-'Advanced Entry'!F$6)),1))),"No data"))</f>
        <v/>
      </c>
      <c r="G152" s="17">
        <f>IF('Advanced Entry'!G152="","",IFERROR(MAX(0,MIN(10,ROUND(IF('Advanced Entry'!G$8="Decrease Risk",10-10*((IF('Advanced Entry'!G$5="Logarithm",LN(0.001+'Advanced Entry'!G152),IF('Advanced Entry'!G$5="Exponential",EXP('Advanced Entry'!G152),'Advanced Entry'!G152)))-'Advanced Entry'!G$6)/('Advanced Entry'!G$7-'Advanced Entry'!G$6),10*((IF('Advanced Entry'!G$5="Logarithm",LN(0.001+'Advanced Entry'!G152),IF('Advanced Entry'!G$5="Exponential",EXP('Advanced Entry'!G152),'Advanced Entry'!G152)))-'Advanced Entry'!G$6)/('Advanced Entry'!G$7-'Advanced Entry'!G$6)),1))),"No data"))</f>
        <v/>
      </c>
      <c r="H152" s="17">
        <f>IF('Advanced Entry'!H152="","",IFERROR(MAX(0,MIN(10,ROUND(IF('Advanced Entry'!H$8="Decrease Risk",10-10*((IF('Advanced Entry'!H$5="Logarithm",LN(0.001+'Advanced Entry'!H152),IF('Advanced Entry'!H$5="Exponential",EXP('Advanced Entry'!H152),'Advanced Entry'!H152)))-'Advanced Entry'!H$6)/('Advanced Entry'!H$7-'Advanced Entry'!H$6),10*((IF('Advanced Entry'!H$5="Logarithm",LN(0.001+'Advanced Entry'!H152),IF('Advanced Entry'!H$5="Exponential",EXP('Advanced Entry'!H152),'Advanced Entry'!H152)))-'Advanced Entry'!H$6)/('Advanced Entry'!H$7-'Advanced Entry'!H$6)),1))),"No data"))</f>
        <v/>
      </c>
      <c r="I152" s="17">
        <f>IF('Advanced Entry'!I152="","",IFERROR(MAX(0,MIN(10,ROUND(IF('Advanced Entry'!I$8="Decrease Risk",10-10*((IF('Advanced Entry'!I$5="Logarithm",LN(0.001+'Advanced Entry'!I152),IF('Advanced Entry'!I$5="Exponential",EXP('Advanced Entry'!I152),'Advanced Entry'!I152)))-'Advanced Entry'!I$6)/('Advanced Entry'!I$7-'Advanced Entry'!I$6),10*((IF('Advanced Entry'!I$5="Logarithm",LN(0.001+'Advanced Entry'!I152),IF('Advanced Entry'!I$5="Exponential",EXP('Advanced Entry'!I152),'Advanced Entry'!I152)))-'Advanced Entry'!I$6)/('Advanced Entry'!I$7-'Advanced Entry'!I$6)),1))),"No data"))</f>
        <v/>
      </c>
      <c r="J152" s="17">
        <f>IF('Advanced Entry'!J152="","",IFERROR(MAX(0,MIN(10,ROUND(IF('Advanced Entry'!J$8="Decrease Risk",10-10*((IF('Advanced Entry'!J$5="Logarithm",LN(0.001+'Advanced Entry'!J152),IF('Advanced Entry'!J$5="Exponential",EXP('Advanced Entry'!J152),'Advanced Entry'!J152)))-'Advanced Entry'!J$6)/('Advanced Entry'!J$7-'Advanced Entry'!J$6),10*((IF('Advanced Entry'!J$5="Logarithm",LN(0.001+'Advanced Entry'!J152),IF('Advanced Entry'!J$5="Exponential",EXP('Advanced Entry'!J152),'Advanced Entry'!J152)))-'Advanced Entry'!J$6)/('Advanced Entry'!J$7-'Advanced Entry'!J$6)),1))),"No data"))</f>
        <v/>
      </c>
      <c r="K152" s="17">
        <f>IF('Advanced Entry'!K152="","",IFERROR(MAX(0,MIN(10,ROUND(IF('Advanced Entry'!K$8="Decrease Risk",10-10*((IF('Advanced Entry'!K$5="Logarithm",LN(0.001+'Advanced Entry'!K152),IF('Advanced Entry'!K$5="Exponential",EXP('Advanced Entry'!K152),'Advanced Entry'!K152)))-'Advanced Entry'!K$6)/('Advanced Entry'!K$7-'Advanced Entry'!K$6),10*((IF('Advanced Entry'!K$5="Logarithm",LN(0.001+'Advanced Entry'!K152),IF('Advanced Entry'!K$5="Exponential",EXP('Advanced Entry'!K152),'Advanced Entry'!K152)))-'Advanced Entry'!K$6)/('Advanced Entry'!K$7-'Advanced Entry'!K$6)),1))),"No data"))</f>
        <v/>
      </c>
      <c r="L152" s="17">
        <f>IF('Advanced Entry'!L152="","",IFERROR(MAX(0,MIN(10,ROUND(IF('Advanced Entry'!L$8="Decrease Risk",10-10*((IF('Advanced Entry'!L$5="Logarithm",LN(0.001+'Advanced Entry'!L152),IF('Advanced Entry'!L$5="Exponential",EXP('Advanced Entry'!L152),'Advanced Entry'!L152)))-'Advanced Entry'!L$6)/('Advanced Entry'!L$7-'Advanced Entry'!L$6),10*((IF('Advanced Entry'!L$5="Logarithm",LN(0.001+'Advanced Entry'!L152),IF('Advanced Entry'!L$5="Exponential",EXP('Advanced Entry'!L152),'Advanced Entry'!L152)))-'Advanced Entry'!L$6)/('Advanced Entry'!L$7-'Advanced Entry'!L$6)),1))),"No data"))</f>
        <v/>
      </c>
      <c r="M152" s="17">
        <f>IF('Advanced Entry'!M152="","",IFERROR(MAX(0,MIN(10,ROUND(IF('Advanced Entry'!M$8="Decrease Risk",10-10*((IF('Advanced Entry'!M$5="Logarithm",LN(0.001+'Advanced Entry'!M152),IF('Advanced Entry'!M$5="Exponential",EXP('Advanced Entry'!M152),'Advanced Entry'!M152)))-'Advanced Entry'!M$6)/('Advanced Entry'!M$7-'Advanced Entry'!M$6),10*((IF('Advanced Entry'!M$5="Logarithm",LN(0.001+'Advanced Entry'!M152),IF('Advanced Entry'!M$5="Exponential",EXP('Advanced Entry'!M152),'Advanced Entry'!M152)))-'Advanced Entry'!M$6)/('Advanced Entry'!M$7-'Advanced Entry'!M$6)),1))),"No data"))</f>
        <v/>
      </c>
      <c r="N152" s="17">
        <f>IF('Advanced Entry'!N152="","",IFERROR(MAX(0,MIN(10,ROUND(IF('Advanced Entry'!N$8="Decrease Risk",10-10*((IF('Advanced Entry'!N$5="Logarithm",LN(0.001+'Advanced Entry'!N152),IF('Advanced Entry'!N$5="Exponential",EXP('Advanced Entry'!N152),'Advanced Entry'!N152)))-'Advanced Entry'!N$6)/('Advanced Entry'!N$7-'Advanced Entry'!N$6),10*((IF('Advanced Entry'!N$5="Logarithm",LN(0.001+'Advanced Entry'!N152),IF('Advanced Entry'!N$5="Exponential",EXP('Advanced Entry'!N152),'Advanced Entry'!N152)))-'Advanced Entry'!N$6)/('Advanced Entry'!N$7-'Advanced Entry'!N$6)),1))),"No data"))</f>
        <v/>
      </c>
      <c r="O152" s="17">
        <f>IF('Advanced Entry'!O152="","",IFERROR(MAX(0,MIN(10,ROUND(IF('Advanced Entry'!O$8="Decrease Risk",10-10*((IF('Advanced Entry'!O$5="Logarithm",LN(0.001+'Advanced Entry'!O152),IF('Advanced Entry'!O$5="Exponential",EXP('Advanced Entry'!O152),'Advanced Entry'!O152)))-'Advanced Entry'!O$6)/('Advanced Entry'!O$7-'Advanced Entry'!O$6),10*((IF('Advanced Entry'!O$5="Logarithm",LN(0.001+'Advanced Entry'!O152),IF('Advanced Entry'!O$5="Exponential",EXP('Advanced Entry'!O152),'Advanced Entry'!O152)))-'Advanced Entry'!O$6)/('Advanced Entry'!O$7-'Advanced Entry'!O$6)),1))),"No data"))</f>
        <v/>
      </c>
      <c r="P152" s="17">
        <f>IF('Advanced Entry'!P152="","",IFERROR(MAX(0,MIN(10,ROUND(IF('Advanced Entry'!P$8="Decrease Risk",10-10*((IF('Advanced Entry'!P$5="Logarithm",LN(0.001+'Advanced Entry'!P152),IF('Advanced Entry'!P$5="Exponential",EXP('Advanced Entry'!P152),'Advanced Entry'!P152)))-'Advanced Entry'!P$6)/('Advanced Entry'!P$7-'Advanced Entry'!P$6),10*((IF('Advanced Entry'!P$5="Logarithm",LN(0.001+'Advanced Entry'!P152),IF('Advanced Entry'!P$5="Exponential",EXP('Advanced Entry'!P152),'Advanced Entry'!P152)))-'Advanced Entry'!P$6)/('Advanced Entry'!P$7-'Advanced Entry'!P$6)),1))),"No data"))</f>
        <v/>
      </c>
      <c r="Q152" s="17">
        <f>IF('Advanced Entry'!Q152="","",IFERROR(MAX(0,MIN(10,ROUND(IF('Advanced Entry'!Q$8="Decrease Risk",10-10*((IF('Advanced Entry'!Q$5="Logarithm",LN(0.001+'Advanced Entry'!Q152),IF('Advanced Entry'!Q$5="Exponential",EXP('Advanced Entry'!Q152),'Advanced Entry'!Q152)))-'Advanced Entry'!Q$6)/('Advanced Entry'!Q$7-'Advanced Entry'!Q$6),10*((IF('Advanced Entry'!Q$5="Logarithm",LN(0.001+'Advanced Entry'!Q152),IF('Advanced Entry'!Q$5="Exponential",EXP('Advanced Entry'!Q152),'Advanced Entry'!Q152)))-'Advanced Entry'!Q$6)/('Advanced Entry'!Q$7-'Advanced Entry'!Q$6)),1))),"No data"))</f>
        <v/>
      </c>
      <c r="R152" s="17">
        <f>IF('Advanced Entry'!R152="","",IFERROR(MAX(0,MIN(10,ROUND(IF('Advanced Entry'!R$8="Decrease Risk",10-10*((IF('Advanced Entry'!R$5="Logarithm",LN(0.001+'Advanced Entry'!R152),IF('Advanced Entry'!R$5="Exponential",EXP('Advanced Entry'!R152),'Advanced Entry'!R152)))-'Advanced Entry'!R$6)/('Advanced Entry'!R$7-'Advanced Entry'!R$6),10*((IF('Advanced Entry'!R$5="Logarithm",LN(0.001+'Advanced Entry'!R152),IF('Advanced Entry'!R$5="Exponential",EXP('Advanced Entry'!R152),'Advanced Entry'!R152)))-'Advanced Entry'!R$6)/('Advanced Entry'!R$7-'Advanced Entry'!R$6)),1))),"No data"))</f>
        <v/>
      </c>
      <c r="S152" s="17">
        <f>IF('Advanced Entry'!S152="","",IFERROR(MAX(0,MIN(10,ROUND(IF('Advanced Entry'!S$8="Decrease Risk",10-10*((IF('Advanced Entry'!S$5="Logarithm",LN(0.001+'Advanced Entry'!S152),IF('Advanced Entry'!S$5="Exponential",EXP('Advanced Entry'!S152),'Advanced Entry'!S152)))-'Advanced Entry'!S$6)/('Advanced Entry'!S$7-'Advanced Entry'!S$6),10*((IF('Advanced Entry'!S$5="Logarithm",LN(0.001+'Advanced Entry'!S152),IF('Advanced Entry'!S$5="Exponential",EXP('Advanced Entry'!S152),'Advanced Entry'!S152)))-'Advanced Entry'!S$6)/('Advanced Entry'!S$7-'Advanced Entry'!S$6)),1))),"No data"))</f>
        <v/>
      </c>
      <c r="T152" s="17">
        <f>IF('Advanced Entry'!T152="","",IFERROR(MAX(0,MIN(10,ROUND(IF('Advanced Entry'!T$8="Decrease Risk",10-10*((IF('Advanced Entry'!T$5="Logarithm",LN(0.001+'Advanced Entry'!T152),IF('Advanced Entry'!T$5="Exponential",EXP('Advanced Entry'!T152),'Advanced Entry'!T152)))-'Advanced Entry'!T$6)/('Advanced Entry'!T$7-'Advanced Entry'!T$6),10*((IF('Advanced Entry'!T$5="Logarithm",LN(0.001+'Advanced Entry'!T152),IF('Advanced Entry'!T$5="Exponential",EXP('Advanced Entry'!T152),'Advanced Entry'!T152)))-'Advanced Entry'!T$6)/('Advanced Entry'!T$7-'Advanced Entry'!T$6)),1))),"No data"))</f>
        <v/>
      </c>
      <c r="U152" s="17">
        <f>IF('Advanced Entry'!U152="","",IFERROR(MAX(0,MIN(10,ROUND(IF('Advanced Entry'!U$8="Decrease Risk",10-10*((IF('Advanced Entry'!U$5="Logarithm",LN(0.001+'Advanced Entry'!U152),IF('Advanced Entry'!U$5="Exponential",EXP('Advanced Entry'!U152),'Advanced Entry'!U152)))-'Advanced Entry'!U$6)/('Advanced Entry'!U$7-'Advanced Entry'!U$6),10*((IF('Advanced Entry'!U$5="Logarithm",LN(0.001+'Advanced Entry'!U152),IF('Advanced Entry'!U$5="Exponential",EXP('Advanced Entry'!U152),'Advanced Entry'!U152)))-'Advanced Entry'!U$6)/('Advanced Entry'!U$7-'Advanced Entry'!U$6)),1))),"No data"))</f>
        <v/>
      </c>
      <c r="V152" s="17">
        <f>IF('Advanced Entry'!V152="","",IFERROR(MAX(0,MIN(10,ROUND(IF('Advanced Entry'!V$8="Decrease Risk",10-10*((IF('Advanced Entry'!V$5="Logarithm",LN(0.001+'Advanced Entry'!V152),IF('Advanced Entry'!V$5="Exponential",EXP('Advanced Entry'!V152),'Advanced Entry'!V152)))-'Advanced Entry'!V$6)/('Advanced Entry'!V$7-'Advanced Entry'!V$6),10*((IF('Advanced Entry'!V$5="Logarithm",LN(0.001+'Advanced Entry'!V152),IF('Advanced Entry'!V$5="Exponential",EXP('Advanced Entry'!V152),'Advanced Entry'!V152)))-'Advanced Entry'!V$6)/('Advanced Entry'!V$7-'Advanced Entry'!V$6)),1))),"No data"))</f>
        <v/>
      </c>
      <c r="W152" s="17">
        <f>IF('Advanced Entry'!W152="","",IFERROR(MAX(0,MIN(10,ROUND(IF('Advanced Entry'!W$8="Decrease Risk",10-10*((IF('Advanced Entry'!W$5="Logarithm",LN(0.001+'Advanced Entry'!W152),IF('Advanced Entry'!W$5="Exponential",EXP('Advanced Entry'!W152),'Advanced Entry'!W152)))-'Advanced Entry'!W$6)/('Advanced Entry'!W$7-'Advanced Entry'!W$6),10*((IF('Advanced Entry'!W$5="Logarithm",LN(0.001+'Advanced Entry'!W152),IF('Advanced Entry'!W$5="Exponential",EXP('Advanced Entry'!W152),'Advanced Entry'!W152)))-'Advanced Entry'!W$6)/('Advanced Entry'!W$7-'Advanced Entry'!W$6)),1))),"No data"))</f>
        <v/>
      </c>
      <c r="X152" s="17">
        <f>IF('Advanced Entry'!X152="","",IFERROR(MAX(0,MIN(10,ROUND(IF('Advanced Entry'!X$8="Decrease Risk",10-10*((IF('Advanced Entry'!X$5="Logarithm",LN(0.001+'Advanced Entry'!X152),IF('Advanced Entry'!X$5="Exponential",EXP('Advanced Entry'!X152),'Advanced Entry'!X152)))-'Advanced Entry'!X$6)/('Advanced Entry'!X$7-'Advanced Entry'!X$6),10*((IF('Advanced Entry'!X$5="Logarithm",LN(0.001+'Advanced Entry'!X152),IF('Advanced Entry'!X$5="Exponential",EXP('Advanced Entry'!X152),'Advanced Entry'!X152)))-'Advanced Entry'!X$6)/('Advanced Entry'!X$7-'Advanced Entry'!X$6)),1))),"No data"))</f>
        <v/>
      </c>
      <c r="Y152" s="17">
        <f>IF('Advanced Entry'!Y152="","",IFERROR(MAX(0,MIN(10,ROUND(IF('Advanced Entry'!Y$8="Decrease Risk",10-10*((IF('Advanced Entry'!Y$5="Logarithm",LN(0.001+'Advanced Entry'!Y152),IF('Advanced Entry'!Y$5="Exponential",EXP('Advanced Entry'!Y152),'Advanced Entry'!Y152)))-'Advanced Entry'!Y$6)/('Advanced Entry'!Y$7-'Advanced Entry'!Y$6),10*((IF('Advanced Entry'!Y$5="Logarithm",LN(0.001+'Advanced Entry'!Y152),IF('Advanced Entry'!Y$5="Exponential",EXP('Advanced Entry'!Y152),'Advanced Entry'!Y152)))-'Advanced Entry'!Y$6)/('Advanced Entry'!Y$7-'Advanced Entry'!Y$6)),1))),"No data"))</f>
        <v/>
      </c>
      <c r="Z152" s="17">
        <f>IF('Advanced Entry'!Z152="","",IFERROR(MAX(0,MIN(10,ROUND(IF('Advanced Entry'!Z$8="Decrease Risk",10-10*((IF('Advanced Entry'!Z$5="Logarithm",LN(0.001+'Advanced Entry'!Z152),IF('Advanced Entry'!Z$5="Exponential",EXP('Advanced Entry'!Z152),'Advanced Entry'!Z152)))-'Advanced Entry'!Z$6)/('Advanced Entry'!Z$7-'Advanced Entry'!Z$6),10*((IF('Advanced Entry'!Z$5="Logarithm",LN(0.001+'Advanced Entry'!Z152),IF('Advanced Entry'!Z$5="Exponential",EXP('Advanced Entry'!Z152),'Advanced Entry'!Z152)))-'Advanced Entry'!Z$6)/('Advanced Entry'!Z$7-'Advanced Entry'!Z$6)),1))),"No data"))</f>
        <v/>
      </c>
      <c r="AA152" s="17">
        <f>IF('Advanced Entry'!AA152="","",IFERROR(MAX(0,MIN(10,ROUND(IF('Advanced Entry'!AA$8="Decrease Risk",10-10*((IF('Advanced Entry'!AA$5="Logarithm",LN(0.001+'Advanced Entry'!AA152),IF('Advanced Entry'!AA$5="Exponential",EXP('Advanced Entry'!AA152),'Advanced Entry'!AA152)))-'Advanced Entry'!AA$6)/('Advanced Entry'!AA$7-'Advanced Entry'!AA$6),10*((IF('Advanced Entry'!AA$5="Logarithm",LN(0.001+'Advanced Entry'!AA152),IF('Advanced Entry'!AA$5="Exponential",EXP('Advanced Entry'!AA152),'Advanced Entry'!AA152)))-'Advanced Entry'!AA$6)/('Advanced Entry'!AA$7-'Advanced Entry'!AA$6)),1))),"No data"))</f>
        <v/>
      </c>
      <c r="AB152" s="17">
        <f>IF('Advanced Entry'!AB152="","",IFERROR(MAX(0,MIN(10,ROUND(IF('Advanced Entry'!AB$8="Decrease Risk",10-10*((IF('Advanced Entry'!AB$5="Logarithm",LN(0.001+'Advanced Entry'!AB152),IF('Advanced Entry'!AB$5="Exponential",EXP('Advanced Entry'!AB152),'Advanced Entry'!AB152)))-'Advanced Entry'!AB$6)/('Advanced Entry'!AB$7-'Advanced Entry'!AB$6),10*((IF('Advanced Entry'!AB$5="Logarithm",LN(0.001+'Advanced Entry'!AB152),IF('Advanced Entry'!AB$5="Exponential",EXP('Advanced Entry'!AB152),'Advanced Entry'!AB152)))-'Advanced Entry'!AB$6)/('Advanced Entry'!AB$7-'Advanced Entry'!AB$6)),1))),"No data"))</f>
        <v/>
      </c>
    </row>
    <row r="153">
      <c r="A153" t="inlineStr">
        <is>
          <t>Rukwa</t>
        </is>
      </c>
      <c r="B153" t="inlineStr">
        <is>
          <t>Sumbawanga District</t>
        </is>
      </c>
      <c r="C153" t="inlineStr">
        <is>
          <t>C108</t>
        </is>
      </c>
      <c r="D153" s="17">
        <f>IF('Advanced Entry'!D153="","",IFERROR(MAX(0,MIN(10,ROUND(IF('Advanced Entry'!D$8="Decrease Risk",10-10*((IF('Advanced Entry'!D$5="Logarithm",LN(0.001+'Advanced Entry'!D153),IF('Advanced Entry'!D$5="Exponential",EXP('Advanced Entry'!D153),'Advanced Entry'!D153)))-'Advanced Entry'!D$6)/('Advanced Entry'!D$7-'Advanced Entry'!D$6),10*((IF('Advanced Entry'!D$5="Logarithm",LN(0.001+'Advanced Entry'!D153),IF('Advanced Entry'!D$5="Exponential",EXP('Advanced Entry'!D153),'Advanced Entry'!D153)))-'Advanced Entry'!D$6)/('Advanced Entry'!D$7-'Advanced Entry'!D$6)),1))),"No data"))</f>
        <v/>
      </c>
      <c r="E153" s="17">
        <f>IF('Advanced Entry'!E153="","",IFERROR(MAX(0,MIN(10,ROUND(IF('Advanced Entry'!E$8="Decrease Risk",10-10*((IF('Advanced Entry'!E$5="Logarithm",LN(0.001+'Advanced Entry'!E153),IF('Advanced Entry'!E$5="Exponential",EXP('Advanced Entry'!E153),'Advanced Entry'!E153)))-'Advanced Entry'!E$6)/('Advanced Entry'!E$7-'Advanced Entry'!E$6),10*((IF('Advanced Entry'!E$5="Logarithm",LN(0.001+'Advanced Entry'!E153),IF('Advanced Entry'!E$5="Exponential",EXP('Advanced Entry'!E153),'Advanced Entry'!E153)))-'Advanced Entry'!E$6)/('Advanced Entry'!E$7-'Advanced Entry'!E$6)),1))),"No data"))</f>
        <v/>
      </c>
      <c r="F153" s="17">
        <f>IF('Advanced Entry'!F153="","",IFERROR(MAX(0,MIN(10,ROUND(IF('Advanced Entry'!F$8="Decrease Risk",10-10*((IF('Advanced Entry'!F$5="Logarithm",LN(0.001+'Advanced Entry'!F153),IF('Advanced Entry'!F$5="Exponential",EXP('Advanced Entry'!F153),'Advanced Entry'!F153)))-'Advanced Entry'!F$6)/('Advanced Entry'!F$7-'Advanced Entry'!F$6),10*((IF('Advanced Entry'!F$5="Logarithm",LN(0.001+'Advanced Entry'!F153),IF('Advanced Entry'!F$5="Exponential",EXP('Advanced Entry'!F153),'Advanced Entry'!F153)))-'Advanced Entry'!F$6)/('Advanced Entry'!F$7-'Advanced Entry'!F$6)),1))),"No data"))</f>
        <v/>
      </c>
      <c r="G153" s="17">
        <f>IF('Advanced Entry'!G153="","",IFERROR(MAX(0,MIN(10,ROUND(IF('Advanced Entry'!G$8="Decrease Risk",10-10*((IF('Advanced Entry'!G$5="Logarithm",LN(0.001+'Advanced Entry'!G153),IF('Advanced Entry'!G$5="Exponential",EXP('Advanced Entry'!G153),'Advanced Entry'!G153)))-'Advanced Entry'!G$6)/('Advanced Entry'!G$7-'Advanced Entry'!G$6),10*((IF('Advanced Entry'!G$5="Logarithm",LN(0.001+'Advanced Entry'!G153),IF('Advanced Entry'!G$5="Exponential",EXP('Advanced Entry'!G153),'Advanced Entry'!G153)))-'Advanced Entry'!G$6)/('Advanced Entry'!G$7-'Advanced Entry'!G$6)),1))),"No data"))</f>
        <v/>
      </c>
      <c r="H153" s="17">
        <f>IF('Advanced Entry'!H153="","",IFERROR(MAX(0,MIN(10,ROUND(IF('Advanced Entry'!H$8="Decrease Risk",10-10*((IF('Advanced Entry'!H$5="Logarithm",LN(0.001+'Advanced Entry'!H153),IF('Advanced Entry'!H$5="Exponential",EXP('Advanced Entry'!H153),'Advanced Entry'!H153)))-'Advanced Entry'!H$6)/('Advanced Entry'!H$7-'Advanced Entry'!H$6),10*((IF('Advanced Entry'!H$5="Logarithm",LN(0.001+'Advanced Entry'!H153),IF('Advanced Entry'!H$5="Exponential",EXP('Advanced Entry'!H153),'Advanced Entry'!H153)))-'Advanced Entry'!H$6)/('Advanced Entry'!H$7-'Advanced Entry'!H$6)),1))),"No data"))</f>
        <v/>
      </c>
      <c r="I153" s="17">
        <f>IF('Advanced Entry'!I153="","",IFERROR(MAX(0,MIN(10,ROUND(IF('Advanced Entry'!I$8="Decrease Risk",10-10*((IF('Advanced Entry'!I$5="Logarithm",LN(0.001+'Advanced Entry'!I153),IF('Advanced Entry'!I$5="Exponential",EXP('Advanced Entry'!I153),'Advanced Entry'!I153)))-'Advanced Entry'!I$6)/('Advanced Entry'!I$7-'Advanced Entry'!I$6),10*((IF('Advanced Entry'!I$5="Logarithm",LN(0.001+'Advanced Entry'!I153),IF('Advanced Entry'!I$5="Exponential",EXP('Advanced Entry'!I153),'Advanced Entry'!I153)))-'Advanced Entry'!I$6)/('Advanced Entry'!I$7-'Advanced Entry'!I$6)),1))),"No data"))</f>
        <v/>
      </c>
      <c r="J153" s="17">
        <f>IF('Advanced Entry'!J153="","",IFERROR(MAX(0,MIN(10,ROUND(IF('Advanced Entry'!J$8="Decrease Risk",10-10*((IF('Advanced Entry'!J$5="Logarithm",LN(0.001+'Advanced Entry'!J153),IF('Advanced Entry'!J$5="Exponential",EXP('Advanced Entry'!J153),'Advanced Entry'!J153)))-'Advanced Entry'!J$6)/('Advanced Entry'!J$7-'Advanced Entry'!J$6),10*((IF('Advanced Entry'!J$5="Logarithm",LN(0.001+'Advanced Entry'!J153),IF('Advanced Entry'!J$5="Exponential",EXP('Advanced Entry'!J153),'Advanced Entry'!J153)))-'Advanced Entry'!J$6)/('Advanced Entry'!J$7-'Advanced Entry'!J$6)),1))),"No data"))</f>
        <v/>
      </c>
      <c r="K153" s="17">
        <f>IF('Advanced Entry'!K153="","",IFERROR(MAX(0,MIN(10,ROUND(IF('Advanced Entry'!K$8="Decrease Risk",10-10*((IF('Advanced Entry'!K$5="Logarithm",LN(0.001+'Advanced Entry'!K153),IF('Advanced Entry'!K$5="Exponential",EXP('Advanced Entry'!K153),'Advanced Entry'!K153)))-'Advanced Entry'!K$6)/('Advanced Entry'!K$7-'Advanced Entry'!K$6),10*((IF('Advanced Entry'!K$5="Logarithm",LN(0.001+'Advanced Entry'!K153),IF('Advanced Entry'!K$5="Exponential",EXP('Advanced Entry'!K153),'Advanced Entry'!K153)))-'Advanced Entry'!K$6)/('Advanced Entry'!K$7-'Advanced Entry'!K$6)),1))),"No data"))</f>
        <v/>
      </c>
      <c r="L153" s="17">
        <f>IF('Advanced Entry'!L153="","",IFERROR(MAX(0,MIN(10,ROUND(IF('Advanced Entry'!L$8="Decrease Risk",10-10*((IF('Advanced Entry'!L$5="Logarithm",LN(0.001+'Advanced Entry'!L153),IF('Advanced Entry'!L$5="Exponential",EXP('Advanced Entry'!L153),'Advanced Entry'!L153)))-'Advanced Entry'!L$6)/('Advanced Entry'!L$7-'Advanced Entry'!L$6),10*((IF('Advanced Entry'!L$5="Logarithm",LN(0.001+'Advanced Entry'!L153),IF('Advanced Entry'!L$5="Exponential",EXP('Advanced Entry'!L153),'Advanced Entry'!L153)))-'Advanced Entry'!L$6)/('Advanced Entry'!L$7-'Advanced Entry'!L$6)),1))),"No data"))</f>
        <v/>
      </c>
      <c r="M153" s="17">
        <f>IF('Advanced Entry'!M153="","",IFERROR(MAX(0,MIN(10,ROUND(IF('Advanced Entry'!M$8="Decrease Risk",10-10*((IF('Advanced Entry'!M$5="Logarithm",LN(0.001+'Advanced Entry'!M153),IF('Advanced Entry'!M$5="Exponential",EXP('Advanced Entry'!M153),'Advanced Entry'!M153)))-'Advanced Entry'!M$6)/('Advanced Entry'!M$7-'Advanced Entry'!M$6),10*((IF('Advanced Entry'!M$5="Logarithm",LN(0.001+'Advanced Entry'!M153),IF('Advanced Entry'!M$5="Exponential",EXP('Advanced Entry'!M153),'Advanced Entry'!M153)))-'Advanced Entry'!M$6)/('Advanced Entry'!M$7-'Advanced Entry'!M$6)),1))),"No data"))</f>
        <v/>
      </c>
      <c r="N153" s="17">
        <f>IF('Advanced Entry'!N153="","",IFERROR(MAX(0,MIN(10,ROUND(IF('Advanced Entry'!N$8="Decrease Risk",10-10*((IF('Advanced Entry'!N$5="Logarithm",LN(0.001+'Advanced Entry'!N153),IF('Advanced Entry'!N$5="Exponential",EXP('Advanced Entry'!N153),'Advanced Entry'!N153)))-'Advanced Entry'!N$6)/('Advanced Entry'!N$7-'Advanced Entry'!N$6),10*((IF('Advanced Entry'!N$5="Logarithm",LN(0.001+'Advanced Entry'!N153),IF('Advanced Entry'!N$5="Exponential",EXP('Advanced Entry'!N153),'Advanced Entry'!N153)))-'Advanced Entry'!N$6)/('Advanced Entry'!N$7-'Advanced Entry'!N$6)),1))),"No data"))</f>
        <v/>
      </c>
      <c r="O153" s="17">
        <f>IF('Advanced Entry'!O153="","",IFERROR(MAX(0,MIN(10,ROUND(IF('Advanced Entry'!O$8="Decrease Risk",10-10*((IF('Advanced Entry'!O$5="Logarithm",LN(0.001+'Advanced Entry'!O153),IF('Advanced Entry'!O$5="Exponential",EXP('Advanced Entry'!O153),'Advanced Entry'!O153)))-'Advanced Entry'!O$6)/('Advanced Entry'!O$7-'Advanced Entry'!O$6),10*((IF('Advanced Entry'!O$5="Logarithm",LN(0.001+'Advanced Entry'!O153),IF('Advanced Entry'!O$5="Exponential",EXP('Advanced Entry'!O153),'Advanced Entry'!O153)))-'Advanced Entry'!O$6)/('Advanced Entry'!O$7-'Advanced Entry'!O$6)),1))),"No data"))</f>
        <v/>
      </c>
      <c r="P153" s="17">
        <f>IF('Advanced Entry'!P153="","",IFERROR(MAX(0,MIN(10,ROUND(IF('Advanced Entry'!P$8="Decrease Risk",10-10*((IF('Advanced Entry'!P$5="Logarithm",LN(0.001+'Advanced Entry'!P153),IF('Advanced Entry'!P$5="Exponential",EXP('Advanced Entry'!P153),'Advanced Entry'!P153)))-'Advanced Entry'!P$6)/('Advanced Entry'!P$7-'Advanced Entry'!P$6),10*((IF('Advanced Entry'!P$5="Logarithm",LN(0.001+'Advanced Entry'!P153),IF('Advanced Entry'!P$5="Exponential",EXP('Advanced Entry'!P153),'Advanced Entry'!P153)))-'Advanced Entry'!P$6)/('Advanced Entry'!P$7-'Advanced Entry'!P$6)),1))),"No data"))</f>
        <v/>
      </c>
      <c r="Q153" s="17">
        <f>IF('Advanced Entry'!Q153="","",IFERROR(MAX(0,MIN(10,ROUND(IF('Advanced Entry'!Q$8="Decrease Risk",10-10*((IF('Advanced Entry'!Q$5="Logarithm",LN(0.001+'Advanced Entry'!Q153),IF('Advanced Entry'!Q$5="Exponential",EXP('Advanced Entry'!Q153),'Advanced Entry'!Q153)))-'Advanced Entry'!Q$6)/('Advanced Entry'!Q$7-'Advanced Entry'!Q$6),10*((IF('Advanced Entry'!Q$5="Logarithm",LN(0.001+'Advanced Entry'!Q153),IF('Advanced Entry'!Q$5="Exponential",EXP('Advanced Entry'!Q153),'Advanced Entry'!Q153)))-'Advanced Entry'!Q$6)/('Advanced Entry'!Q$7-'Advanced Entry'!Q$6)),1))),"No data"))</f>
        <v/>
      </c>
      <c r="R153" s="17">
        <f>IF('Advanced Entry'!R153="","",IFERROR(MAX(0,MIN(10,ROUND(IF('Advanced Entry'!R$8="Decrease Risk",10-10*((IF('Advanced Entry'!R$5="Logarithm",LN(0.001+'Advanced Entry'!R153),IF('Advanced Entry'!R$5="Exponential",EXP('Advanced Entry'!R153),'Advanced Entry'!R153)))-'Advanced Entry'!R$6)/('Advanced Entry'!R$7-'Advanced Entry'!R$6),10*((IF('Advanced Entry'!R$5="Logarithm",LN(0.001+'Advanced Entry'!R153),IF('Advanced Entry'!R$5="Exponential",EXP('Advanced Entry'!R153),'Advanced Entry'!R153)))-'Advanced Entry'!R$6)/('Advanced Entry'!R$7-'Advanced Entry'!R$6)),1))),"No data"))</f>
        <v/>
      </c>
      <c r="S153" s="17">
        <f>IF('Advanced Entry'!S153="","",IFERROR(MAX(0,MIN(10,ROUND(IF('Advanced Entry'!S$8="Decrease Risk",10-10*((IF('Advanced Entry'!S$5="Logarithm",LN(0.001+'Advanced Entry'!S153),IF('Advanced Entry'!S$5="Exponential",EXP('Advanced Entry'!S153),'Advanced Entry'!S153)))-'Advanced Entry'!S$6)/('Advanced Entry'!S$7-'Advanced Entry'!S$6),10*((IF('Advanced Entry'!S$5="Logarithm",LN(0.001+'Advanced Entry'!S153),IF('Advanced Entry'!S$5="Exponential",EXP('Advanced Entry'!S153),'Advanced Entry'!S153)))-'Advanced Entry'!S$6)/('Advanced Entry'!S$7-'Advanced Entry'!S$6)),1))),"No data"))</f>
        <v/>
      </c>
      <c r="T153" s="17">
        <f>IF('Advanced Entry'!T153="","",IFERROR(MAX(0,MIN(10,ROUND(IF('Advanced Entry'!T$8="Decrease Risk",10-10*((IF('Advanced Entry'!T$5="Logarithm",LN(0.001+'Advanced Entry'!T153),IF('Advanced Entry'!T$5="Exponential",EXP('Advanced Entry'!T153),'Advanced Entry'!T153)))-'Advanced Entry'!T$6)/('Advanced Entry'!T$7-'Advanced Entry'!T$6),10*((IF('Advanced Entry'!T$5="Logarithm",LN(0.001+'Advanced Entry'!T153),IF('Advanced Entry'!T$5="Exponential",EXP('Advanced Entry'!T153),'Advanced Entry'!T153)))-'Advanced Entry'!T$6)/('Advanced Entry'!T$7-'Advanced Entry'!T$6)),1))),"No data"))</f>
        <v/>
      </c>
      <c r="U153" s="17">
        <f>IF('Advanced Entry'!U153="","",IFERROR(MAX(0,MIN(10,ROUND(IF('Advanced Entry'!U$8="Decrease Risk",10-10*((IF('Advanced Entry'!U$5="Logarithm",LN(0.001+'Advanced Entry'!U153),IF('Advanced Entry'!U$5="Exponential",EXP('Advanced Entry'!U153),'Advanced Entry'!U153)))-'Advanced Entry'!U$6)/('Advanced Entry'!U$7-'Advanced Entry'!U$6),10*((IF('Advanced Entry'!U$5="Logarithm",LN(0.001+'Advanced Entry'!U153),IF('Advanced Entry'!U$5="Exponential",EXP('Advanced Entry'!U153),'Advanced Entry'!U153)))-'Advanced Entry'!U$6)/('Advanced Entry'!U$7-'Advanced Entry'!U$6)),1))),"No data"))</f>
        <v/>
      </c>
      <c r="V153" s="17">
        <f>IF('Advanced Entry'!V153="","",IFERROR(MAX(0,MIN(10,ROUND(IF('Advanced Entry'!V$8="Decrease Risk",10-10*((IF('Advanced Entry'!V$5="Logarithm",LN(0.001+'Advanced Entry'!V153),IF('Advanced Entry'!V$5="Exponential",EXP('Advanced Entry'!V153),'Advanced Entry'!V153)))-'Advanced Entry'!V$6)/('Advanced Entry'!V$7-'Advanced Entry'!V$6),10*((IF('Advanced Entry'!V$5="Logarithm",LN(0.001+'Advanced Entry'!V153),IF('Advanced Entry'!V$5="Exponential",EXP('Advanced Entry'!V153),'Advanced Entry'!V153)))-'Advanced Entry'!V$6)/('Advanced Entry'!V$7-'Advanced Entry'!V$6)),1))),"No data"))</f>
        <v/>
      </c>
      <c r="W153" s="17">
        <f>IF('Advanced Entry'!W153="","",IFERROR(MAX(0,MIN(10,ROUND(IF('Advanced Entry'!W$8="Decrease Risk",10-10*((IF('Advanced Entry'!W$5="Logarithm",LN(0.001+'Advanced Entry'!W153),IF('Advanced Entry'!W$5="Exponential",EXP('Advanced Entry'!W153),'Advanced Entry'!W153)))-'Advanced Entry'!W$6)/('Advanced Entry'!W$7-'Advanced Entry'!W$6),10*((IF('Advanced Entry'!W$5="Logarithm",LN(0.001+'Advanced Entry'!W153),IF('Advanced Entry'!W$5="Exponential",EXP('Advanced Entry'!W153),'Advanced Entry'!W153)))-'Advanced Entry'!W$6)/('Advanced Entry'!W$7-'Advanced Entry'!W$6)),1))),"No data"))</f>
        <v/>
      </c>
      <c r="X153" s="17">
        <f>IF('Advanced Entry'!X153="","",IFERROR(MAX(0,MIN(10,ROUND(IF('Advanced Entry'!X$8="Decrease Risk",10-10*((IF('Advanced Entry'!X$5="Logarithm",LN(0.001+'Advanced Entry'!X153),IF('Advanced Entry'!X$5="Exponential",EXP('Advanced Entry'!X153),'Advanced Entry'!X153)))-'Advanced Entry'!X$6)/('Advanced Entry'!X$7-'Advanced Entry'!X$6),10*((IF('Advanced Entry'!X$5="Logarithm",LN(0.001+'Advanced Entry'!X153),IF('Advanced Entry'!X$5="Exponential",EXP('Advanced Entry'!X153),'Advanced Entry'!X153)))-'Advanced Entry'!X$6)/('Advanced Entry'!X$7-'Advanced Entry'!X$6)),1))),"No data"))</f>
        <v/>
      </c>
      <c r="Y153" s="17">
        <f>IF('Advanced Entry'!Y153="","",IFERROR(MAX(0,MIN(10,ROUND(IF('Advanced Entry'!Y$8="Decrease Risk",10-10*((IF('Advanced Entry'!Y$5="Logarithm",LN(0.001+'Advanced Entry'!Y153),IF('Advanced Entry'!Y$5="Exponential",EXP('Advanced Entry'!Y153),'Advanced Entry'!Y153)))-'Advanced Entry'!Y$6)/('Advanced Entry'!Y$7-'Advanced Entry'!Y$6),10*((IF('Advanced Entry'!Y$5="Logarithm",LN(0.001+'Advanced Entry'!Y153),IF('Advanced Entry'!Y$5="Exponential",EXP('Advanced Entry'!Y153),'Advanced Entry'!Y153)))-'Advanced Entry'!Y$6)/('Advanced Entry'!Y$7-'Advanced Entry'!Y$6)),1))),"No data"))</f>
        <v/>
      </c>
      <c r="Z153" s="17">
        <f>IF('Advanced Entry'!Z153="","",IFERROR(MAX(0,MIN(10,ROUND(IF('Advanced Entry'!Z$8="Decrease Risk",10-10*((IF('Advanced Entry'!Z$5="Logarithm",LN(0.001+'Advanced Entry'!Z153),IF('Advanced Entry'!Z$5="Exponential",EXP('Advanced Entry'!Z153),'Advanced Entry'!Z153)))-'Advanced Entry'!Z$6)/('Advanced Entry'!Z$7-'Advanced Entry'!Z$6),10*((IF('Advanced Entry'!Z$5="Logarithm",LN(0.001+'Advanced Entry'!Z153),IF('Advanced Entry'!Z$5="Exponential",EXP('Advanced Entry'!Z153),'Advanced Entry'!Z153)))-'Advanced Entry'!Z$6)/('Advanced Entry'!Z$7-'Advanced Entry'!Z$6)),1))),"No data"))</f>
        <v/>
      </c>
      <c r="AA153" s="17">
        <f>IF('Advanced Entry'!AA153="","",IFERROR(MAX(0,MIN(10,ROUND(IF('Advanced Entry'!AA$8="Decrease Risk",10-10*((IF('Advanced Entry'!AA$5="Logarithm",LN(0.001+'Advanced Entry'!AA153),IF('Advanced Entry'!AA$5="Exponential",EXP('Advanced Entry'!AA153),'Advanced Entry'!AA153)))-'Advanced Entry'!AA$6)/('Advanced Entry'!AA$7-'Advanced Entry'!AA$6),10*((IF('Advanced Entry'!AA$5="Logarithm",LN(0.001+'Advanced Entry'!AA153),IF('Advanced Entry'!AA$5="Exponential",EXP('Advanced Entry'!AA153),'Advanced Entry'!AA153)))-'Advanced Entry'!AA$6)/('Advanced Entry'!AA$7-'Advanced Entry'!AA$6)),1))),"No data"))</f>
        <v/>
      </c>
      <c r="AB153" s="17">
        <f>IF('Advanced Entry'!AB153="","",IFERROR(MAX(0,MIN(10,ROUND(IF('Advanced Entry'!AB$8="Decrease Risk",10-10*((IF('Advanced Entry'!AB$5="Logarithm",LN(0.001+'Advanced Entry'!AB153),IF('Advanced Entry'!AB$5="Exponential",EXP('Advanced Entry'!AB153),'Advanced Entry'!AB153)))-'Advanced Entry'!AB$6)/('Advanced Entry'!AB$7-'Advanced Entry'!AB$6),10*((IF('Advanced Entry'!AB$5="Logarithm",LN(0.001+'Advanced Entry'!AB153),IF('Advanced Entry'!AB$5="Exponential",EXP('Advanced Entry'!AB153),'Advanced Entry'!AB153)))-'Advanced Entry'!AB$6)/('Advanced Entry'!AB$7-'Advanced Entry'!AB$6)),1))),"No data"))</f>
        <v/>
      </c>
    </row>
    <row r="154">
      <c r="A154" t="inlineStr">
        <is>
          <t>Rukwa</t>
        </is>
      </c>
      <c r="B154" t="inlineStr">
        <is>
          <t>Sumbawanga Municipal</t>
        </is>
      </c>
      <c r="C154" t="inlineStr">
        <is>
          <t>C109</t>
        </is>
      </c>
      <c r="D154" s="17">
        <f>IF('Advanced Entry'!D154="","",IFERROR(MAX(0,MIN(10,ROUND(IF('Advanced Entry'!D$8="Decrease Risk",10-10*((IF('Advanced Entry'!D$5="Logarithm",LN(0.001+'Advanced Entry'!D154),IF('Advanced Entry'!D$5="Exponential",EXP('Advanced Entry'!D154),'Advanced Entry'!D154)))-'Advanced Entry'!D$6)/('Advanced Entry'!D$7-'Advanced Entry'!D$6),10*((IF('Advanced Entry'!D$5="Logarithm",LN(0.001+'Advanced Entry'!D154),IF('Advanced Entry'!D$5="Exponential",EXP('Advanced Entry'!D154),'Advanced Entry'!D154)))-'Advanced Entry'!D$6)/('Advanced Entry'!D$7-'Advanced Entry'!D$6)),1))),"No data"))</f>
        <v/>
      </c>
      <c r="E154" s="17">
        <f>IF('Advanced Entry'!E154="","",IFERROR(MAX(0,MIN(10,ROUND(IF('Advanced Entry'!E$8="Decrease Risk",10-10*((IF('Advanced Entry'!E$5="Logarithm",LN(0.001+'Advanced Entry'!E154),IF('Advanced Entry'!E$5="Exponential",EXP('Advanced Entry'!E154),'Advanced Entry'!E154)))-'Advanced Entry'!E$6)/('Advanced Entry'!E$7-'Advanced Entry'!E$6),10*((IF('Advanced Entry'!E$5="Logarithm",LN(0.001+'Advanced Entry'!E154),IF('Advanced Entry'!E$5="Exponential",EXP('Advanced Entry'!E154),'Advanced Entry'!E154)))-'Advanced Entry'!E$6)/('Advanced Entry'!E$7-'Advanced Entry'!E$6)),1))),"No data"))</f>
        <v/>
      </c>
      <c r="F154" s="17">
        <f>IF('Advanced Entry'!F154="","",IFERROR(MAX(0,MIN(10,ROUND(IF('Advanced Entry'!F$8="Decrease Risk",10-10*((IF('Advanced Entry'!F$5="Logarithm",LN(0.001+'Advanced Entry'!F154),IF('Advanced Entry'!F$5="Exponential",EXP('Advanced Entry'!F154),'Advanced Entry'!F154)))-'Advanced Entry'!F$6)/('Advanced Entry'!F$7-'Advanced Entry'!F$6),10*((IF('Advanced Entry'!F$5="Logarithm",LN(0.001+'Advanced Entry'!F154),IF('Advanced Entry'!F$5="Exponential",EXP('Advanced Entry'!F154),'Advanced Entry'!F154)))-'Advanced Entry'!F$6)/('Advanced Entry'!F$7-'Advanced Entry'!F$6)),1))),"No data"))</f>
        <v/>
      </c>
      <c r="G154" s="17">
        <f>IF('Advanced Entry'!G154="","",IFERROR(MAX(0,MIN(10,ROUND(IF('Advanced Entry'!G$8="Decrease Risk",10-10*((IF('Advanced Entry'!G$5="Logarithm",LN(0.001+'Advanced Entry'!G154),IF('Advanced Entry'!G$5="Exponential",EXP('Advanced Entry'!G154),'Advanced Entry'!G154)))-'Advanced Entry'!G$6)/('Advanced Entry'!G$7-'Advanced Entry'!G$6),10*((IF('Advanced Entry'!G$5="Logarithm",LN(0.001+'Advanced Entry'!G154),IF('Advanced Entry'!G$5="Exponential",EXP('Advanced Entry'!G154),'Advanced Entry'!G154)))-'Advanced Entry'!G$6)/('Advanced Entry'!G$7-'Advanced Entry'!G$6)),1))),"No data"))</f>
        <v/>
      </c>
      <c r="H154" s="17">
        <f>IF('Advanced Entry'!H154="","",IFERROR(MAX(0,MIN(10,ROUND(IF('Advanced Entry'!H$8="Decrease Risk",10-10*((IF('Advanced Entry'!H$5="Logarithm",LN(0.001+'Advanced Entry'!H154),IF('Advanced Entry'!H$5="Exponential",EXP('Advanced Entry'!H154),'Advanced Entry'!H154)))-'Advanced Entry'!H$6)/('Advanced Entry'!H$7-'Advanced Entry'!H$6),10*((IF('Advanced Entry'!H$5="Logarithm",LN(0.001+'Advanced Entry'!H154),IF('Advanced Entry'!H$5="Exponential",EXP('Advanced Entry'!H154),'Advanced Entry'!H154)))-'Advanced Entry'!H$6)/('Advanced Entry'!H$7-'Advanced Entry'!H$6)),1))),"No data"))</f>
        <v/>
      </c>
      <c r="I154" s="17">
        <f>IF('Advanced Entry'!I154="","",IFERROR(MAX(0,MIN(10,ROUND(IF('Advanced Entry'!I$8="Decrease Risk",10-10*((IF('Advanced Entry'!I$5="Logarithm",LN(0.001+'Advanced Entry'!I154),IF('Advanced Entry'!I$5="Exponential",EXP('Advanced Entry'!I154),'Advanced Entry'!I154)))-'Advanced Entry'!I$6)/('Advanced Entry'!I$7-'Advanced Entry'!I$6),10*((IF('Advanced Entry'!I$5="Logarithm",LN(0.001+'Advanced Entry'!I154),IF('Advanced Entry'!I$5="Exponential",EXP('Advanced Entry'!I154),'Advanced Entry'!I154)))-'Advanced Entry'!I$6)/('Advanced Entry'!I$7-'Advanced Entry'!I$6)),1))),"No data"))</f>
        <v/>
      </c>
      <c r="J154" s="17">
        <f>IF('Advanced Entry'!J154="","",IFERROR(MAX(0,MIN(10,ROUND(IF('Advanced Entry'!J$8="Decrease Risk",10-10*((IF('Advanced Entry'!J$5="Logarithm",LN(0.001+'Advanced Entry'!J154),IF('Advanced Entry'!J$5="Exponential",EXP('Advanced Entry'!J154),'Advanced Entry'!J154)))-'Advanced Entry'!J$6)/('Advanced Entry'!J$7-'Advanced Entry'!J$6),10*((IF('Advanced Entry'!J$5="Logarithm",LN(0.001+'Advanced Entry'!J154),IF('Advanced Entry'!J$5="Exponential",EXP('Advanced Entry'!J154),'Advanced Entry'!J154)))-'Advanced Entry'!J$6)/('Advanced Entry'!J$7-'Advanced Entry'!J$6)),1))),"No data"))</f>
        <v/>
      </c>
      <c r="K154" s="17">
        <f>IF('Advanced Entry'!K154="","",IFERROR(MAX(0,MIN(10,ROUND(IF('Advanced Entry'!K$8="Decrease Risk",10-10*((IF('Advanced Entry'!K$5="Logarithm",LN(0.001+'Advanced Entry'!K154),IF('Advanced Entry'!K$5="Exponential",EXP('Advanced Entry'!K154),'Advanced Entry'!K154)))-'Advanced Entry'!K$6)/('Advanced Entry'!K$7-'Advanced Entry'!K$6),10*((IF('Advanced Entry'!K$5="Logarithm",LN(0.001+'Advanced Entry'!K154),IF('Advanced Entry'!K$5="Exponential",EXP('Advanced Entry'!K154),'Advanced Entry'!K154)))-'Advanced Entry'!K$6)/('Advanced Entry'!K$7-'Advanced Entry'!K$6)),1))),"No data"))</f>
        <v/>
      </c>
      <c r="L154" s="17">
        <f>IF('Advanced Entry'!L154="","",IFERROR(MAX(0,MIN(10,ROUND(IF('Advanced Entry'!L$8="Decrease Risk",10-10*((IF('Advanced Entry'!L$5="Logarithm",LN(0.001+'Advanced Entry'!L154),IF('Advanced Entry'!L$5="Exponential",EXP('Advanced Entry'!L154),'Advanced Entry'!L154)))-'Advanced Entry'!L$6)/('Advanced Entry'!L$7-'Advanced Entry'!L$6),10*((IF('Advanced Entry'!L$5="Logarithm",LN(0.001+'Advanced Entry'!L154),IF('Advanced Entry'!L$5="Exponential",EXP('Advanced Entry'!L154),'Advanced Entry'!L154)))-'Advanced Entry'!L$6)/('Advanced Entry'!L$7-'Advanced Entry'!L$6)),1))),"No data"))</f>
        <v/>
      </c>
      <c r="M154" s="17">
        <f>IF('Advanced Entry'!M154="","",IFERROR(MAX(0,MIN(10,ROUND(IF('Advanced Entry'!M$8="Decrease Risk",10-10*((IF('Advanced Entry'!M$5="Logarithm",LN(0.001+'Advanced Entry'!M154),IF('Advanced Entry'!M$5="Exponential",EXP('Advanced Entry'!M154),'Advanced Entry'!M154)))-'Advanced Entry'!M$6)/('Advanced Entry'!M$7-'Advanced Entry'!M$6),10*((IF('Advanced Entry'!M$5="Logarithm",LN(0.001+'Advanced Entry'!M154),IF('Advanced Entry'!M$5="Exponential",EXP('Advanced Entry'!M154),'Advanced Entry'!M154)))-'Advanced Entry'!M$6)/('Advanced Entry'!M$7-'Advanced Entry'!M$6)),1))),"No data"))</f>
        <v/>
      </c>
      <c r="N154" s="17">
        <f>IF('Advanced Entry'!N154="","",IFERROR(MAX(0,MIN(10,ROUND(IF('Advanced Entry'!N$8="Decrease Risk",10-10*((IF('Advanced Entry'!N$5="Logarithm",LN(0.001+'Advanced Entry'!N154),IF('Advanced Entry'!N$5="Exponential",EXP('Advanced Entry'!N154),'Advanced Entry'!N154)))-'Advanced Entry'!N$6)/('Advanced Entry'!N$7-'Advanced Entry'!N$6),10*((IF('Advanced Entry'!N$5="Logarithm",LN(0.001+'Advanced Entry'!N154),IF('Advanced Entry'!N$5="Exponential",EXP('Advanced Entry'!N154),'Advanced Entry'!N154)))-'Advanced Entry'!N$6)/('Advanced Entry'!N$7-'Advanced Entry'!N$6)),1))),"No data"))</f>
        <v/>
      </c>
      <c r="O154" s="17">
        <f>IF('Advanced Entry'!O154="","",IFERROR(MAX(0,MIN(10,ROUND(IF('Advanced Entry'!O$8="Decrease Risk",10-10*((IF('Advanced Entry'!O$5="Logarithm",LN(0.001+'Advanced Entry'!O154),IF('Advanced Entry'!O$5="Exponential",EXP('Advanced Entry'!O154),'Advanced Entry'!O154)))-'Advanced Entry'!O$6)/('Advanced Entry'!O$7-'Advanced Entry'!O$6),10*((IF('Advanced Entry'!O$5="Logarithm",LN(0.001+'Advanced Entry'!O154),IF('Advanced Entry'!O$5="Exponential",EXP('Advanced Entry'!O154),'Advanced Entry'!O154)))-'Advanced Entry'!O$6)/('Advanced Entry'!O$7-'Advanced Entry'!O$6)),1))),"No data"))</f>
        <v/>
      </c>
      <c r="P154" s="17">
        <f>IF('Advanced Entry'!P154="","",IFERROR(MAX(0,MIN(10,ROUND(IF('Advanced Entry'!P$8="Decrease Risk",10-10*((IF('Advanced Entry'!P$5="Logarithm",LN(0.001+'Advanced Entry'!P154),IF('Advanced Entry'!P$5="Exponential",EXP('Advanced Entry'!P154),'Advanced Entry'!P154)))-'Advanced Entry'!P$6)/('Advanced Entry'!P$7-'Advanced Entry'!P$6),10*((IF('Advanced Entry'!P$5="Logarithm",LN(0.001+'Advanced Entry'!P154),IF('Advanced Entry'!P$5="Exponential",EXP('Advanced Entry'!P154),'Advanced Entry'!P154)))-'Advanced Entry'!P$6)/('Advanced Entry'!P$7-'Advanced Entry'!P$6)),1))),"No data"))</f>
        <v/>
      </c>
      <c r="Q154" s="17">
        <f>IF('Advanced Entry'!Q154="","",IFERROR(MAX(0,MIN(10,ROUND(IF('Advanced Entry'!Q$8="Decrease Risk",10-10*((IF('Advanced Entry'!Q$5="Logarithm",LN(0.001+'Advanced Entry'!Q154),IF('Advanced Entry'!Q$5="Exponential",EXP('Advanced Entry'!Q154),'Advanced Entry'!Q154)))-'Advanced Entry'!Q$6)/('Advanced Entry'!Q$7-'Advanced Entry'!Q$6),10*((IF('Advanced Entry'!Q$5="Logarithm",LN(0.001+'Advanced Entry'!Q154),IF('Advanced Entry'!Q$5="Exponential",EXP('Advanced Entry'!Q154),'Advanced Entry'!Q154)))-'Advanced Entry'!Q$6)/('Advanced Entry'!Q$7-'Advanced Entry'!Q$6)),1))),"No data"))</f>
        <v/>
      </c>
      <c r="R154" s="17">
        <f>IF('Advanced Entry'!R154="","",IFERROR(MAX(0,MIN(10,ROUND(IF('Advanced Entry'!R$8="Decrease Risk",10-10*((IF('Advanced Entry'!R$5="Logarithm",LN(0.001+'Advanced Entry'!R154),IF('Advanced Entry'!R$5="Exponential",EXP('Advanced Entry'!R154),'Advanced Entry'!R154)))-'Advanced Entry'!R$6)/('Advanced Entry'!R$7-'Advanced Entry'!R$6),10*((IF('Advanced Entry'!R$5="Logarithm",LN(0.001+'Advanced Entry'!R154),IF('Advanced Entry'!R$5="Exponential",EXP('Advanced Entry'!R154),'Advanced Entry'!R154)))-'Advanced Entry'!R$6)/('Advanced Entry'!R$7-'Advanced Entry'!R$6)),1))),"No data"))</f>
        <v/>
      </c>
      <c r="S154" s="17">
        <f>IF('Advanced Entry'!S154="","",IFERROR(MAX(0,MIN(10,ROUND(IF('Advanced Entry'!S$8="Decrease Risk",10-10*((IF('Advanced Entry'!S$5="Logarithm",LN(0.001+'Advanced Entry'!S154),IF('Advanced Entry'!S$5="Exponential",EXP('Advanced Entry'!S154),'Advanced Entry'!S154)))-'Advanced Entry'!S$6)/('Advanced Entry'!S$7-'Advanced Entry'!S$6),10*((IF('Advanced Entry'!S$5="Logarithm",LN(0.001+'Advanced Entry'!S154),IF('Advanced Entry'!S$5="Exponential",EXP('Advanced Entry'!S154),'Advanced Entry'!S154)))-'Advanced Entry'!S$6)/('Advanced Entry'!S$7-'Advanced Entry'!S$6)),1))),"No data"))</f>
        <v/>
      </c>
      <c r="T154" s="17">
        <f>IF('Advanced Entry'!T154="","",IFERROR(MAX(0,MIN(10,ROUND(IF('Advanced Entry'!T$8="Decrease Risk",10-10*((IF('Advanced Entry'!T$5="Logarithm",LN(0.001+'Advanced Entry'!T154),IF('Advanced Entry'!T$5="Exponential",EXP('Advanced Entry'!T154),'Advanced Entry'!T154)))-'Advanced Entry'!T$6)/('Advanced Entry'!T$7-'Advanced Entry'!T$6),10*((IF('Advanced Entry'!T$5="Logarithm",LN(0.001+'Advanced Entry'!T154),IF('Advanced Entry'!T$5="Exponential",EXP('Advanced Entry'!T154),'Advanced Entry'!T154)))-'Advanced Entry'!T$6)/('Advanced Entry'!T$7-'Advanced Entry'!T$6)),1))),"No data"))</f>
        <v/>
      </c>
      <c r="U154" s="17">
        <f>IF('Advanced Entry'!U154="","",IFERROR(MAX(0,MIN(10,ROUND(IF('Advanced Entry'!U$8="Decrease Risk",10-10*((IF('Advanced Entry'!U$5="Logarithm",LN(0.001+'Advanced Entry'!U154),IF('Advanced Entry'!U$5="Exponential",EXP('Advanced Entry'!U154),'Advanced Entry'!U154)))-'Advanced Entry'!U$6)/('Advanced Entry'!U$7-'Advanced Entry'!U$6),10*((IF('Advanced Entry'!U$5="Logarithm",LN(0.001+'Advanced Entry'!U154),IF('Advanced Entry'!U$5="Exponential",EXP('Advanced Entry'!U154),'Advanced Entry'!U154)))-'Advanced Entry'!U$6)/('Advanced Entry'!U$7-'Advanced Entry'!U$6)),1))),"No data"))</f>
        <v/>
      </c>
      <c r="V154" s="17">
        <f>IF('Advanced Entry'!V154="","",IFERROR(MAX(0,MIN(10,ROUND(IF('Advanced Entry'!V$8="Decrease Risk",10-10*((IF('Advanced Entry'!V$5="Logarithm",LN(0.001+'Advanced Entry'!V154),IF('Advanced Entry'!V$5="Exponential",EXP('Advanced Entry'!V154),'Advanced Entry'!V154)))-'Advanced Entry'!V$6)/('Advanced Entry'!V$7-'Advanced Entry'!V$6),10*((IF('Advanced Entry'!V$5="Logarithm",LN(0.001+'Advanced Entry'!V154),IF('Advanced Entry'!V$5="Exponential",EXP('Advanced Entry'!V154),'Advanced Entry'!V154)))-'Advanced Entry'!V$6)/('Advanced Entry'!V$7-'Advanced Entry'!V$6)),1))),"No data"))</f>
        <v/>
      </c>
      <c r="W154" s="17">
        <f>IF('Advanced Entry'!W154="","",IFERROR(MAX(0,MIN(10,ROUND(IF('Advanced Entry'!W$8="Decrease Risk",10-10*((IF('Advanced Entry'!W$5="Logarithm",LN(0.001+'Advanced Entry'!W154),IF('Advanced Entry'!W$5="Exponential",EXP('Advanced Entry'!W154),'Advanced Entry'!W154)))-'Advanced Entry'!W$6)/('Advanced Entry'!W$7-'Advanced Entry'!W$6),10*((IF('Advanced Entry'!W$5="Logarithm",LN(0.001+'Advanced Entry'!W154),IF('Advanced Entry'!W$5="Exponential",EXP('Advanced Entry'!W154),'Advanced Entry'!W154)))-'Advanced Entry'!W$6)/('Advanced Entry'!W$7-'Advanced Entry'!W$6)),1))),"No data"))</f>
        <v/>
      </c>
      <c r="X154" s="17">
        <f>IF('Advanced Entry'!X154="","",IFERROR(MAX(0,MIN(10,ROUND(IF('Advanced Entry'!X$8="Decrease Risk",10-10*((IF('Advanced Entry'!X$5="Logarithm",LN(0.001+'Advanced Entry'!X154),IF('Advanced Entry'!X$5="Exponential",EXP('Advanced Entry'!X154),'Advanced Entry'!X154)))-'Advanced Entry'!X$6)/('Advanced Entry'!X$7-'Advanced Entry'!X$6),10*((IF('Advanced Entry'!X$5="Logarithm",LN(0.001+'Advanced Entry'!X154),IF('Advanced Entry'!X$5="Exponential",EXP('Advanced Entry'!X154),'Advanced Entry'!X154)))-'Advanced Entry'!X$6)/('Advanced Entry'!X$7-'Advanced Entry'!X$6)),1))),"No data"))</f>
        <v/>
      </c>
      <c r="Y154" s="17">
        <f>IF('Advanced Entry'!Y154="","",IFERROR(MAX(0,MIN(10,ROUND(IF('Advanced Entry'!Y$8="Decrease Risk",10-10*((IF('Advanced Entry'!Y$5="Logarithm",LN(0.001+'Advanced Entry'!Y154),IF('Advanced Entry'!Y$5="Exponential",EXP('Advanced Entry'!Y154),'Advanced Entry'!Y154)))-'Advanced Entry'!Y$6)/('Advanced Entry'!Y$7-'Advanced Entry'!Y$6),10*((IF('Advanced Entry'!Y$5="Logarithm",LN(0.001+'Advanced Entry'!Y154),IF('Advanced Entry'!Y$5="Exponential",EXP('Advanced Entry'!Y154),'Advanced Entry'!Y154)))-'Advanced Entry'!Y$6)/('Advanced Entry'!Y$7-'Advanced Entry'!Y$6)),1))),"No data"))</f>
        <v/>
      </c>
      <c r="Z154" s="17">
        <f>IF('Advanced Entry'!Z154="","",IFERROR(MAX(0,MIN(10,ROUND(IF('Advanced Entry'!Z$8="Decrease Risk",10-10*((IF('Advanced Entry'!Z$5="Logarithm",LN(0.001+'Advanced Entry'!Z154),IF('Advanced Entry'!Z$5="Exponential",EXP('Advanced Entry'!Z154),'Advanced Entry'!Z154)))-'Advanced Entry'!Z$6)/('Advanced Entry'!Z$7-'Advanced Entry'!Z$6),10*((IF('Advanced Entry'!Z$5="Logarithm",LN(0.001+'Advanced Entry'!Z154),IF('Advanced Entry'!Z$5="Exponential",EXP('Advanced Entry'!Z154),'Advanced Entry'!Z154)))-'Advanced Entry'!Z$6)/('Advanced Entry'!Z$7-'Advanced Entry'!Z$6)),1))),"No data"))</f>
        <v/>
      </c>
      <c r="AA154" s="17">
        <f>IF('Advanced Entry'!AA154="","",IFERROR(MAX(0,MIN(10,ROUND(IF('Advanced Entry'!AA$8="Decrease Risk",10-10*((IF('Advanced Entry'!AA$5="Logarithm",LN(0.001+'Advanced Entry'!AA154),IF('Advanced Entry'!AA$5="Exponential",EXP('Advanced Entry'!AA154),'Advanced Entry'!AA154)))-'Advanced Entry'!AA$6)/('Advanced Entry'!AA$7-'Advanced Entry'!AA$6),10*((IF('Advanced Entry'!AA$5="Logarithm",LN(0.001+'Advanced Entry'!AA154),IF('Advanced Entry'!AA$5="Exponential",EXP('Advanced Entry'!AA154),'Advanced Entry'!AA154)))-'Advanced Entry'!AA$6)/('Advanced Entry'!AA$7-'Advanced Entry'!AA$6)),1))),"No data"))</f>
        <v/>
      </c>
      <c r="AB154" s="17">
        <f>IF('Advanced Entry'!AB154="","",IFERROR(MAX(0,MIN(10,ROUND(IF('Advanced Entry'!AB$8="Decrease Risk",10-10*((IF('Advanced Entry'!AB$5="Logarithm",LN(0.001+'Advanced Entry'!AB154),IF('Advanced Entry'!AB$5="Exponential",EXP('Advanced Entry'!AB154),'Advanced Entry'!AB154)))-'Advanced Entry'!AB$6)/('Advanced Entry'!AB$7-'Advanced Entry'!AB$6),10*((IF('Advanced Entry'!AB$5="Logarithm",LN(0.001+'Advanced Entry'!AB154),IF('Advanced Entry'!AB$5="Exponential",EXP('Advanced Entry'!AB154),'Advanced Entry'!AB154)))-'Advanced Entry'!AB$6)/('Advanced Entry'!AB$7-'Advanced Entry'!AB$6)),1))),"No data"))</f>
        <v/>
      </c>
    </row>
    <row r="155">
      <c r="A155" t="inlineStr">
        <is>
          <t>Ruvuma</t>
        </is>
      </c>
      <c r="B155" t="inlineStr">
        <is>
          <t>Madaba District</t>
        </is>
      </c>
      <c r="C155" t="inlineStr">
        <is>
          <t>C075</t>
        </is>
      </c>
      <c r="D155" s="17">
        <f>IF('Advanced Entry'!D155="","",IFERROR(MAX(0,MIN(10,ROUND(IF('Advanced Entry'!D$8="Decrease Risk",10-10*((IF('Advanced Entry'!D$5="Logarithm",LN(0.001+'Advanced Entry'!D155),IF('Advanced Entry'!D$5="Exponential",EXP('Advanced Entry'!D155),'Advanced Entry'!D155)))-'Advanced Entry'!D$6)/('Advanced Entry'!D$7-'Advanced Entry'!D$6),10*((IF('Advanced Entry'!D$5="Logarithm",LN(0.001+'Advanced Entry'!D155),IF('Advanced Entry'!D$5="Exponential",EXP('Advanced Entry'!D155),'Advanced Entry'!D155)))-'Advanced Entry'!D$6)/('Advanced Entry'!D$7-'Advanced Entry'!D$6)),1))),"No data"))</f>
        <v/>
      </c>
      <c r="E155" s="17">
        <f>IF('Advanced Entry'!E155="","",IFERROR(MAX(0,MIN(10,ROUND(IF('Advanced Entry'!E$8="Decrease Risk",10-10*((IF('Advanced Entry'!E$5="Logarithm",LN(0.001+'Advanced Entry'!E155),IF('Advanced Entry'!E$5="Exponential",EXP('Advanced Entry'!E155),'Advanced Entry'!E155)))-'Advanced Entry'!E$6)/('Advanced Entry'!E$7-'Advanced Entry'!E$6),10*((IF('Advanced Entry'!E$5="Logarithm",LN(0.001+'Advanced Entry'!E155),IF('Advanced Entry'!E$5="Exponential",EXP('Advanced Entry'!E155),'Advanced Entry'!E155)))-'Advanced Entry'!E$6)/('Advanced Entry'!E$7-'Advanced Entry'!E$6)),1))),"No data"))</f>
        <v/>
      </c>
      <c r="F155" s="17">
        <f>IF('Advanced Entry'!F155="","",IFERROR(MAX(0,MIN(10,ROUND(IF('Advanced Entry'!F$8="Decrease Risk",10-10*((IF('Advanced Entry'!F$5="Logarithm",LN(0.001+'Advanced Entry'!F155),IF('Advanced Entry'!F$5="Exponential",EXP('Advanced Entry'!F155),'Advanced Entry'!F155)))-'Advanced Entry'!F$6)/('Advanced Entry'!F$7-'Advanced Entry'!F$6),10*((IF('Advanced Entry'!F$5="Logarithm",LN(0.001+'Advanced Entry'!F155),IF('Advanced Entry'!F$5="Exponential",EXP('Advanced Entry'!F155),'Advanced Entry'!F155)))-'Advanced Entry'!F$6)/('Advanced Entry'!F$7-'Advanced Entry'!F$6)),1))),"No data"))</f>
        <v/>
      </c>
      <c r="G155" s="17">
        <f>IF('Advanced Entry'!G155="","",IFERROR(MAX(0,MIN(10,ROUND(IF('Advanced Entry'!G$8="Decrease Risk",10-10*((IF('Advanced Entry'!G$5="Logarithm",LN(0.001+'Advanced Entry'!G155),IF('Advanced Entry'!G$5="Exponential",EXP('Advanced Entry'!G155),'Advanced Entry'!G155)))-'Advanced Entry'!G$6)/('Advanced Entry'!G$7-'Advanced Entry'!G$6),10*((IF('Advanced Entry'!G$5="Logarithm",LN(0.001+'Advanced Entry'!G155),IF('Advanced Entry'!G$5="Exponential",EXP('Advanced Entry'!G155),'Advanced Entry'!G155)))-'Advanced Entry'!G$6)/('Advanced Entry'!G$7-'Advanced Entry'!G$6)),1))),"No data"))</f>
        <v/>
      </c>
      <c r="H155" s="17">
        <f>IF('Advanced Entry'!H155="","",IFERROR(MAX(0,MIN(10,ROUND(IF('Advanced Entry'!H$8="Decrease Risk",10-10*((IF('Advanced Entry'!H$5="Logarithm",LN(0.001+'Advanced Entry'!H155),IF('Advanced Entry'!H$5="Exponential",EXP('Advanced Entry'!H155),'Advanced Entry'!H155)))-'Advanced Entry'!H$6)/('Advanced Entry'!H$7-'Advanced Entry'!H$6),10*((IF('Advanced Entry'!H$5="Logarithm",LN(0.001+'Advanced Entry'!H155),IF('Advanced Entry'!H$5="Exponential",EXP('Advanced Entry'!H155),'Advanced Entry'!H155)))-'Advanced Entry'!H$6)/('Advanced Entry'!H$7-'Advanced Entry'!H$6)),1))),"No data"))</f>
        <v/>
      </c>
      <c r="I155" s="17">
        <f>IF('Advanced Entry'!I155="","",IFERROR(MAX(0,MIN(10,ROUND(IF('Advanced Entry'!I$8="Decrease Risk",10-10*((IF('Advanced Entry'!I$5="Logarithm",LN(0.001+'Advanced Entry'!I155),IF('Advanced Entry'!I$5="Exponential",EXP('Advanced Entry'!I155),'Advanced Entry'!I155)))-'Advanced Entry'!I$6)/('Advanced Entry'!I$7-'Advanced Entry'!I$6),10*((IF('Advanced Entry'!I$5="Logarithm",LN(0.001+'Advanced Entry'!I155),IF('Advanced Entry'!I$5="Exponential",EXP('Advanced Entry'!I155),'Advanced Entry'!I155)))-'Advanced Entry'!I$6)/('Advanced Entry'!I$7-'Advanced Entry'!I$6)),1))),"No data"))</f>
        <v/>
      </c>
      <c r="J155" s="17">
        <f>IF('Advanced Entry'!J155="","",IFERROR(MAX(0,MIN(10,ROUND(IF('Advanced Entry'!J$8="Decrease Risk",10-10*((IF('Advanced Entry'!J$5="Logarithm",LN(0.001+'Advanced Entry'!J155),IF('Advanced Entry'!J$5="Exponential",EXP('Advanced Entry'!J155),'Advanced Entry'!J155)))-'Advanced Entry'!J$6)/('Advanced Entry'!J$7-'Advanced Entry'!J$6),10*((IF('Advanced Entry'!J$5="Logarithm",LN(0.001+'Advanced Entry'!J155),IF('Advanced Entry'!J$5="Exponential",EXP('Advanced Entry'!J155),'Advanced Entry'!J155)))-'Advanced Entry'!J$6)/('Advanced Entry'!J$7-'Advanced Entry'!J$6)),1))),"No data"))</f>
        <v/>
      </c>
      <c r="K155" s="17">
        <f>IF('Advanced Entry'!K155="","",IFERROR(MAX(0,MIN(10,ROUND(IF('Advanced Entry'!K$8="Decrease Risk",10-10*((IF('Advanced Entry'!K$5="Logarithm",LN(0.001+'Advanced Entry'!K155),IF('Advanced Entry'!K$5="Exponential",EXP('Advanced Entry'!K155),'Advanced Entry'!K155)))-'Advanced Entry'!K$6)/('Advanced Entry'!K$7-'Advanced Entry'!K$6),10*((IF('Advanced Entry'!K$5="Logarithm",LN(0.001+'Advanced Entry'!K155),IF('Advanced Entry'!K$5="Exponential",EXP('Advanced Entry'!K155),'Advanced Entry'!K155)))-'Advanced Entry'!K$6)/('Advanced Entry'!K$7-'Advanced Entry'!K$6)),1))),"No data"))</f>
        <v/>
      </c>
      <c r="L155" s="17">
        <f>IF('Advanced Entry'!L155="","",IFERROR(MAX(0,MIN(10,ROUND(IF('Advanced Entry'!L$8="Decrease Risk",10-10*((IF('Advanced Entry'!L$5="Logarithm",LN(0.001+'Advanced Entry'!L155),IF('Advanced Entry'!L$5="Exponential",EXP('Advanced Entry'!L155),'Advanced Entry'!L155)))-'Advanced Entry'!L$6)/('Advanced Entry'!L$7-'Advanced Entry'!L$6),10*((IF('Advanced Entry'!L$5="Logarithm",LN(0.001+'Advanced Entry'!L155),IF('Advanced Entry'!L$5="Exponential",EXP('Advanced Entry'!L155),'Advanced Entry'!L155)))-'Advanced Entry'!L$6)/('Advanced Entry'!L$7-'Advanced Entry'!L$6)),1))),"No data"))</f>
        <v/>
      </c>
      <c r="M155" s="17">
        <f>IF('Advanced Entry'!M155="","",IFERROR(MAX(0,MIN(10,ROUND(IF('Advanced Entry'!M$8="Decrease Risk",10-10*((IF('Advanced Entry'!M$5="Logarithm",LN(0.001+'Advanced Entry'!M155),IF('Advanced Entry'!M$5="Exponential",EXP('Advanced Entry'!M155),'Advanced Entry'!M155)))-'Advanced Entry'!M$6)/('Advanced Entry'!M$7-'Advanced Entry'!M$6),10*((IF('Advanced Entry'!M$5="Logarithm",LN(0.001+'Advanced Entry'!M155),IF('Advanced Entry'!M$5="Exponential",EXP('Advanced Entry'!M155),'Advanced Entry'!M155)))-'Advanced Entry'!M$6)/('Advanced Entry'!M$7-'Advanced Entry'!M$6)),1))),"No data"))</f>
        <v/>
      </c>
      <c r="N155" s="17">
        <f>IF('Advanced Entry'!N155="","",IFERROR(MAX(0,MIN(10,ROUND(IF('Advanced Entry'!N$8="Decrease Risk",10-10*((IF('Advanced Entry'!N$5="Logarithm",LN(0.001+'Advanced Entry'!N155),IF('Advanced Entry'!N$5="Exponential",EXP('Advanced Entry'!N155),'Advanced Entry'!N155)))-'Advanced Entry'!N$6)/('Advanced Entry'!N$7-'Advanced Entry'!N$6),10*((IF('Advanced Entry'!N$5="Logarithm",LN(0.001+'Advanced Entry'!N155),IF('Advanced Entry'!N$5="Exponential",EXP('Advanced Entry'!N155),'Advanced Entry'!N155)))-'Advanced Entry'!N$6)/('Advanced Entry'!N$7-'Advanced Entry'!N$6)),1))),"No data"))</f>
        <v/>
      </c>
      <c r="O155" s="17">
        <f>IF('Advanced Entry'!O155="","",IFERROR(MAX(0,MIN(10,ROUND(IF('Advanced Entry'!O$8="Decrease Risk",10-10*((IF('Advanced Entry'!O$5="Logarithm",LN(0.001+'Advanced Entry'!O155),IF('Advanced Entry'!O$5="Exponential",EXP('Advanced Entry'!O155),'Advanced Entry'!O155)))-'Advanced Entry'!O$6)/('Advanced Entry'!O$7-'Advanced Entry'!O$6),10*((IF('Advanced Entry'!O$5="Logarithm",LN(0.001+'Advanced Entry'!O155),IF('Advanced Entry'!O$5="Exponential",EXP('Advanced Entry'!O155),'Advanced Entry'!O155)))-'Advanced Entry'!O$6)/('Advanced Entry'!O$7-'Advanced Entry'!O$6)),1))),"No data"))</f>
        <v/>
      </c>
      <c r="P155" s="17">
        <f>IF('Advanced Entry'!P155="","",IFERROR(MAX(0,MIN(10,ROUND(IF('Advanced Entry'!P$8="Decrease Risk",10-10*((IF('Advanced Entry'!P$5="Logarithm",LN(0.001+'Advanced Entry'!P155),IF('Advanced Entry'!P$5="Exponential",EXP('Advanced Entry'!P155),'Advanced Entry'!P155)))-'Advanced Entry'!P$6)/('Advanced Entry'!P$7-'Advanced Entry'!P$6),10*((IF('Advanced Entry'!P$5="Logarithm",LN(0.001+'Advanced Entry'!P155),IF('Advanced Entry'!P$5="Exponential",EXP('Advanced Entry'!P155),'Advanced Entry'!P155)))-'Advanced Entry'!P$6)/('Advanced Entry'!P$7-'Advanced Entry'!P$6)),1))),"No data"))</f>
        <v/>
      </c>
      <c r="Q155" s="17">
        <f>IF('Advanced Entry'!Q155="","",IFERROR(MAX(0,MIN(10,ROUND(IF('Advanced Entry'!Q$8="Decrease Risk",10-10*((IF('Advanced Entry'!Q$5="Logarithm",LN(0.001+'Advanced Entry'!Q155),IF('Advanced Entry'!Q$5="Exponential",EXP('Advanced Entry'!Q155),'Advanced Entry'!Q155)))-'Advanced Entry'!Q$6)/('Advanced Entry'!Q$7-'Advanced Entry'!Q$6),10*((IF('Advanced Entry'!Q$5="Logarithm",LN(0.001+'Advanced Entry'!Q155),IF('Advanced Entry'!Q$5="Exponential",EXP('Advanced Entry'!Q155),'Advanced Entry'!Q155)))-'Advanced Entry'!Q$6)/('Advanced Entry'!Q$7-'Advanced Entry'!Q$6)),1))),"No data"))</f>
        <v/>
      </c>
      <c r="R155" s="17">
        <f>IF('Advanced Entry'!R155="","",IFERROR(MAX(0,MIN(10,ROUND(IF('Advanced Entry'!R$8="Decrease Risk",10-10*((IF('Advanced Entry'!R$5="Logarithm",LN(0.001+'Advanced Entry'!R155),IF('Advanced Entry'!R$5="Exponential",EXP('Advanced Entry'!R155),'Advanced Entry'!R155)))-'Advanced Entry'!R$6)/('Advanced Entry'!R$7-'Advanced Entry'!R$6),10*((IF('Advanced Entry'!R$5="Logarithm",LN(0.001+'Advanced Entry'!R155),IF('Advanced Entry'!R$5="Exponential",EXP('Advanced Entry'!R155),'Advanced Entry'!R155)))-'Advanced Entry'!R$6)/('Advanced Entry'!R$7-'Advanced Entry'!R$6)),1))),"No data"))</f>
        <v/>
      </c>
      <c r="S155" s="17">
        <f>IF('Advanced Entry'!S155="","",IFERROR(MAX(0,MIN(10,ROUND(IF('Advanced Entry'!S$8="Decrease Risk",10-10*((IF('Advanced Entry'!S$5="Logarithm",LN(0.001+'Advanced Entry'!S155),IF('Advanced Entry'!S$5="Exponential",EXP('Advanced Entry'!S155),'Advanced Entry'!S155)))-'Advanced Entry'!S$6)/('Advanced Entry'!S$7-'Advanced Entry'!S$6),10*((IF('Advanced Entry'!S$5="Logarithm",LN(0.001+'Advanced Entry'!S155),IF('Advanced Entry'!S$5="Exponential",EXP('Advanced Entry'!S155),'Advanced Entry'!S155)))-'Advanced Entry'!S$6)/('Advanced Entry'!S$7-'Advanced Entry'!S$6)),1))),"No data"))</f>
        <v/>
      </c>
      <c r="T155" s="17">
        <f>IF('Advanced Entry'!T155="","",IFERROR(MAX(0,MIN(10,ROUND(IF('Advanced Entry'!T$8="Decrease Risk",10-10*((IF('Advanced Entry'!T$5="Logarithm",LN(0.001+'Advanced Entry'!T155),IF('Advanced Entry'!T$5="Exponential",EXP('Advanced Entry'!T155),'Advanced Entry'!T155)))-'Advanced Entry'!T$6)/('Advanced Entry'!T$7-'Advanced Entry'!T$6),10*((IF('Advanced Entry'!T$5="Logarithm",LN(0.001+'Advanced Entry'!T155),IF('Advanced Entry'!T$5="Exponential",EXP('Advanced Entry'!T155),'Advanced Entry'!T155)))-'Advanced Entry'!T$6)/('Advanced Entry'!T$7-'Advanced Entry'!T$6)),1))),"No data"))</f>
        <v/>
      </c>
      <c r="U155" s="17">
        <f>IF('Advanced Entry'!U155="","",IFERROR(MAX(0,MIN(10,ROUND(IF('Advanced Entry'!U$8="Decrease Risk",10-10*((IF('Advanced Entry'!U$5="Logarithm",LN(0.001+'Advanced Entry'!U155),IF('Advanced Entry'!U$5="Exponential",EXP('Advanced Entry'!U155),'Advanced Entry'!U155)))-'Advanced Entry'!U$6)/('Advanced Entry'!U$7-'Advanced Entry'!U$6),10*((IF('Advanced Entry'!U$5="Logarithm",LN(0.001+'Advanced Entry'!U155),IF('Advanced Entry'!U$5="Exponential",EXP('Advanced Entry'!U155),'Advanced Entry'!U155)))-'Advanced Entry'!U$6)/('Advanced Entry'!U$7-'Advanced Entry'!U$6)),1))),"No data"))</f>
        <v/>
      </c>
      <c r="V155" s="17">
        <f>IF('Advanced Entry'!V155="","",IFERROR(MAX(0,MIN(10,ROUND(IF('Advanced Entry'!V$8="Decrease Risk",10-10*((IF('Advanced Entry'!V$5="Logarithm",LN(0.001+'Advanced Entry'!V155),IF('Advanced Entry'!V$5="Exponential",EXP('Advanced Entry'!V155),'Advanced Entry'!V155)))-'Advanced Entry'!V$6)/('Advanced Entry'!V$7-'Advanced Entry'!V$6),10*((IF('Advanced Entry'!V$5="Logarithm",LN(0.001+'Advanced Entry'!V155),IF('Advanced Entry'!V$5="Exponential",EXP('Advanced Entry'!V155),'Advanced Entry'!V155)))-'Advanced Entry'!V$6)/('Advanced Entry'!V$7-'Advanced Entry'!V$6)),1))),"No data"))</f>
        <v/>
      </c>
      <c r="W155" s="17">
        <f>IF('Advanced Entry'!W155="","",IFERROR(MAX(0,MIN(10,ROUND(IF('Advanced Entry'!W$8="Decrease Risk",10-10*((IF('Advanced Entry'!W$5="Logarithm",LN(0.001+'Advanced Entry'!W155),IF('Advanced Entry'!W$5="Exponential",EXP('Advanced Entry'!W155),'Advanced Entry'!W155)))-'Advanced Entry'!W$6)/('Advanced Entry'!W$7-'Advanced Entry'!W$6),10*((IF('Advanced Entry'!W$5="Logarithm",LN(0.001+'Advanced Entry'!W155),IF('Advanced Entry'!W$5="Exponential",EXP('Advanced Entry'!W155),'Advanced Entry'!W155)))-'Advanced Entry'!W$6)/('Advanced Entry'!W$7-'Advanced Entry'!W$6)),1))),"No data"))</f>
        <v/>
      </c>
      <c r="X155" s="17">
        <f>IF('Advanced Entry'!X155="","",IFERROR(MAX(0,MIN(10,ROUND(IF('Advanced Entry'!X$8="Decrease Risk",10-10*((IF('Advanced Entry'!X$5="Logarithm",LN(0.001+'Advanced Entry'!X155),IF('Advanced Entry'!X$5="Exponential",EXP('Advanced Entry'!X155),'Advanced Entry'!X155)))-'Advanced Entry'!X$6)/('Advanced Entry'!X$7-'Advanced Entry'!X$6),10*((IF('Advanced Entry'!X$5="Logarithm",LN(0.001+'Advanced Entry'!X155),IF('Advanced Entry'!X$5="Exponential",EXP('Advanced Entry'!X155),'Advanced Entry'!X155)))-'Advanced Entry'!X$6)/('Advanced Entry'!X$7-'Advanced Entry'!X$6)),1))),"No data"))</f>
        <v/>
      </c>
      <c r="Y155" s="17">
        <f>IF('Advanced Entry'!Y155="","",IFERROR(MAX(0,MIN(10,ROUND(IF('Advanced Entry'!Y$8="Decrease Risk",10-10*((IF('Advanced Entry'!Y$5="Logarithm",LN(0.001+'Advanced Entry'!Y155),IF('Advanced Entry'!Y$5="Exponential",EXP('Advanced Entry'!Y155),'Advanced Entry'!Y155)))-'Advanced Entry'!Y$6)/('Advanced Entry'!Y$7-'Advanced Entry'!Y$6),10*((IF('Advanced Entry'!Y$5="Logarithm",LN(0.001+'Advanced Entry'!Y155),IF('Advanced Entry'!Y$5="Exponential",EXP('Advanced Entry'!Y155),'Advanced Entry'!Y155)))-'Advanced Entry'!Y$6)/('Advanced Entry'!Y$7-'Advanced Entry'!Y$6)),1))),"No data"))</f>
        <v/>
      </c>
      <c r="Z155" s="17">
        <f>IF('Advanced Entry'!Z155="","",IFERROR(MAX(0,MIN(10,ROUND(IF('Advanced Entry'!Z$8="Decrease Risk",10-10*((IF('Advanced Entry'!Z$5="Logarithm",LN(0.001+'Advanced Entry'!Z155),IF('Advanced Entry'!Z$5="Exponential",EXP('Advanced Entry'!Z155),'Advanced Entry'!Z155)))-'Advanced Entry'!Z$6)/('Advanced Entry'!Z$7-'Advanced Entry'!Z$6),10*((IF('Advanced Entry'!Z$5="Logarithm",LN(0.001+'Advanced Entry'!Z155),IF('Advanced Entry'!Z$5="Exponential",EXP('Advanced Entry'!Z155),'Advanced Entry'!Z155)))-'Advanced Entry'!Z$6)/('Advanced Entry'!Z$7-'Advanced Entry'!Z$6)),1))),"No data"))</f>
        <v/>
      </c>
      <c r="AA155" s="17">
        <f>IF('Advanced Entry'!AA155="","",IFERROR(MAX(0,MIN(10,ROUND(IF('Advanced Entry'!AA$8="Decrease Risk",10-10*((IF('Advanced Entry'!AA$5="Logarithm",LN(0.001+'Advanced Entry'!AA155),IF('Advanced Entry'!AA$5="Exponential",EXP('Advanced Entry'!AA155),'Advanced Entry'!AA155)))-'Advanced Entry'!AA$6)/('Advanced Entry'!AA$7-'Advanced Entry'!AA$6),10*((IF('Advanced Entry'!AA$5="Logarithm",LN(0.001+'Advanced Entry'!AA155),IF('Advanced Entry'!AA$5="Exponential",EXP('Advanced Entry'!AA155),'Advanced Entry'!AA155)))-'Advanced Entry'!AA$6)/('Advanced Entry'!AA$7-'Advanced Entry'!AA$6)),1))),"No data"))</f>
        <v/>
      </c>
      <c r="AB155" s="17">
        <f>IF('Advanced Entry'!AB155="","",IFERROR(MAX(0,MIN(10,ROUND(IF('Advanced Entry'!AB$8="Decrease Risk",10-10*((IF('Advanced Entry'!AB$5="Logarithm",LN(0.001+'Advanced Entry'!AB155),IF('Advanced Entry'!AB$5="Exponential",EXP('Advanced Entry'!AB155),'Advanced Entry'!AB155)))-'Advanced Entry'!AB$6)/('Advanced Entry'!AB$7-'Advanced Entry'!AB$6),10*((IF('Advanced Entry'!AB$5="Logarithm",LN(0.001+'Advanced Entry'!AB155),IF('Advanced Entry'!AB$5="Exponential",EXP('Advanced Entry'!AB155),'Advanced Entry'!AB155)))-'Advanced Entry'!AB$6)/('Advanced Entry'!AB$7-'Advanced Entry'!AB$6)),1))),"No data"))</f>
        <v/>
      </c>
    </row>
    <row r="156">
      <c r="A156" t="inlineStr">
        <is>
          <t>Ruvuma</t>
        </is>
      </c>
      <c r="B156" t="inlineStr">
        <is>
          <t>Mbinga District</t>
        </is>
      </c>
      <c r="C156" t="inlineStr">
        <is>
          <t>C076</t>
        </is>
      </c>
      <c r="D156" s="17">
        <f>IF('Advanced Entry'!D156="","",IFERROR(MAX(0,MIN(10,ROUND(IF('Advanced Entry'!D$8="Decrease Risk",10-10*((IF('Advanced Entry'!D$5="Logarithm",LN(0.001+'Advanced Entry'!D156),IF('Advanced Entry'!D$5="Exponential",EXP('Advanced Entry'!D156),'Advanced Entry'!D156)))-'Advanced Entry'!D$6)/('Advanced Entry'!D$7-'Advanced Entry'!D$6),10*((IF('Advanced Entry'!D$5="Logarithm",LN(0.001+'Advanced Entry'!D156),IF('Advanced Entry'!D$5="Exponential",EXP('Advanced Entry'!D156),'Advanced Entry'!D156)))-'Advanced Entry'!D$6)/('Advanced Entry'!D$7-'Advanced Entry'!D$6)),1))),"No data"))</f>
        <v/>
      </c>
      <c r="E156" s="17">
        <f>IF('Advanced Entry'!E156="","",IFERROR(MAX(0,MIN(10,ROUND(IF('Advanced Entry'!E$8="Decrease Risk",10-10*((IF('Advanced Entry'!E$5="Logarithm",LN(0.001+'Advanced Entry'!E156),IF('Advanced Entry'!E$5="Exponential",EXP('Advanced Entry'!E156),'Advanced Entry'!E156)))-'Advanced Entry'!E$6)/('Advanced Entry'!E$7-'Advanced Entry'!E$6),10*((IF('Advanced Entry'!E$5="Logarithm",LN(0.001+'Advanced Entry'!E156),IF('Advanced Entry'!E$5="Exponential",EXP('Advanced Entry'!E156),'Advanced Entry'!E156)))-'Advanced Entry'!E$6)/('Advanced Entry'!E$7-'Advanced Entry'!E$6)),1))),"No data"))</f>
        <v/>
      </c>
      <c r="F156" s="17">
        <f>IF('Advanced Entry'!F156="","",IFERROR(MAX(0,MIN(10,ROUND(IF('Advanced Entry'!F$8="Decrease Risk",10-10*((IF('Advanced Entry'!F$5="Logarithm",LN(0.001+'Advanced Entry'!F156),IF('Advanced Entry'!F$5="Exponential",EXP('Advanced Entry'!F156),'Advanced Entry'!F156)))-'Advanced Entry'!F$6)/('Advanced Entry'!F$7-'Advanced Entry'!F$6),10*((IF('Advanced Entry'!F$5="Logarithm",LN(0.001+'Advanced Entry'!F156),IF('Advanced Entry'!F$5="Exponential",EXP('Advanced Entry'!F156),'Advanced Entry'!F156)))-'Advanced Entry'!F$6)/('Advanced Entry'!F$7-'Advanced Entry'!F$6)),1))),"No data"))</f>
        <v/>
      </c>
      <c r="G156" s="17">
        <f>IF('Advanced Entry'!G156="","",IFERROR(MAX(0,MIN(10,ROUND(IF('Advanced Entry'!G$8="Decrease Risk",10-10*((IF('Advanced Entry'!G$5="Logarithm",LN(0.001+'Advanced Entry'!G156),IF('Advanced Entry'!G$5="Exponential",EXP('Advanced Entry'!G156),'Advanced Entry'!G156)))-'Advanced Entry'!G$6)/('Advanced Entry'!G$7-'Advanced Entry'!G$6),10*((IF('Advanced Entry'!G$5="Logarithm",LN(0.001+'Advanced Entry'!G156),IF('Advanced Entry'!G$5="Exponential",EXP('Advanced Entry'!G156),'Advanced Entry'!G156)))-'Advanced Entry'!G$6)/('Advanced Entry'!G$7-'Advanced Entry'!G$6)),1))),"No data"))</f>
        <v/>
      </c>
      <c r="H156" s="17">
        <f>IF('Advanced Entry'!H156="","",IFERROR(MAX(0,MIN(10,ROUND(IF('Advanced Entry'!H$8="Decrease Risk",10-10*((IF('Advanced Entry'!H$5="Logarithm",LN(0.001+'Advanced Entry'!H156),IF('Advanced Entry'!H$5="Exponential",EXP('Advanced Entry'!H156),'Advanced Entry'!H156)))-'Advanced Entry'!H$6)/('Advanced Entry'!H$7-'Advanced Entry'!H$6),10*((IF('Advanced Entry'!H$5="Logarithm",LN(0.001+'Advanced Entry'!H156),IF('Advanced Entry'!H$5="Exponential",EXP('Advanced Entry'!H156),'Advanced Entry'!H156)))-'Advanced Entry'!H$6)/('Advanced Entry'!H$7-'Advanced Entry'!H$6)),1))),"No data"))</f>
        <v/>
      </c>
      <c r="I156" s="17">
        <f>IF('Advanced Entry'!I156="","",IFERROR(MAX(0,MIN(10,ROUND(IF('Advanced Entry'!I$8="Decrease Risk",10-10*((IF('Advanced Entry'!I$5="Logarithm",LN(0.001+'Advanced Entry'!I156),IF('Advanced Entry'!I$5="Exponential",EXP('Advanced Entry'!I156),'Advanced Entry'!I156)))-'Advanced Entry'!I$6)/('Advanced Entry'!I$7-'Advanced Entry'!I$6),10*((IF('Advanced Entry'!I$5="Logarithm",LN(0.001+'Advanced Entry'!I156),IF('Advanced Entry'!I$5="Exponential",EXP('Advanced Entry'!I156),'Advanced Entry'!I156)))-'Advanced Entry'!I$6)/('Advanced Entry'!I$7-'Advanced Entry'!I$6)),1))),"No data"))</f>
        <v/>
      </c>
      <c r="J156" s="17">
        <f>IF('Advanced Entry'!J156="","",IFERROR(MAX(0,MIN(10,ROUND(IF('Advanced Entry'!J$8="Decrease Risk",10-10*((IF('Advanced Entry'!J$5="Logarithm",LN(0.001+'Advanced Entry'!J156),IF('Advanced Entry'!J$5="Exponential",EXP('Advanced Entry'!J156),'Advanced Entry'!J156)))-'Advanced Entry'!J$6)/('Advanced Entry'!J$7-'Advanced Entry'!J$6),10*((IF('Advanced Entry'!J$5="Logarithm",LN(0.001+'Advanced Entry'!J156),IF('Advanced Entry'!J$5="Exponential",EXP('Advanced Entry'!J156),'Advanced Entry'!J156)))-'Advanced Entry'!J$6)/('Advanced Entry'!J$7-'Advanced Entry'!J$6)),1))),"No data"))</f>
        <v/>
      </c>
      <c r="K156" s="17">
        <f>IF('Advanced Entry'!K156="","",IFERROR(MAX(0,MIN(10,ROUND(IF('Advanced Entry'!K$8="Decrease Risk",10-10*((IF('Advanced Entry'!K$5="Logarithm",LN(0.001+'Advanced Entry'!K156),IF('Advanced Entry'!K$5="Exponential",EXP('Advanced Entry'!K156),'Advanced Entry'!K156)))-'Advanced Entry'!K$6)/('Advanced Entry'!K$7-'Advanced Entry'!K$6),10*((IF('Advanced Entry'!K$5="Logarithm",LN(0.001+'Advanced Entry'!K156),IF('Advanced Entry'!K$5="Exponential",EXP('Advanced Entry'!K156),'Advanced Entry'!K156)))-'Advanced Entry'!K$6)/('Advanced Entry'!K$7-'Advanced Entry'!K$6)),1))),"No data"))</f>
        <v/>
      </c>
      <c r="L156" s="17">
        <f>IF('Advanced Entry'!L156="","",IFERROR(MAX(0,MIN(10,ROUND(IF('Advanced Entry'!L$8="Decrease Risk",10-10*((IF('Advanced Entry'!L$5="Logarithm",LN(0.001+'Advanced Entry'!L156),IF('Advanced Entry'!L$5="Exponential",EXP('Advanced Entry'!L156),'Advanced Entry'!L156)))-'Advanced Entry'!L$6)/('Advanced Entry'!L$7-'Advanced Entry'!L$6),10*((IF('Advanced Entry'!L$5="Logarithm",LN(0.001+'Advanced Entry'!L156),IF('Advanced Entry'!L$5="Exponential",EXP('Advanced Entry'!L156),'Advanced Entry'!L156)))-'Advanced Entry'!L$6)/('Advanced Entry'!L$7-'Advanced Entry'!L$6)),1))),"No data"))</f>
        <v/>
      </c>
      <c r="M156" s="17">
        <f>IF('Advanced Entry'!M156="","",IFERROR(MAX(0,MIN(10,ROUND(IF('Advanced Entry'!M$8="Decrease Risk",10-10*((IF('Advanced Entry'!M$5="Logarithm",LN(0.001+'Advanced Entry'!M156),IF('Advanced Entry'!M$5="Exponential",EXP('Advanced Entry'!M156),'Advanced Entry'!M156)))-'Advanced Entry'!M$6)/('Advanced Entry'!M$7-'Advanced Entry'!M$6),10*((IF('Advanced Entry'!M$5="Logarithm",LN(0.001+'Advanced Entry'!M156),IF('Advanced Entry'!M$5="Exponential",EXP('Advanced Entry'!M156),'Advanced Entry'!M156)))-'Advanced Entry'!M$6)/('Advanced Entry'!M$7-'Advanced Entry'!M$6)),1))),"No data"))</f>
        <v/>
      </c>
      <c r="N156" s="17">
        <f>IF('Advanced Entry'!N156="","",IFERROR(MAX(0,MIN(10,ROUND(IF('Advanced Entry'!N$8="Decrease Risk",10-10*((IF('Advanced Entry'!N$5="Logarithm",LN(0.001+'Advanced Entry'!N156),IF('Advanced Entry'!N$5="Exponential",EXP('Advanced Entry'!N156),'Advanced Entry'!N156)))-'Advanced Entry'!N$6)/('Advanced Entry'!N$7-'Advanced Entry'!N$6),10*((IF('Advanced Entry'!N$5="Logarithm",LN(0.001+'Advanced Entry'!N156),IF('Advanced Entry'!N$5="Exponential",EXP('Advanced Entry'!N156),'Advanced Entry'!N156)))-'Advanced Entry'!N$6)/('Advanced Entry'!N$7-'Advanced Entry'!N$6)),1))),"No data"))</f>
        <v/>
      </c>
      <c r="O156" s="17">
        <f>IF('Advanced Entry'!O156="","",IFERROR(MAX(0,MIN(10,ROUND(IF('Advanced Entry'!O$8="Decrease Risk",10-10*((IF('Advanced Entry'!O$5="Logarithm",LN(0.001+'Advanced Entry'!O156),IF('Advanced Entry'!O$5="Exponential",EXP('Advanced Entry'!O156),'Advanced Entry'!O156)))-'Advanced Entry'!O$6)/('Advanced Entry'!O$7-'Advanced Entry'!O$6),10*((IF('Advanced Entry'!O$5="Logarithm",LN(0.001+'Advanced Entry'!O156),IF('Advanced Entry'!O$5="Exponential",EXP('Advanced Entry'!O156),'Advanced Entry'!O156)))-'Advanced Entry'!O$6)/('Advanced Entry'!O$7-'Advanced Entry'!O$6)),1))),"No data"))</f>
        <v/>
      </c>
      <c r="P156" s="17">
        <f>IF('Advanced Entry'!P156="","",IFERROR(MAX(0,MIN(10,ROUND(IF('Advanced Entry'!P$8="Decrease Risk",10-10*((IF('Advanced Entry'!P$5="Logarithm",LN(0.001+'Advanced Entry'!P156),IF('Advanced Entry'!P$5="Exponential",EXP('Advanced Entry'!P156),'Advanced Entry'!P156)))-'Advanced Entry'!P$6)/('Advanced Entry'!P$7-'Advanced Entry'!P$6),10*((IF('Advanced Entry'!P$5="Logarithm",LN(0.001+'Advanced Entry'!P156),IF('Advanced Entry'!P$5="Exponential",EXP('Advanced Entry'!P156),'Advanced Entry'!P156)))-'Advanced Entry'!P$6)/('Advanced Entry'!P$7-'Advanced Entry'!P$6)),1))),"No data"))</f>
        <v/>
      </c>
      <c r="Q156" s="17">
        <f>IF('Advanced Entry'!Q156="","",IFERROR(MAX(0,MIN(10,ROUND(IF('Advanced Entry'!Q$8="Decrease Risk",10-10*((IF('Advanced Entry'!Q$5="Logarithm",LN(0.001+'Advanced Entry'!Q156),IF('Advanced Entry'!Q$5="Exponential",EXP('Advanced Entry'!Q156),'Advanced Entry'!Q156)))-'Advanced Entry'!Q$6)/('Advanced Entry'!Q$7-'Advanced Entry'!Q$6),10*((IF('Advanced Entry'!Q$5="Logarithm",LN(0.001+'Advanced Entry'!Q156),IF('Advanced Entry'!Q$5="Exponential",EXP('Advanced Entry'!Q156),'Advanced Entry'!Q156)))-'Advanced Entry'!Q$6)/('Advanced Entry'!Q$7-'Advanced Entry'!Q$6)),1))),"No data"))</f>
        <v/>
      </c>
      <c r="R156" s="17">
        <f>IF('Advanced Entry'!R156="","",IFERROR(MAX(0,MIN(10,ROUND(IF('Advanced Entry'!R$8="Decrease Risk",10-10*((IF('Advanced Entry'!R$5="Logarithm",LN(0.001+'Advanced Entry'!R156),IF('Advanced Entry'!R$5="Exponential",EXP('Advanced Entry'!R156),'Advanced Entry'!R156)))-'Advanced Entry'!R$6)/('Advanced Entry'!R$7-'Advanced Entry'!R$6),10*((IF('Advanced Entry'!R$5="Logarithm",LN(0.001+'Advanced Entry'!R156),IF('Advanced Entry'!R$5="Exponential",EXP('Advanced Entry'!R156),'Advanced Entry'!R156)))-'Advanced Entry'!R$6)/('Advanced Entry'!R$7-'Advanced Entry'!R$6)),1))),"No data"))</f>
        <v/>
      </c>
      <c r="S156" s="17">
        <f>IF('Advanced Entry'!S156="","",IFERROR(MAX(0,MIN(10,ROUND(IF('Advanced Entry'!S$8="Decrease Risk",10-10*((IF('Advanced Entry'!S$5="Logarithm",LN(0.001+'Advanced Entry'!S156),IF('Advanced Entry'!S$5="Exponential",EXP('Advanced Entry'!S156),'Advanced Entry'!S156)))-'Advanced Entry'!S$6)/('Advanced Entry'!S$7-'Advanced Entry'!S$6),10*((IF('Advanced Entry'!S$5="Logarithm",LN(0.001+'Advanced Entry'!S156),IF('Advanced Entry'!S$5="Exponential",EXP('Advanced Entry'!S156),'Advanced Entry'!S156)))-'Advanced Entry'!S$6)/('Advanced Entry'!S$7-'Advanced Entry'!S$6)),1))),"No data"))</f>
        <v/>
      </c>
      <c r="T156" s="17">
        <f>IF('Advanced Entry'!T156="","",IFERROR(MAX(0,MIN(10,ROUND(IF('Advanced Entry'!T$8="Decrease Risk",10-10*((IF('Advanced Entry'!T$5="Logarithm",LN(0.001+'Advanced Entry'!T156),IF('Advanced Entry'!T$5="Exponential",EXP('Advanced Entry'!T156),'Advanced Entry'!T156)))-'Advanced Entry'!T$6)/('Advanced Entry'!T$7-'Advanced Entry'!T$6),10*((IF('Advanced Entry'!T$5="Logarithm",LN(0.001+'Advanced Entry'!T156),IF('Advanced Entry'!T$5="Exponential",EXP('Advanced Entry'!T156),'Advanced Entry'!T156)))-'Advanced Entry'!T$6)/('Advanced Entry'!T$7-'Advanced Entry'!T$6)),1))),"No data"))</f>
        <v/>
      </c>
      <c r="U156" s="17">
        <f>IF('Advanced Entry'!U156="","",IFERROR(MAX(0,MIN(10,ROUND(IF('Advanced Entry'!U$8="Decrease Risk",10-10*((IF('Advanced Entry'!U$5="Logarithm",LN(0.001+'Advanced Entry'!U156),IF('Advanced Entry'!U$5="Exponential",EXP('Advanced Entry'!U156),'Advanced Entry'!U156)))-'Advanced Entry'!U$6)/('Advanced Entry'!U$7-'Advanced Entry'!U$6),10*((IF('Advanced Entry'!U$5="Logarithm",LN(0.001+'Advanced Entry'!U156),IF('Advanced Entry'!U$5="Exponential",EXP('Advanced Entry'!U156),'Advanced Entry'!U156)))-'Advanced Entry'!U$6)/('Advanced Entry'!U$7-'Advanced Entry'!U$6)),1))),"No data"))</f>
        <v/>
      </c>
      <c r="V156" s="17">
        <f>IF('Advanced Entry'!V156="","",IFERROR(MAX(0,MIN(10,ROUND(IF('Advanced Entry'!V$8="Decrease Risk",10-10*((IF('Advanced Entry'!V$5="Logarithm",LN(0.001+'Advanced Entry'!V156),IF('Advanced Entry'!V$5="Exponential",EXP('Advanced Entry'!V156),'Advanced Entry'!V156)))-'Advanced Entry'!V$6)/('Advanced Entry'!V$7-'Advanced Entry'!V$6),10*((IF('Advanced Entry'!V$5="Logarithm",LN(0.001+'Advanced Entry'!V156),IF('Advanced Entry'!V$5="Exponential",EXP('Advanced Entry'!V156),'Advanced Entry'!V156)))-'Advanced Entry'!V$6)/('Advanced Entry'!V$7-'Advanced Entry'!V$6)),1))),"No data"))</f>
        <v/>
      </c>
      <c r="W156" s="17">
        <f>IF('Advanced Entry'!W156="","",IFERROR(MAX(0,MIN(10,ROUND(IF('Advanced Entry'!W$8="Decrease Risk",10-10*((IF('Advanced Entry'!W$5="Logarithm",LN(0.001+'Advanced Entry'!W156),IF('Advanced Entry'!W$5="Exponential",EXP('Advanced Entry'!W156),'Advanced Entry'!W156)))-'Advanced Entry'!W$6)/('Advanced Entry'!W$7-'Advanced Entry'!W$6),10*((IF('Advanced Entry'!W$5="Logarithm",LN(0.001+'Advanced Entry'!W156),IF('Advanced Entry'!W$5="Exponential",EXP('Advanced Entry'!W156),'Advanced Entry'!W156)))-'Advanced Entry'!W$6)/('Advanced Entry'!W$7-'Advanced Entry'!W$6)),1))),"No data"))</f>
        <v/>
      </c>
      <c r="X156" s="17">
        <f>IF('Advanced Entry'!X156="","",IFERROR(MAX(0,MIN(10,ROUND(IF('Advanced Entry'!X$8="Decrease Risk",10-10*((IF('Advanced Entry'!X$5="Logarithm",LN(0.001+'Advanced Entry'!X156),IF('Advanced Entry'!X$5="Exponential",EXP('Advanced Entry'!X156),'Advanced Entry'!X156)))-'Advanced Entry'!X$6)/('Advanced Entry'!X$7-'Advanced Entry'!X$6),10*((IF('Advanced Entry'!X$5="Logarithm",LN(0.001+'Advanced Entry'!X156),IF('Advanced Entry'!X$5="Exponential",EXP('Advanced Entry'!X156),'Advanced Entry'!X156)))-'Advanced Entry'!X$6)/('Advanced Entry'!X$7-'Advanced Entry'!X$6)),1))),"No data"))</f>
        <v/>
      </c>
      <c r="Y156" s="17">
        <f>IF('Advanced Entry'!Y156="","",IFERROR(MAX(0,MIN(10,ROUND(IF('Advanced Entry'!Y$8="Decrease Risk",10-10*((IF('Advanced Entry'!Y$5="Logarithm",LN(0.001+'Advanced Entry'!Y156),IF('Advanced Entry'!Y$5="Exponential",EXP('Advanced Entry'!Y156),'Advanced Entry'!Y156)))-'Advanced Entry'!Y$6)/('Advanced Entry'!Y$7-'Advanced Entry'!Y$6),10*((IF('Advanced Entry'!Y$5="Logarithm",LN(0.001+'Advanced Entry'!Y156),IF('Advanced Entry'!Y$5="Exponential",EXP('Advanced Entry'!Y156),'Advanced Entry'!Y156)))-'Advanced Entry'!Y$6)/('Advanced Entry'!Y$7-'Advanced Entry'!Y$6)),1))),"No data"))</f>
        <v/>
      </c>
      <c r="Z156" s="17">
        <f>IF('Advanced Entry'!Z156="","",IFERROR(MAX(0,MIN(10,ROUND(IF('Advanced Entry'!Z$8="Decrease Risk",10-10*((IF('Advanced Entry'!Z$5="Logarithm",LN(0.001+'Advanced Entry'!Z156),IF('Advanced Entry'!Z$5="Exponential",EXP('Advanced Entry'!Z156),'Advanced Entry'!Z156)))-'Advanced Entry'!Z$6)/('Advanced Entry'!Z$7-'Advanced Entry'!Z$6),10*((IF('Advanced Entry'!Z$5="Logarithm",LN(0.001+'Advanced Entry'!Z156),IF('Advanced Entry'!Z$5="Exponential",EXP('Advanced Entry'!Z156),'Advanced Entry'!Z156)))-'Advanced Entry'!Z$6)/('Advanced Entry'!Z$7-'Advanced Entry'!Z$6)),1))),"No data"))</f>
        <v/>
      </c>
      <c r="AA156" s="17">
        <f>IF('Advanced Entry'!AA156="","",IFERROR(MAX(0,MIN(10,ROUND(IF('Advanced Entry'!AA$8="Decrease Risk",10-10*((IF('Advanced Entry'!AA$5="Logarithm",LN(0.001+'Advanced Entry'!AA156),IF('Advanced Entry'!AA$5="Exponential",EXP('Advanced Entry'!AA156),'Advanced Entry'!AA156)))-'Advanced Entry'!AA$6)/('Advanced Entry'!AA$7-'Advanced Entry'!AA$6),10*((IF('Advanced Entry'!AA$5="Logarithm",LN(0.001+'Advanced Entry'!AA156),IF('Advanced Entry'!AA$5="Exponential",EXP('Advanced Entry'!AA156),'Advanced Entry'!AA156)))-'Advanced Entry'!AA$6)/('Advanced Entry'!AA$7-'Advanced Entry'!AA$6)),1))),"No data"))</f>
        <v/>
      </c>
      <c r="AB156" s="17">
        <f>IF('Advanced Entry'!AB156="","",IFERROR(MAX(0,MIN(10,ROUND(IF('Advanced Entry'!AB$8="Decrease Risk",10-10*((IF('Advanced Entry'!AB$5="Logarithm",LN(0.001+'Advanced Entry'!AB156),IF('Advanced Entry'!AB$5="Exponential",EXP('Advanced Entry'!AB156),'Advanced Entry'!AB156)))-'Advanced Entry'!AB$6)/('Advanced Entry'!AB$7-'Advanced Entry'!AB$6),10*((IF('Advanced Entry'!AB$5="Logarithm",LN(0.001+'Advanced Entry'!AB156),IF('Advanced Entry'!AB$5="Exponential",EXP('Advanced Entry'!AB156),'Advanced Entry'!AB156)))-'Advanced Entry'!AB$6)/('Advanced Entry'!AB$7-'Advanced Entry'!AB$6)),1))),"No data"))</f>
        <v/>
      </c>
    </row>
    <row r="157">
      <c r="A157" t="inlineStr">
        <is>
          <t>Ruvuma</t>
        </is>
      </c>
      <c r="B157" t="inlineStr">
        <is>
          <t>Mbinga Town</t>
        </is>
      </c>
      <c r="C157" t="inlineStr">
        <is>
          <t>C077</t>
        </is>
      </c>
      <c r="D157" s="17">
        <f>IF('Advanced Entry'!D157="","",IFERROR(MAX(0,MIN(10,ROUND(IF('Advanced Entry'!D$8="Decrease Risk",10-10*((IF('Advanced Entry'!D$5="Logarithm",LN(0.001+'Advanced Entry'!D157),IF('Advanced Entry'!D$5="Exponential",EXP('Advanced Entry'!D157),'Advanced Entry'!D157)))-'Advanced Entry'!D$6)/('Advanced Entry'!D$7-'Advanced Entry'!D$6),10*((IF('Advanced Entry'!D$5="Logarithm",LN(0.001+'Advanced Entry'!D157),IF('Advanced Entry'!D$5="Exponential",EXP('Advanced Entry'!D157),'Advanced Entry'!D157)))-'Advanced Entry'!D$6)/('Advanced Entry'!D$7-'Advanced Entry'!D$6)),1))),"No data"))</f>
        <v/>
      </c>
      <c r="E157" s="17">
        <f>IF('Advanced Entry'!E157="","",IFERROR(MAX(0,MIN(10,ROUND(IF('Advanced Entry'!E$8="Decrease Risk",10-10*((IF('Advanced Entry'!E$5="Logarithm",LN(0.001+'Advanced Entry'!E157),IF('Advanced Entry'!E$5="Exponential",EXP('Advanced Entry'!E157),'Advanced Entry'!E157)))-'Advanced Entry'!E$6)/('Advanced Entry'!E$7-'Advanced Entry'!E$6),10*((IF('Advanced Entry'!E$5="Logarithm",LN(0.001+'Advanced Entry'!E157),IF('Advanced Entry'!E$5="Exponential",EXP('Advanced Entry'!E157),'Advanced Entry'!E157)))-'Advanced Entry'!E$6)/('Advanced Entry'!E$7-'Advanced Entry'!E$6)),1))),"No data"))</f>
        <v/>
      </c>
      <c r="F157" s="17">
        <f>IF('Advanced Entry'!F157="","",IFERROR(MAX(0,MIN(10,ROUND(IF('Advanced Entry'!F$8="Decrease Risk",10-10*((IF('Advanced Entry'!F$5="Logarithm",LN(0.001+'Advanced Entry'!F157),IF('Advanced Entry'!F$5="Exponential",EXP('Advanced Entry'!F157),'Advanced Entry'!F157)))-'Advanced Entry'!F$6)/('Advanced Entry'!F$7-'Advanced Entry'!F$6),10*((IF('Advanced Entry'!F$5="Logarithm",LN(0.001+'Advanced Entry'!F157),IF('Advanced Entry'!F$5="Exponential",EXP('Advanced Entry'!F157),'Advanced Entry'!F157)))-'Advanced Entry'!F$6)/('Advanced Entry'!F$7-'Advanced Entry'!F$6)),1))),"No data"))</f>
        <v/>
      </c>
      <c r="G157" s="17">
        <f>IF('Advanced Entry'!G157="","",IFERROR(MAX(0,MIN(10,ROUND(IF('Advanced Entry'!G$8="Decrease Risk",10-10*((IF('Advanced Entry'!G$5="Logarithm",LN(0.001+'Advanced Entry'!G157),IF('Advanced Entry'!G$5="Exponential",EXP('Advanced Entry'!G157),'Advanced Entry'!G157)))-'Advanced Entry'!G$6)/('Advanced Entry'!G$7-'Advanced Entry'!G$6),10*((IF('Advanced Entry'!G$5="Logarithm",LN(0.001+'Advanced Entry'!G157),IF('Advanced Entry'!G$5="Exponential",EXP('Advanced Entry'!G157),'Advanced Entry'!G157)))-'Advanced Entry'!G$6)/('Advanced Entry'!G$7-'Advanced Entry'!G$6)),1))),"No data"))</f>
        <v/>
      </c>
      <c r="H157" s="17">
        <f>IF('Advanced Entry'!H157="","",IFERROR(MAX(0,MIN(10,ROUND(IF('Advanced Entry'!H$8="Decrease Risk",10-10*((IF('Advanced Entry'!H$5="Logarithm",LN(0.001+'Advanced Entry'!H157),IF('Advanced Entry'!H$5="Exponential",EXP('Advanced Entry'!H157),'Advanced Entry'!H157)))-'Advanced Entry'!H$6)/('Advanced Entry'!H$7-'Advanced Entry'!H$6),10*((IF('Advanced Entry'!H$5="Logarithm",LN(0.001+'Advanced Entry'!H157),IF('Advanced Entry'!H$5="Exponential",EXP('Advanced Entry'!H157),'Advanced Entry'!H157)))-'Advanced Entry'!H$6)/('Advanced Entry'!H$7-'Advanced Entry'!H$6)),1))),"No data"))</f>
        <v/>
      </c>
      <c r="I157" s="17">
        <f>IF('Advanced Entry'!I157="","",IFERROR(MAX(0,MIN(10,ROUND(IF('Advanced Entry'!I$8="Decrease Risk",10-10*((IF('Advanced Entry'!I$5="Logarithm",LN(0.001+'Advanced Entry'!I157),IF('Advanced Entry'!I$5="Exponential",EXP('Advanced Entry'!I157),'Advanced Entry'!I157)))-'Advanced Entry'!I$6)/('Advanced Entry'!I$7-'Advanced Entry'!I$6),10*((IF('Advanced Entry'!I$5="Logarithm",LN(0.001+'Advanced Entry'!I157),IF('Advanced Entry'!I$5="Exponential",EXP('Advanced Entry'!I157),'Advanced Entry'!I157)))-'Advanced Entry'!I$6)/('Advanced Entry'!I$7-'Advanced Entry'!I$6)),1))),"No data"))</f>
        <v/>
      </c>
      <c r="J157" s="17">
        <f>IF('Advanced Entry'!J157="","",IFERROR(MAX(0,MIN(10,ROUND(IF('Advanced Entry'!J$8="Decrease Risk",10-10*((IF('Advanced Entry'!J$5="Logarithm",LN(0.001+'Advanced Entry'!J157),IF('Advanced Entry'!J$5="Exponential",EXP('Advanced Entry'!J157),'Advanced Entry'!J157)))-'Advanced Entry'!J$6)/('Advanced Entry'!J$7-'Advanced Entry'!J$6),10*((IF('Advanced Entry'!J$5="Logarithm",LN(0.001+'Advanced Entry'!J157),IF('Advanced Entry'!J$5="Exponential",EXP('Advanced Entry'!J157),'Advanced Entry'!J157)))-'Advanced Entry'!J$6)/('Advanced Entry'!J$7-'Advanced Entry'!J$6)),1))),"No data"))</f>
        <v/>
      </c>
      <c r="K157" s="17">
        <f>IF('Advanced Entry'!K157="","",IFERROR(MAX(0,MIN(10,ROUND(IF('Advanced Entry'!K$8="Decrease Risk",10-10*((IF('Advanced Entry'!K$5="Logarithm",LN(0.001+'Advanced Entry'!K157),IF('Advanced Entry'!K$5="Exponential",EXP('Advanced Entry'!K157),'Advanced Entry'!K157)))-'Advanced Entry'!K$6)/('Advanced Entry'!K$7-'Advanced Entry'!K$6),10*((IF('Advanced Entry'!K$5="Logarithm",LN(0.001+'Advanced Entry'!K157),IF('Advanced Entry'!K$5="Exponential",EXP('Advanced Entry'!K157),'Advanced Entry'!K157)))-'Advanced Entry'!K$6)/('Advanced Entry'!K$7-'Advanced Entry'!K$6)),1))),"No data"))</f>
        <v/>
      </c>
      <c r="L157" s="17">
        <f>IF('Advanced Entry'!L157="","",IFERROR(MAX(0,MIN(10,ROUND(IF('Advanced Entry'!L$8="Decrease Risk",10-10*((IF('Advanced Entry'!L$5="Logarithm",LN(0.001+'Advanced Entry'!L157),IF('Advanced Entry'!L$5="Exponential",EXP('Advanced Entry'!L157),'Advanced Entry'!L157)))-'Advanced Entry'!L$6)/('Advanced Entry'!L$7-'Advanced Entry'!L$6),10*((IF('Advanced Entry'!L$5="Logarithm",LN(0.001+'Advanced Entry'!L157),IF('Advanced Entry'!L$5="Exponential",EXP('Advanced Entry'!L157),'Advanced Entry'!L157)))-'Advanced Entry'!L$6)/('Advanced Entry'!L$7-'Advanced Entry'!L$6)),1))),"No data"))</f>
        <v/>
      </c>
      <c r="M157" s="17">
        <f>IF('Advanced Entry'!M157="","",IFERROR(MAX(0,MIN(10,ROUND(IF('Advanced Entry'!M$8="Decrease Risk",10-10*((IF('Advanced Entry'!M$5="Logarithm",LN(0.001+'Advanced Entry'!M157),IF('Advanced Entry'!M$5="Exponential",EXP('Advanced Entry'!M157),'Advanced Entry'!M157)))-'Advanced Entry'!M$6)/('Advanced Entry'!M$7-'Advanced Entry'!M$6),10*((IF('Advanced Entry'!M$5="Logarithm",LN(0.001+'Advanced Entry'!M157),IF('Advanced Entry'!M$5="Exponential",EXP('Advanced Entry'!M157),'Advanced Entry'!M157)))-'Advanced Entry'!M$6)/('Advanced Entry'!M$7-'Advanced Entry'!M$6)),1))),"No data"))</f>
        <v/>
      </c>
      <c r="N157" s="17">
        <f>IF('Advanced Entry'!N157="","",IFERROR(MAX(0,MIN(10,ROUND(IF('Advanced Entry'!N$8="Decrease Risk",10-10*((IF('Advanced Entry'!N$5="Logarithm",LN(0.001+'Advanced Entry'!N157),IF('Advanced Entry'!N$5="Exponential",EXP('Advanced Entry'!N157),'Advanced Entry'!N157)))-'Advanced Entry'!N$6)/('Advanced Entry'!N$7-'Advanced Entry'!N$6),10*((IF('Advanced Entry'!N$5="Logarithm",LN(0.001+'Advanced Entry'!N157),IF('Advanced Entry'!N$5="Exponential",EXP('Advanced Entry'!N157),'Advanced Entry'!N157)))-'Advanced Entry'!N$6)/('Advanced Entry'!N$7-'Advanced Entry'!N$6)),1))),"No data"))</f>
        <v/>
      </c>
      <c r="O157" s="17">
        <f>IF('Advanced Entry'!O157="","",IFERROR(MAX(0,MIN(10,ROUND(IF('Advanced Entry'!O$8="Decrease Risk",10-10*((IF('Advanced Entry'!O$5="Logarithm",LN(0.001+'Advanced Entry'!O157),IF('Advanced Entry'!O$5="Exponential",EXP('Advanced Entry'!O157),'Advanced Entry'!O157)))-'Advanced Entry'!O$6)/('Advanced Entry'!O$7-'Advanced Entry'!O$6),10*((IF('Advanced Entry'!O$5="Logarithm",LN(0.001+'Advanced Entry'!O157),IF('Advanced Entry'!O$5="Exponential",EXP('Advanced Entry'!O157),'Advanced Entry'!O157)))-'Advanced Entry'!O$6)/('Advanced Entry'!O$7-'Advanced Entry'!O$6)),1))),"No data"))</f>
        <v/>
      </c>
      <c r="P157" s="17">
        <f>IF('Advanced Entry'!P157="","",IFERROR(MAX(0,MIN(10,ROUND(IF('Advanced Entry'!P$8="Decrease Risk",10-10*((IF('Advanced Entry'!P$5="Logarithm",LN(0.001+'Advanced Entry'!P157),IF('Advanced Entry'!P$5="Exponential",EXP('Advanced Entry'!P157),'Advanced Entry'!P157)))-'Advanced Entry'!P$6)/('Advanced Entry'!P$7-'Advanced Entry'!P$6),10*((IF('Advanced Entry'!P$5="Logarithm",LN(0.001+'Advanced Entry'!P157),IF('Advanced Entry'!P$5="Exponential",EXP('Advanced Entry'!P157),'Advanced Entry'!P157)))-'Advanced Entry'!P$6)/('Advanced Entry'!P$7-'Advanced Entry'!P$6)),1))),"No data"))</f>
        <v/>
      </c>
      <c r="Q157" s="17">
        <f>IF('Advanced Entry'!Q157="","",IFERROR(MAX(0,MIN(10,ROUND(IF('Advanced Entry'!Q$8="Decrease Risk",10-10*((IF('Advanced Entry'!Q$5="Logarithm",LN(0.001+'Advanced Entry'!Q157),IF('Advanced Entry'!Q$5="Exponential",EXP('Advanced Entry'!Q157),'Advanced Entry'!Q157)))-'Advanced Entry'!Q$6)/('Advanced Entry'!Q$7-'Advanced Entry'!Q$6),10*((IF('Advanced Entry'!Q$5="Logarithm",LN(0.001+'Advanced Entry'!Q157),IF('Advanced Entry'!Q$5="Exponential",EXP('Advanced Entry'!Q157),'Advanced Entry'!Q157)))-'Advanced Entry'!Q$6)/('Advanced Entry'!Q$7-'Advanced Entry'!Q$6)),1))),"No data"))</f>
        <v/>
      </c>
      <c r="R157" s="17">
        <f>IF('Advanced Entry'!R157="","",IFERROR(MAX(0,MIN(10,ROUND(IF('Advanced Entry'!R$8="Decrease Risk",10-10*((IF('Advanced Entry'!R$5="Logarithm",LN(0.001+'Advanced Entry'!R157),IF('Advanced Entry'!R$5="Exponential",EXP('Advanced Entry'!R157),'Advanced Entry'!R157)))-'Advanced Entry'!R$6)/('Advanced Entry'!R$7-'Advanced Entry'!R$6),10*((IF('Advanced Entry'!R$5="Logarithm",LN(0.001+'Advanced Entry'!R157),IF('Advanced Entry'!R$5="Exponential",EXP('Advanced Entry'!R157),'Advanced Entry'!R157)))-'Advanced Entry'!R$6)/('Advanced Entry'!R$7-'Advanced Entry'!R$6)),1))),"No data"))</f>
        <v/>
      </c>
      <c r="S157" s="17">
        <f>IF('Advanced Entry'!S157="","",IFERROR(MAX(0,MIN(10,ROUND(IF('Advanced Entry'!S$8="Decrease Risk",10-10*((IF('Advanced Entry'!S$5="Logarithm",LN(0.001+'Advanced Entry'!S157),IF('Advanced Entry'!S$5="Exponential",EXP('Advanced Entry'!S157),'Advanced Entry'!S157)))-'Advanced Entry'!S$6)/('Advanced Entry'!S$7-'Advanced Entry'!S$6),10*((IF('Advanced Entry'!S$5="Logarithm",LN(0.001+'Advanced Entry'!S157),IF('Advanced Entry'!S$5="Exponential",EXP('Advanced Entry'!S157),'Advanced Entry'!S157)))-'Advanced Entry'!S$6)/('Advanced Entry'!S$7-'Advanced Entry'!S$6)),1))),"No data"))</f>
        <v/>
      </c>
      <c r="T157" s="17">
        <f>IF('Advanced Entry'!T157="","",IFERROR(MAX(0,MIN(10,ROUND(IF('Advanced Entry'!T$8="Decrease Risk",10-10*((IF('Advanced Entry'!T$5="Logarithm",LN(0.001+'Advanced Entry'!T157),IF('Advanced Entry'!T$5="Exponential",EXP('Advanced Entry'!T157),'Advanced Entry'!T157)))-'Advanced Entry'!T$6)/('Advanced Entry'!T$7-'Advanced Entry'!T$6),10*((IF('Advanced Entry'!T$5="Logarithm",LN(0.001+'Advanced Entry'!T157),IF('Advanced Entry'!T$5="Exponential",EXP('Advanced Entry'!T157),'Advanced Entry'!T157)))-'Advanced Entry'!T$6)/('Advanced Entry'!T$7-'Advanced Entry'!T$6)),1))),"No data"))</f>
        <v/>
      </c>
      <c r="U157" s="17">
        <f>IF('Advanced Entry'!U157="","",IFERROR(MAX(0,MIN(10,ROUND(IF('Advanced Entry'!U$8="Decrease Risk",10-10*((IF('Advanced Entry'!U$5="Logarithm",LN(0.001+'Advanced Entry'!U157),IF('Advanced Entry'!U$5="Exponential",EXP('Advanced Entry'!U157),'Advanced Entry'!U157)))-'Advanced Entry'!U$6)/('Advanced Entry'!U$7-'Advanced Entry'!U$6),10*((IF('Advanced Entry'!U$5="Logarithm",LN(0.001+'Advanced Entry'!U157),IF('Advanced Entry'!U$5="Exponential",EXP('Advanced Entry'!U157),'Advanced Entry'!U157)))-'Advanced Entry'!U$6)/('Advanced Entry'!U$7-'Advanced Entry'!U$6)),1))),"No data"))</f>
        <v/>
      </c>
      <c r="V157" s="17">
        <f>IF('Advanced Entry'!V157="","",IFERROR(MAX(0,MIN(10,ROUND(IF('Advanced Entry'!V$8="Decrease Risk",10-10*((IF('Advanced Entry'!V$5="Logarithm",LN(0.001+'Advanced Entry'!V157),IF('Advanced Entry'!V$5="Exponential",EXP('Advanced Entry'!V157),'Advanced Entry'!V157)))-'Advanced Entry'!V$6)/('Advanced Entry'!V$7-'Advanced Entry'!V$6),10*((IF('Advanced Entry'!V$5="Logarithm",LN(0.001+'Advanced Entry'!V157),IF('Advanced Entry'!V$5="Exponential",EXP('Advanced Entry'!V157),'Advanced Entry'!V157)))-'Advanced Entry'!V$6)/('Advanced Entry'!V$7-'Advanced Entry'!V$6)),1))),"No data"))</f>
        <v/>
      </c>
      <c r="W157" s="17">
        <f>IF('Advanced Entry'!W157="","",IFERROR(MAX(0,MIN(10,ROUND(IF('Advanced Entry'!W$8="Decrease Risk",10-10*((IF('Advanced Entry'!W$5="Logarithm",LN(0.001+'Advanced Entry'!W157),IF('Advanced Entry'!W$5="Exponential",EXP('Advanced Entry'!W157),'Advanced Entry'!W157)))-'Advanced Entry'!W$6)/('Advanced Entry'!W$7-'Advanced Entry'!W$6),10*((IF('Advanced Entry'!W$5="Logarithm",LN(0.001+'Advanced Entry'!W157),IF('Advanced Entry'!W$5="Exponential",EXP('Advanced Entry'!W157),'Advanced Entry'!W157)))-'Advanced Entry'!W$6)/('Advanced Entry'!W$7-'Advanced Entry'!W$6)),1))),"No data"))</f>
        <v/>
      </c>
      <c r="X157" s="17">
        <f>IF('Advanced Entry'!X157="","",IFERROR(MAX(0,MIN(10,ROUND(IF('Advanced Entry'!X$8="Decrease Risk",10-10*((IF('Advanced Entry'!X$5="Logarithm",LN(0.001+'Advanced Entry'!X157),IF('Advanced Entry'!X$5="Exponential",EXP('Advanced Entry'!X157),'Advanced Entry'!X157)))-'Advanced Entry'!X$6)/('Advanced Entry'!X$7-'Advanced Entry'!X$6),10*((IF('Advanced Entry'!X$5="Logarithm",LN(0.001+'Advanced Entry'!X157),IF('Advanced Entry'!X$5="Exponential",EXP('Advanced Entry'!X157),'Advanced Entry'!X157)))-'Advanced Entry'!X$6)/('Advanced Entry'!X$7-'Advanced Entry'!X$6)),1))),"No data"))</f>
        <v/>
      </c>
      <c r="Y157" s="17">
        <f>IF('Advanced Entry'!Y157="","",IFERROR(MAX(0,MIN(10,ROUND(IF('Advanced Entry'!Y$8="Decrease Risk",10-10*((IF('Advanced Entry'!Y$5="Logarithm",LN(0.001+'Advanced Entry'!Y157),IF('Advanced Entry'!Y$5="Exponential",EXP('Advanced Entry'!Y157),'Advanced Entry'!Y157)))-'Advanced Entry'!Y$6)/('Advanced Entry'!Y$7-'Advanced Entry'!Y$6),10*((IF('Advanced Entry'!Y$5="Logarithm",LN(0.001+'Advanced Entry'!Y157),IF('Advanced Entry'!Y$5="Exponential",EXP('Advanced Entry'!Y157),'Advanced Entry'!Y157)))-'Advanced Entry'!Y$6)/('Advanced Entry'!Y$7-'Advanced Entry'!Y$6)),1))),"No data"))</f>
        <v/>
      </c>
      <c r="Z157" s="17">
        <f>IF('Advanced Entry'!Z157="","",IFERROR(MAX(0,MIN(10,ROUND(IF('Advanced Entry'!Z$8="Decrease Risk",10-10*((IF('Advanced Entry'!Z$5="Logarithm",LN(0.001+'Advanced Entry'!Z157),IF('Advanced Entry'!Z$5="Exponential",EXP('Advanced Entry'!Z157),'Advanced Entry'!Z157)))-'Advanced Entry'!Z$6)/('Advanced Entry'!Z$7-'Advanced Entry'!Z$6),10*((IF('Advanced Entry'!Z$5="Logarithm",LN(0.001+'Advanced Entry'!Z157),IF('Advanced Entry'!Z$5="Exponential",EXP('Advanced Entry'!Z157),'Advanced Entry'!Z157)))-'Advanced Entry'!Z$6)/('Advanced Entry'!Z$7-'Advanced Entry'!Z$6)),1))),"No data"))</f>
        <v/>
      </c>
      <c r="AA157" s="17">
        <f>IF('Advanced Entry'!AA157="","",IFERROR(MAX(0,MIN(10,ROUND(IF('Advanced Entry'!AA$8="Decrease Risk",10-10*((IF('Advanced Entry'!AA$5="Logarithm",LN(0.001+'Advanced Entry'!AA157),IF('Advanced Entry'!AA$5="Exponential",EXP('Advanced Entry'!AA157),'Advanced Entry'!AA157)))-'Advanced Entry'!AA$6)/('Advanced Entry'!AA$7-'Advanced Entry'!AA$6),10*((IF('Advanced Entry'!AA$5="Logarithm",LN(0.001+'Advanced Entry'!AA157),IF('Advanced Entry'!AA$5="Exponential",EXP('Advanced Entry'!AA157),'Advanced Entry'!AA157)))-'Advanced Entry'!AA$6)/('Advanced Entry'!AA$7-'Advanced Entry'!AA$6)),1))),"No data"))</f>
        <v/>
      </c>
      <c r="AB157" s="17">
        <f>IF('Advanced Entry'!AB157="","",IFERROR(MAX(0,MIN(10,ROUND(IF('Advanced Entry'!AB$8="Decrease Risk",10-10*((IF('Advanced Entry'!AB$5="Logarithm",LN(0.001+'Advanced Entry'!AB157),IF('Advanced Entry'!AB$5="Exponential",EXP('Advanced Entry'!AB157),'Advanced Entry'!AB157)))-'Advanced Entry'!AB$6)/('Advanced Entry'!AB$7-'Advanced Entry'!AB$6),10*((IF('Advanced Entry'!AB$5="Logarithm",LN(0.001+'Advanced Entry'!AB157),IF('Advanced Entry'!AB$5="Exponential",EXP('Advanced Entry'!AB157),'Advanced Entry'!AB157)))-'Advanced Entry'!AB$6)/('Advanced Entry'!AB$7-'Advanced Entry'!AB$6)),1))),"No data"))</f>
        <v/>
      </c>
    </row>
    <row r="158">
      <c r="A158" t="inlineStr">
        <is>
          <t>Ruvuma</t>
        </is>
      </c>
      <c r="B158" t="inlineStr">
        <is>
          <t>Namtumbo District</t>
        </is>
      </c>
      <c r="C158" t="inlineStr">
        <is>
          <t>C079</t>
        </is>
      </c>
      <c r="D158" s="17">
        <f>IF('Advanced Entry'!D158="","",IFERROR(MAX(0,MIN(10,ROUND(IF('Advanced Entry'!D$8="Decrease Risk",10-10*((IF('Advanced Entry'!D$5="Logarithm",LN(0.001+'Advanced Entry'!D158),IF('Advanced Entry'!D$5="Exponential",EXP('Advanced Entry'!D158),'Advanced Entry'!D158)))-'Advanced Entry'!D$6)/('Advanced Entry'!D$7-'Advanced Entry'!D$6),10*((IF('Advanced Entry'!D$5="Logarithm",LN(0.001+'Advanced Entry'!D158),IF('Advanced Entry'!D$5="Exponential",EXP('Advanced Entry'!D158),'Advanced Entry'!D158)))-'Advanced Entry'!D$6)/('Advanced Entry'!D$7-'Advanced Entry'!D$6)),1))),"No data"))</f>
        <v/>
      </c>
      <c r="E158" s="17">
        <f>IF('Advanced Entry'!E158="","",IFERROR(MAX(0,MIN(10,ROUND(IF('Advanced Entry'!E$8="Decrease Risk",10-10*((IF('Advanced Entry'!E$5="Logarithm",LN(0.001+'Advanced Entry'!E158),IF('Advanced Entry'!E$5="Exponential",EXP('Advanced Entry'!E158),'Advanced Entry'!E158)))-'Advanced Entry'!E$6)/('Advanced Entry'!E$7-'Advanced Entry'!E$6),10*((IF('Advanced Entry'!E$5="Logarithm",LN(0.001+'Advanced Entry'!E158),IF('Advanced Entry'!E$5="Exponential",EXP('Advanced Entry'!E158),'Advanced Entry'!E158)))-'Advanced Entry'!E$6)/('Advanced Entry'!E$7-'Advanced Entry'!E$6)),1))),"No data"))</f>
        <v/>
      </c>
      <c r="F158" s="17">
        <f>IF('Advanced Entry'!F158="","",IFERROR(MAX(0,MIN(10,ROUND(IF('Advanced Entry'!F$8="Decrease Risk",10-10*((IF('Advanced Entry'!F$5="Logarithm",LN(0.001+'Advanced Entry'!F158),IF('Advanced Entry'!F$5="Exponential",EXP('Advanced Entry'!F158),'Advanced Entry'!F158)))-'Advanced Entry'!F$6)/('Advanced Entry'!F$7-'Advanced Entry'!F$6),10*((IF('Advanced Entry'!F$5="Logarithm",LN(0.001+'Advanced Entry'!F158),IF('Advanced Entry'!F$5="Exponential",EXP('Advanced Entry'!F158),'Advanced Entry'!F158)))-'Advanced Entry'!F$6)/('Advanced Entry'!F$7-'Advanced Entry'!F$6)),1))),"No data"))</f>
        <v/>
      </c>
      <c r="G158" s="17">
        <f>IF('Advanced Entry'!G158="","",IFERROR(MAX(0,MIN(10,ROUND(IF('Advanced Entry'!G$8="Decrease Risk",10-10*((IF('Advanced Entry'!G$5="Logarithm",LN(0.001+'Advanced Entry'!G158),IF('Advanced Entry'!G$5="Exponential",EXP('Advanced Entry'!G158),'Advanced Entry'!G158)))-'Advanced Entry'!G$6)/('Advanced Entry'!G$7-'Advanced Entry'!G$6),10*((IF('Advanced Entry'!G$5="Logarithm",LN(0.001+'Advanced Entry'!G158),IF('Advanced Entry'!G$5="Exponential",EXP('Advanced Entry'!G158),'Advanced Entry'!G158)))-'Advanced Entry'!G$6)/('Advanced Entry'!G$7-'Advanced Entry'!G$6)),1))),"No data"))</f>
        <v/>
      </c>
      <c r="H158" s="17">
        <f>IF('Advanced Entry'!H158="","",IFERROR(MAX(0,MIN(10,ROUND(IF('Advanced Entry'!H$8="Decrease Risk",10-10*((IF('Advanced Entry'!H$5="Logarithm",LN(0.001+'Advanced Entry'!H158),IF('Advanced Entry'!H$5="Exponential",EXP('Advanced Entry'!H158),'Advanced Entry'!H158)))-'Advanced Entry'!H$6)/('Advanced Entry'!H$7-'Advanced Entry'!H$6),10*((IF('Advanced Entry'!H$5="Logarithm",LN(0.001+'Advanced Entry'!H158),IF('Advanced Entry'!H$5="Exponential",EXP('Advanced Entry'!H158),'Advanced Entry'!H158)))-'Advanced Entry'!H$6)/('Advanced Entry'!H$7-'Advanced Entry'!H$6)),1))),"No data"))</f>
        <v/>
      </c>
      <c r="I158" s="17">
        <f>IF('Advanced Entry'!I158="","",IFERROR(MAX(0,MIN(10,ROUND(IF('Advanced Entry'!I$8="Decrease Risk",10-10*((IF('Advanced Entry'!I$5="Logarithm",LN(0.001+'Advanced Entry'!I158),IF('Advanced Entry'!I$5="Exponential",EXP('Advanced Entry'!I158),'Advanced Entry'!I158)))-'Advanced Entry'!I$6)/('Advanced Entry'!I$7-'Advanced Entry'!I$6),10*((IF('Advanced Entry'!I$5="Logarithm",LN(0.001+'Advanced Entry'!I158),IF('Advanced Entry'!I$5="Exponential",EXP('Advanced Entry'!I158),'Advanced Entry'!I158)))-'Advanced Entry'!I$6)/('Advanced Entry'!I$7-'Advanced Entry'!I$6)),1))),"No data"))</f>
        <v/>
      </c>
      <c r="J158" s="17">
        <f>IF('Advanced Entry'!J158="","",IFERROR(MAX(0,MIN(10,ROUND(IF('Advanced Entry'!J$8="Decrease Risk",10-10*((IF('Advanced Entry'!J$5="Logarithm",LN(0.001+'Advanced Entry'!J158),IF('Advanced Entry'!J$5="Exponential",EXP('Advanced Entry'!J158),'Advanced Entry'!J158)))-'Advanced Entry'!J$6)/('Advanced Entry'!J$7-'Advanced Entry'!J$6),10*((IF('Advanced Entry'!J$5="Logarithm",LN(0.001+'Advanced Entry'!J158),IF('Advanced Entry'!J$5="Exponential",EXP('Advanced Entry'!J158),'Advanced Entry'!J158)))-'Advanced Entry'!J$6)/('Advanced Entry'!J$7-'Advanced Entry'!J$6)),1))),"No data"))</f>
        <v/>
      </c>
      <c r="K158" s="17">
        <f>IF('Advanced Entry'!K158="","",IFERROR(MAX(0,MIN(10,ROUND(IF('Advanced Entry'!K$8="Decrease Risk",10-10*((IF('Advanced Entry'!K$5="Logarithm",LN(0.001+'Advanced Entry'!K158),IF('Advanced Entry'!K$5="Exponential",EXP('Advanced Entry'!K158),'Advanced Entry'!K158)))-'Advanced Entry'!K$6)/('Advanced Entry'!K$7-'Advanced Entry'!K$6),10*((IF('Advanced Entry'!K$5="Logarithm",LN(0.001+'Advanced Entry'!K158),IF('Advanced Entry'!K$5="Exponential",EXP('Advanced Entry'!K158),'Advanced Entry'!K158)))-'Advanced Entry'!K$6)/('Advanced Entry'!K$7-'Advanced Entry'!K$6)),1))),"No data"))</f>
        <v/>
      </c>
      <c r="L158" s="17">
        <f>IF('Advanced Entry'!L158="","",IFERROR(MAX(0,MIN(10,ROUND(IF('Advanced Entry'!L$8="Decrease Risk",10-10*((IF('Advanced Entry'!L$5="Logarithm",LN(0.001+'Advanced Entry'!L158),IF('Advanced Entry'!L$5="Exponential",EXP('Advanced Entry'!L158),'Advanced Entry'!L158)))-'Advanced Entry'!L$6)/('Advanced Entry'!L$7-'Advanced Entry'!L$6),10*((IF('Advanced Entry'!L$5="Logarithm",LN(0.001+'Advanced Entry'!L158),IF('Advanced Entry'!L$5="Exponential",EXP('Advanced Entry'!L158),'Advanced Entry'!L158)))-'Advanced Entry'!L$6)/('Advanced Entry'!L$7-'Advanced Entry'!L$6)),1))),"No data"))</f>
        <v/>
      </c>
      <c r="M158" s="17">
        <f>IF('Advanced Entry'!M158="","",IFERROR(MAX(0,MIN(10,ROUND(IF('Advanced Entry'!M$8="Decrease Risk",10-10*((IF('Advanced Entry'!M$5="Logarithm",LN(0.001+'Advanced Entry'!M158),IF('Advanced Entry'!M$5="Exponential",EXP('Advanced Entry'!M158),'Advanced Entry'!M158)))-'Advanced Entry'!M$6)/('Advanced Entry'!M$7-'Advanced Entry'!M$6),10*((IF('Advanced Entry'!M$5="Logarithm",LN(0.001+'Advanced Entry'!M158),IF('Advanced Entry'!M$5="Exponential",EXP('Advanced Entry'!M158),'Advanced Entry'!M158)))-'Advanced Entry'!M$6)/('Advanced Entry'!M$7-'Advanced Entry'!M$6)),1))),"No data"))</f>
        <v/>
      </c>
      <c r="N158" s="17">
        <f>IF('Advanced Entry'!N158="","",IFERROR(MAX(0,MIN(10,ROUND(IF('Advanced Entry'!N$8="Decrease Risk",10-10*((IF('Advanced Entry'!N$5="Logarithm",LN(0.001+'Advanced Entry'!N158),IF('Advanced Entry'!N$5="Exponential",EXP('Advanced Entry'!N158),'Advanced Entry'!N158)))-'Advanced Entry'!N$6)/('Advanced Entry'!N$7-'Advanced Entry'!N$6),10*((IF('Advanced Entry'!N$5="Logarithm",LN(0.001+'Advanced Entry'!N158),IF('Advanced Entry'!N$5="Exponential",EXP('Advanced Entry'!N158),'Advanced Entry'!N158)))-'Advanced Entry'!N$6)/('Advanced Entry'!N$7-'Advanced Entry'!N$6)),1))),"No data"))</f>
        <v/>
      </c>
      <c r="O158" s="17">
        <f>IF('Advanced Entry'!O158="","",IFERROR(MAX(0,MIN(10,ROUND(IF('Advanced Entry'!O$8="Decrease Risk",10-10*((IF('Advanced Entry'!O$5="Logarithm",LN(0.001+'Advanced Entry'!O158),IF('Advanced Entry'!O$5="Exponential",EXP('Advanced Entry'!O158),'Advanced Entry'!O158)))-'Advanced Entry'!O$6)/('Advanced Entry'!O$7-'Advanced Entry'!O$6),10*((IF('Advanced Entry'!O$5="Logarithm",LN(0.001+'Advanced Entry'!O158),IF('Advanced Entry'!O$5="Exponential",EXP('Advanced Entry'!O158),'Advanced Entry'!O158)))-'Advanced Entry'!O$6)/('Advanced Entry'!O$7-'Advanced Entry'!O$6)),1))),"No data"))</f>
        <v/>
      </c>
      <c r="P158" s="17">
        <f>IF('Advanced Entry'!P158="","",IFERROR(MAX(0,MIN(10,ROUND(IF('Advanced Entry'!P$8="Decrease Risk",10-10*((IF('Advanced Entry'!P$5="Logarithm",LN(0.001+'Advanced Entry'!P158),IF('Advanced Entry'!P$5="Exponential",EXP('Advanced Entry'!P158),'Advanced Entry'!P158)))-'Advanced Entry'!P$6)/('Advanced Entry'!P$7-'Advanced Entry'!P$6),10*((IF('Advanced Entry'!P$5="Logarithm",LN(0.001+'Advanced Entry'!P158),IF('Advanced Entry'!P$5="Exponential",EXP('Advanced Entry'!P158),'Advanced Entry'!P158)))-'Advanced Entry'!P$6)/('Advanced Entry'!P$7-'Advanced Entry'!P$6)),1))),"No data"))</f>
        <v/>
      </c>
      <c r="Q158" s="17">
        <f>IF('Advanced Entry'!Q158="","",IFERROR(MAX(0,MIN(10,ROUND(IF('Advanced Entry'!Q$8="Decrease Risk",10-10*((IF('Advanced Entry'!Q$5="Logarithm",LN(0.001+'Advanced Entry'!Q158),IF('Advanced Entry'!Q$5="Exponential",EXP('Advanced Entry'!Q158),'Advanced Entry'!Q158)))-'Advanced Entry'!Q$6)/('Advanced Entry'!Q$7-'Advanced Entry'!Q$6),10*((IF('Advanced Entry'!Q$5="Logarithm",LN(0.001+'Advanced Entry'!Q158),IF('Advanced Entry'!Q$5="Exponential",EXP('Advanced Entry'!Q158),'Advanced Entry'!Q158)))-'Advanced Entry'!Q$6)/('Advanced Entry'!Q$7-'Advanced Entry'!Q$6)),1))),"No data"))</f>
        <v/>
      </c>
      <c r="R158" s="17">
        <f>IF('Advanced Entry'!R158="","",IFERROR(MAX(0,MIN(10,ROUND(IF('Advanced Entry'!R$8="Decrease Risk",10-10*((IF('Advanced Entry'!R$5="Logarithm",LN(0.001+'Advanced Entry'!R158),IF('Advanced Entry'!R$5="Exponential",EXP('Advanced Entry'!R158),'Advanced Entry'!R158)))-'Advanced Entry'!R$6)/('Advanced Entry'!R$7-'Advanced Entry'!R$6),10*((IF('Advanced Entry'!R$5="Logarithm",LN(0.001+'Advanced Entry'!R158),IF('Advanced Entry'!R$5="Exponential",EXP('Advanced Entry'!R158),'Advanced Entry'!R158)))-'Advanced Entry'!R$6)/('Advanced Entry'!R$7-'Advanced Entry'!R$6)),1))),"No data"))</f>
        <v/>
      </c>
      <c r="S158" s="17">
        <f>IF('Advanced Entry'!S158="","",IFERROR(MAX(0,MIN(10,ROUND(IF('Advanced Entry'!S$8="Decrease Risk",10-10*((IF('Advanced Entry'!S$5="Logarithm",LN(0.001+'Advanced Entry'!S158),IF('Advanced Entry'!S$5="Exponential",EXP('Advanced Entry'!S158),'Advanced Entry'!S158)))-'Advanced Entry'!S$6)/('Advanced Entry'!S$7-'Advanced Entry'!S$6),10*((IF('Advanced Entry'!S$5="Logarithm",LN(0.001+'Advanced Entry'!S158),IF('Advanced Entry'!S$5="Exponential",EXP('Advanced Entry'!S158),'Advanced Entry'!S158)))-'Advanced Entry'!S$6)/('Advanced Entry'!S$7-'Advanced Entry'!S$6)),1))),"No data"))</f>
        <v/>
      </c>
      <c r="T158" s="17">
        <f>IF('Advanced Entry'!T158="","",IFERROR(MAX(0,MIN(10,ROUND(IF('Advanced Entry'!T$8="Decrease Risk",10-10*((IF('Advanced Entry'!T$5="Logarithm",LN(0.001+'Advanced Entry'!T158),IF('Advanced Entry'!T$5="Exponential",EXP('Advanced Entry'!T158),'Advanced Entry'!T158)))-'Advanced Entry'!T$6)/('Advanced Entry'!T$7-'Advanced Entry'!T$6),10*((IF('Advanced Entry'!T$5="Logarithm",LN(0.001+'Advanced Entry'!T158),IF('Advanced Entry'!T$5="Exponential",EXP('Advanced Entry'!T158),'Advanced Entry'!T158)))-'Advanced Entry'!T$6)/('Advanced Entry'!T$7-'Advanced Entry'!T$6)),1))),"No data"))</f>
        <v/>
      </c>
      <c r="U158" s="17">
        <f>IF('Advanced Entry'!U158="","",IFERROR(MAX(0,MIN(10,ROUND(IF('Advanced Entry'!U$8="Decrease Risk",10-10*((IF('Advanced Entry'!U$5="Logarithm",LN(0.001+'Advanced Entry'!U158),IF('Advanced Entry'!U$5="Exponential",EXP('Advanced Entry'!U158),'Advanced Entry'!U158)))-'Advanced Entry'!U$6)/('Advanced Entry'!U$7-'Advanced Entry'!U$6),10*((IF('Advanced Entry'!U$5="Logarithm",LN(0.001+'Advanced Entry'!U158),IF('Advanced Entry'!U$5="Exponential",EXP('Advanced Entry'!U158),'Advanced Entry'!U158)))-'Advanced Entry'!U$6)/('Advanced Entry'!U$7-'Advanced Entry'!U$6)),1))),"No data"))</f>
        <v/>
      </c>
      <c r="V158" s="17">
        <f>IF('Advanced Entry'!V158="","",IFERROR(MAX(0,MIN(10,ROUND(IF('Advanced Entry'!V$8="Decrease Risk",10-10*((IF('Advanced Entry'!V$5="Logarithm",LN(0.001+'Advanced Entry'!V158),IF('Advanced Entry'!V$5="Exponential",EXP('Advanced Entry'!V158),'Advanced Entry'!V158)))-'Advanced Entry'!V$6)/('Advanced Entry'!V$7-'Advanced Entry'!V$6),10*((IF('Advanced Entry'!V$5="Logarithm",LN(0.001+'Advanced Entry'!V158),IF('Advanced Entry'!V$5="Exponential",EXP('Advanced Entry'!V158),'Advanced Entry'!V158)))-'Advanced Entry'!V$6)/('Advanced Entry'!V$7-'Advanced Entry'!V$6)),1))),"No data"))</f>
        <v/>
      </c>
      <c r="W158" s="17">
        <f>IF('Advanced Entry'!W158="","",IFERROR(MAX(0,MIN(10,ROUND(IF('Advanced Entry'!W$8="Decrease Risk",10-10*((IF('Advanced Entry'!W$5="Logarithm",LN(0.001+'Advanced Entry'!W158),IF('Advanced Entry'!W$5="Exponential",EXP('Advanced Entry'!W158),'Advanced Entry'!W158)))-'Advanced Entry'!W$6)/('Advanced Entry'!W$7-'Advanced Entry'!W$6),10*((IF('Advanced Entry'!W$5="Logarithm",LN(0.001+'Advanced Entry'!W158),IF('Advanced Entry'!W$5="Exponential",EXP('Advanced Entry'!W158),'Advanced Entry'!W158)))-'Advanced Entry'!W$6)/('Advanced Entry'!W$7-'Advanced Entry'!W$6)),1))),"No data"))</f>
        <v/>
      </c>
      <c r="X158" s="17">
        <f>IF('Advanced Entry'!X158="","",IFERROR(MAX(0,MIN(10,ROUND(IF('Advanced Entry'!X$8="Decrease Risk",10-10*((IF('Advanced Entry'!X$5="Logarithm",LN(0.001+'Advanced Entry'!X158),IF('Advanced Entry'!X$5="Exponential",EXP('Advanced Entry'!X158),'Advanced Entry'!X158)))-'Advanced Entry'!X$6)/('Advanced Entry'!X$7-'Advanced Entry'!X$6),10*((IF('Advanced Entry'!X$5="Logarithm",LN(0.001+'Advanced Entry'!X158),IF('Advanced Entry'!X$5="Exponential",EXP('Advanced Entry'!X158),'Advanced Entry'!X158)))-'Advanced Entry'!X$6)/('Advanced Entry'!X$7-'Advanced Entry'!X$6)),1))),"No data"))</f>
        <v/>
      </c>
      <c r="Y158" s="17">
        <f>IF('Advanced Entry'!Y158="","",IFERROR(MAX(0,MIN(10,ROUND(IF('Advanced Entry'!Y$8="Decrease Risk",10-10*((IF('Advanced Entry'!Y$5="Logarithm",LN(0.001+'Advanced Entry'!Y158),IF('Advanced Entry'!Y$5="Exponential",EXP('Advanced Entry'!Y158),'Advanced Entry'!Y158)))-'Advanced Entry'!Y$6)/('Advanced Entry'!Y$7-'Advanced Entry'!Y$6),10*((IF('Advanced Entry'!Y$5="Logarithm",LN(0.001+'Advanced Entry'!Y158),IF('Advanced Entry'!Y$5="Exponential",EXP('Advanced Entry'!Y158),'Advanced Entry'!Y158)))-'Advanced Entry'!Y$6)/('Advanced Entry'!Y$7-'Advanced Entry'!Y$6)),1))),"No data"))</f>
        <v/>
      </c>
      <c r="Z158" s="17">
        <f>IF('Advanced Entry'!Z158="","",IFERROR(MAX(0,MIN(10,ROUND(IF('Advanced Entry'!Z$8="Decrease Risk",10-10*((IF('Advanced Entry'!Z$5="Logarithm",LN(0.001+'Advanced Entry'!Z158),IF('Advanced Entry'!Z$5="Exponential",EXP('Advanced Entry'!Z158),'Advanced Entry'!Z158)))-'Advanced Entry'!Z$6)/('Advanced Entry'!Z$7-'Advanced Entry'!Z$6),10*((IF('Advanced Entry'!Z$5="Logarithm",LN(0.001+'Advanced Entry'!Z158),IF('Advanced Entry'!Z$5="Exponential",EXP('Advanced Entry'!Z158),'Advanced Entry'!Z158)))-'Advanced Entry'!Z$6)/('Advanced Entry'!Z$7-'Advanced Entry'!Z$6)),1))),"No data"))</f>
        <v/>
      </c>
      <c r="AA158" s="17">
        <f>IF('Advanced Entry'!AA158="","",IFERROR(MAX(0,MIN(10,ROUND(IF('Advanced Entry'!AA$8="Decrease Risk",10-10*((IF('Advanced Entry'!AA$5="Logarithm",LN(0.001+'Advanced Entry'!AA158),IF('Advanced Entry'!AA$5="Exponential",EXP('Advanced Entry'!AA158),'Advanced Entry'!AA158)))-'Advanced Entry'!AA$6)/('Advanced Entry'!AA$7-'Advanced Entry'!AA$6),10*((IF('Advanced Entry'!AA$5="Logarithm",LN(0.001+'Advanced Entry'!AA158),IF('Advanced Entry'!AA$5="Exponential",EXP('Advanced Entry'!AA158),'Advanced Entry'!AA158)))-'Advanced Entry'!AA$6)/('Advanced Entry'!AA$7-'Advanced Entry'!AA$6)),1))),"No data"))</f>
        <v/>
      </c>
      <c r="AB158" s="17">
        <f>IF('Advanced Entry'!AB158="","",IFERROR(MAX(0,MIN(10,ROUND(IF('Advanced Entry'!AB$8="Decrease Risk",10-10*((IF('Advanced Entry'!AB$5="Logarithm",LN(0.001+'Advanced Entry'!AB158),IF('Advanced Entry'!AB$5="Exponential",EXP('Advanced Entry'!AB158),'Advanced Entry'!AB158)))-'Advanced Entry'!AB$6)/('Advanced Entry'!AB$7-'Advanced Entry'!AB$6),10*((IF('Advanced Entry'!AB$5="Logarithm",LN(0.001+'Advanced Entry'!AB158),IF('Advanced Entry'!AB$5="Exponential",EXP('Advanced Entry'!AB158),'Advanced Entry'!AB158)))-'Advanced Entry'!AB$6)/('Advanced Entry'!AB$7-'Advanced Entry'!AB$6)),1))),"No data"))</f>
        <v/>
      </c>
    </row>
    <row r="159">
      <c r="A159" t="inlineStr">
        <is>
          <t>Ruvuma</t>
        </is>
      </c>
      <c r="B159" t="inlineStr">
        <is>
          <t>Nyasa District</t>
        </is>
      </c>
      <c r="C159" t="inlineStr">
        <is>
          <t>C078</t>
        </is>
      </c>
      <c r="D159" s="17">
        <f>IF('Advanced Entry'!D159="","",IFERROR(MAX(0,MIN(10,ROUND(IF('Advanced Entry'!D$8="Decrease Risk",10-10*((IF('Advanced Entry'!D$5="Logarithm",LN(0.001+'Advanced Entry'!D159),IF('Advanced Entry'!D$5="Exponential",EXP('Advanced Entry'!D159),'Advanced Entry'!D159)))-'Advanced Entry'!D$6)/('Advanced Entry'!D$7-'Advanced Entry'!D$6),10*((IF('Advanced Entry'!D$5="Logarithm",LN(0.001+'Advanced Entry'!D159),IF('Advanced Entry'!D$5="Exponential",EXP('Advanced Entry'!D159),'Advanced Entry'!D159)))-'Advanced Entry'!D$6)/('Advanced Entry'!D$7-'Advanced Entry'!D$6)),1))),"No data"))</f>
        <v/>
      </c>
      <c r="E159" s="17">
        <f>IF('Advanced Entry'!E159="","",IFERROR(MAX(0,MIN(10,ROUND(IF('Advanced Entry'!E$8="Decrease Risk",10-10*((IF('Advanced Entry'!E$5="Logarithm",LN(0.001+'Advanced Entry'!E159),IF('Advanced Entry'!E$5="Exponential",EXP('Advanced Entry'!E159),'Advanced Entry'!E159)))-'Advanced Entry'!E$6)/('Advanced Entry'!E$7-'Advanced Entry'!E$6),10*((IF('Advanced Entry'!E$5="Logarithm",LN(0.001+'Advanced Entry'!E159),IF('Advanced Entry'!E$5="Exponential",EXP('Advanced Entry'!E159),'Advanced Entry'!E159)))-'Advanced Entry'!E$6)/('Advanced Entry'!E$7-'Advanced Entry'!E$6)),1))),"No data"))</f>
        <v/>
      </c>
      <c r="F159" s="17">
        <f>IF('Advanced Entry'!F159="","",IFERROR(MAX(0,MIN(10,ROUND(IF('Advanced Entry'!F$8="Decrease Risk",10-10*((IF('Advanced Entry'!F$5="Logarithm",LN(0.001+'Advanced Entry'!F159),IF('Advanced Entry'!F$5="Exponential",EXP('Advanced Entry'!F159),'Advanced Entry'!F159)))-'Advanced Entry'!F$6)/('Advanced Entry'!F$7-'Advanced Entry'!F$6),10*((IF('Advanced Entry'!F$5="Logarithm",LN(0.001+'Advanced Entry'!F159),IF('Advanced Entry'!F$5="Exponential",EXP('Advanced Entry'!F159),'Advanced Entry'!F159)))-'Advanced Entry'!F$6)/('Advanced Entry'!F$7-'Advanced Entry'!F$6)),1))),"No data"))</f>
        <v/>
      </c>
      <c r="G159" s="17">
        <f>IF('Advanced Entry'!G159="","",IFERROR(MAX(0,MIN(10,ROUND(IF('Advanced Entry'!G$8="Decrease Risk",10-10*((IF('Advanced Entry'!G$5="Logarithm",LN(0.001+'Advanced Entry'!G159),IF('Advanced Entry'!G$5="Exponential",EXP('Advanced Entry'!G159),'Advanced Entry'!G159)))-'Advanced Entry'!G$6)/('Advanced Entry'!G$7-'Advanced Entry'!G$6),10*((IF('Advanced Entry'!G$5="Logarithm",LN(0.001+'Advanced Entry'!G159),IF('Advanced Entry'!G$5="Exponential",EXP('Advanced Entry'!G159),'Advanced Entry'!G159)))-'Advanced Entry'!G$6)/('Advanced Entry'!G$7-'Advanced Entry'!G$6)),1))),"No data"))</f>
        <v/>
      </c>
      <c r="H159" s="17">
        <f>IF('Advanced Entry'!H159="","",IFERROR(MAX(0,MIN(10,ROUND(IF('Advanced Entry'!H$8="Decrease Risk",10-10*((IF('Advanced Entry'!H$5="Logarithm",LN(0.001+'Advanced Entry'!H159),IF('Advanced Entry'!H$5="Exponential",EXP('Advanced Entry'!H159),'Advanced Entry'!H159)))-'Advanced Entry'!H$6)/('Advanced Entry'!H$7-'Advanced Entry'!H$6),10*((IF('Advanced Entry'!H$5="Logarithm",LN(0.001+'Advanced Entry'!H159),IF('Advanced Entry'!H$5="Exponential",EXP('Advanced Entry'!H159),'Advanced Entry'!H159)))-'Advanced Entry'!H$6)/('Advanced Entry'!H$7-'Advanced Entry'!H$6)),1))),"No data"))</f>
        <v/>
      </c>
      <c r="I159" s="17">
        <f>IF('Advanced Entry'!I159="","",IFERROR(MAX(0,MIN(10,ROUND(IF('Advanced Entry'!I$8="Decrease Risk",10-10*((IF('Advanced Entry'!I$5="Logarithm",LN(0.001+'Advanced Entry'!I159),IF('Advanced Entry'!I$5="Exponential",EXP('Advanced Entry'!I159),'Advanced Entry'!I159)))-'Advanced Entry'!I$6)/('Advanced Entry'!I$7-'Advanced Entry'!I$6),10*((IF('Advanced Entry'!I$5="Logarithm",LN(0.001+'Advanced Entry'!I159),IF('Advanced Entry'!I$5="Exponential",EXP('Advanced Entry'!I159),'Advanced Entry'!I159)))-'Advanced Entry'!I$6)/('Advanced Entry'!I$7-'Advanced Entry'!I$6)),1))),"No data"))</f>
        <v/>
      </c>
      <c r="J159" s="17">
        <f>IF('Advanced Entry'!J159="","",IFERROR(MAX(0,MIN(10,ROUND(IF('Advanced Entry'!J$8="Decrease Risk",10-10*((IF('Advanced Entry'!J$5="Logarithm",LN(0.001+'Advanced Entry'!J159),IF('Advanced Entry'!J$5="Exponential",EXP('Advanced Entry'!J159),'Advanced Entry'!J159)))-'Advanced Entry'!J$6)/('Advanced Entry'!J$7-'Advanced Entry'!J$6),10*((IF('Advanced Entry'!J$5="Logarithm",LN(0.001+'Advanced Entry'!J159),IF('Advanced Entry'!J$5="Exponential",EXP('Advanced Entry'!J159),'Advanced Entry'!J159)))-'Advanced Entry'!J$6)/('Advanced Entry'!J$7-'Advanced Entry'!J$6)),1))),"No data"))</f>
        <v/>
      </c>
      <c r="K159" s="17">
        <f>IF('Advanced Entry'!K159="","",IFERROR(MAX(0,MIN(10,ROUND(IF('Advanced Entry'!K$8="Decrease Risk",10-10*((IF('Advanced Entry'!K$5="Logarithm",LN(0.001+'Advanced Entry'!K159),IF('Advanced Entry'!K$5="Exponential",EXP('Advanced Entry'!K159),'Advanced Entry'!K159)))-'Advanced Entry'!K$6)/('Advanced Entry'!K$7-'Advanced Entry'!K$6),10*((IF('Advanced Entry'!K$5="Logarithm",LN(0.001+'Advanced Entry'!K159),IF('Advanced Entry'!K$5="Exponential",EXP('Advanced Entry'!K159),'Advanced Entry'!K159)))-'Advanced Entry'!K$6)/('Advanced Entry'!K$7-'Advanced Entry'!K$6)),1))),"No data"))</f>
        <v/>
      </c>
      <c r="L159" s="17">
        <f>IF('Advanced Entry'!L159="","",IFERROR(MAX(0,MIN(10,ROUND(IF('Advanced Entry'!L$8="Decrease Risk",10-10*((IF('Advanced Entry'!L$5="Logarithm",LN(0.001+'Advanced Entry'!L159),IF('Advanced Entry'!L$5="Exponential",EXP('Advanced Entry'!L159),'Advanced Entry'!L159)))-'Advanced Entry'!L$6)/('Advanced Entry'!L$7-'Advanced Entry'!L$6),10*((IF('Advanced Entry'!L$5="Logarithm",LN(0.001+'Advanced Entry'!L159),IF('Advanced Entry'!L$5="Exponential",EXP('Advanced Entry'!L159),'Advanced Entry'!L159)))-'Advanced Entry'!L$6)/('Advanced Entry'!L$7-'Advanced Entry'!L$6)),1))),"No data"))</f>
        <v/>
      </c>
      <c r="M159" s="17">
        <f>IF('Advanced Entry'!M159="","",IFERROR(MAX(0,MIN(10,ROUND(IF('Advanced Entry'!M$8="Decrease Risk",10-10*((IF('Advanced Entry'!M$5="Logarithm",LN(0.001+'Advanced Entry'!M159),IF('Advanced Entry'!M$5="Exponential",EXP('Advanced Entry'!M159),'Advanced Entry'!M159)))-'Advanced Entry'!M$6)/('Advanced Entry'!M$7-'Advanced Entry'!M$6),10*((IF('Advanced Entry'!M$5="Logarithm",LN(0.001+'Advanced Entry'!M159),IF('Advanced Entry'!M$5="Exponential",EXP('Advanced Entry'!M159),'Advanced Entry'!M159)))-'Advanced Entry'!M$6)/('Advanced Entry'!M$7-'Advanced Entry'!M$6)),1))),"No data"))</f>
        <v/>
      </c>
      <c r="N159" s="17">
        <f>IF('Advanced Entry'!N159="","",IFERROR(MAX(0,MIN(10,ROUND(IF('Advanced Entry'!N$8="Decrease Risk",10-10*((IF('Advanced Entry'!N$5="Logarithm",LN(0.001+'Advanced Entry'!N159),IF('Advanced Entry'!N$5="Exponential",EXP('Advanced Entry'!N159),'Advanced Entry'!N159)))-'Advanced Entry'!N$6)/('Advanced Entry'!N$7-'Advanced Entry'!N$6),10*((IF('Advanced Entry'!N$5="Logarithm",LN(0.001+'Advanced Entry'!N159),IF('Advanced Entry'!N$5="Exponential",EXP('Advanced Entry'!N159),'Advanced Entry'!N159)))-'Advanced Entry'!N$6)/('Advanced Entry'!N$7-'Advanced Entry'!N$6)),1))),"No data"))</f>
        <v/>
      </c>
      <c r="O159" s="17">
        <f>IF('Advanced Entry'!O159="","",IFERROR(MAX(0,MIN(10,ROUND(IF('Advanced Entry'!O$8="Decrease Risk",10-10*((IF('Advanced Entry'!O$5="Logarithm",LN(0.001+'Advanced Entry'!O159),IF('Advanced Entry'!O$5="Exponential",EXP('Advanced Entry'!O159),'Advanced Entry'!O159)))-'Advanced Entry'!O$6)/('Advanced Entry'!O$7-'Advanced Entry'!O$6),10*((IF('Advanced Entry'!O$5="Logarithm",LN(0.001+'Advanced Entry'!O159),IF('Advanced Entry'!O$5="Exponential",EXP('Advanced Entry'!O159),'Advanced Entry'!O159)))-'Advanced Entry'!O$6)/('Advanced Entry'!O$7-'Advanced Entry'!O$6)),1))),"No data"))</f>
        <v/>
      </c>
      <c r="P159" s="17">
        <f>IF('Advanced Entry'!P159="","",IFERROR(MAX(0,MIN(10,ROUND(IF('Advanced Entry'!P$8="Decrease Risk",10-10*((IF('Advanced Entry'!P$5="Logarithm",LN(0.001+'Advanced Entry'!P159),IF('Advanced Entry'!P$5="Exponential",EXP('Advanced Entry'!P159),'Advanced Entry'!P159)))-'Advanced Entry'!P$6)/('Advanced Entry'!P$7-'Advanced Entry'!P$6),10*((IF('Advanced Entry'!P$5="Logarithm",LN(0.001+'Advanced Entry'!P159),IF('Advanced Entry'!P$5="Exponential",EXP('Advanced Entry'!P159),'Advanced Entry'!P159)))-'Advanced Entry'!P$6)/('Advanced Entry'!P$7-'Advanced Entry'!P$6)),1))),"No data"))</f>
        <v/>
      </c>
      <c r="Q159" s="17">
        <f>IF('Advanced Entry'!Q159="","",IFERROR(MAX(0,MIN(10,ROUND(IF('Advanced Entry'!Q$8="Decrease Risk",10-10*((IF('Advanced Entry'!Q$5="Logarithm",LN(0.001+'Advanced Entry'!Q159),IF('Advanced Entry'!Q$5="Exponential",EXP('Advanced Entry'!Q159),'Advanced Entry'!Q159)))-'Advanced Entry'!Q$6)/('Advanced Entry'!Q$7-'Advanced Entry'!Q$6),10*((IF('Advanced Entry'!Q$5="Logarithm",LN(0.001+'Advanced Entry'!Q159),IF('Advanced Entry'!Q$5="Exponential",EXP('Advanced Entry'!Q159),'Advanced Entry'!Q159)))-'Advanced Entry'!Q$6)/('Advanced Entry'!Q$7-'Advanced Entry'!Q$6)),1))),"No data"))</f>
        <v/>
      </c>
      <c r="R159" s="17">
        <f>IF('Advanced Entry'!R159="","",IFERROR(MAX(0,MIN(10,ROUND(IF('Advanced Entry'!R$8="Decrease Risk",10-10*((IF('Advanced Entry'!R$5="Logarithm",LN(0.001+'Advanced Entry'!R159),IF('Advanced Entry'!R$5="Exponential",EXP('Advanced Entry'!R159),'Advanced Entry'!R159)))-'Advanced Entry'!R$6)/('Advanced Entry'!R$7-'Advanced Entry'!R$6),10*((IF('Advanced Entry'!R$5="Logarithm",LN(0.001+'Advanced Entry'!R159),IF('Advanced Entry'!R$5="Exponential",EXP('Advanced Entry'!R159),'Advanced Entry'!R159)))-'Advanced Entry'!R$6)/('Advanced Entry'!R$7-'Advanced Entry'!R$6)),1))),"No data"))</f>
        <v/>
      </c>
      <c r="S159" s="17">
        <f>IF('Advanced Entry'!S159="","",IFERROR(MAX(0,MIN(10,ROUND(IF('Advanced Entry'!S$8="Decrease Risk",10-10*((IF('Advanced Entry'!S$5="Logarithm",LN(0.001+'Advanced Entry'!S159),IF('Advanced Entry'!S$5="Exponential",EXP('Advanced Entry'!S159),'Advanced Entry'!S159)))-'Advanced Entry'!S$6)/('Advanced Entry'!S$7-'Advanced Entry'!S$6),10*((IF('Advanced Entry'!S$5="Logarithm",LN(0.001+'Advanced Entry'!S159),IF('Advanced Entry'!S$5="Exponential",EXP('Advanced Entry'!S159),'Advanced Entry'!S159)))-'Advanced Entry'!S$6)/('Advanced Entry'!S$7-'Advanced Entry'!S$6)),1))),"No data"))</f>
        <v/>
      </c>
      <c r="T159" s="17">
        <f>IF('Advanced Entry'!T159="","",IFERROR(MAX(0,MIN(10,ROUND(IF('Advanced Entry'!T$8="Decrease Risk",10-10*((IF('Advanced Entry'!T$5="Logarithm",LN(0.001+'Advanced Entry'!T159),IF('Advanced Entry'!T$5="Exponential",EXP('Advanced Entry'!T159),'Advanced Entry'!T159)))-'Advanced Entry'!T$6)/('Advanced Entry'!T$7-'Advanced Entry'!T$6),10*((IF('Advanced Entry'!T$5="Logarithm",LN(0.001+'Advanced Entry'!T159),IF('Advanced Entry'!T$5="Exponential",EXP('Advanced Entry'!T159),'Advanced Entry'!T159)))-'Advanced Entry'!T$6)/('Advanced Entry'!T$7-'Advanced Entry'!T$6)),1))),"No data"))</f>
        <v/>
      </c>
      <c r="U159" s="17">
        <f>IF('Advanced Entry'!U159="","",IFERROR(MAX(0,MIN(10,ROUND(IF('Advanced Entry'!U$8="Decrease Risk",10-10*((IF('Advanced Entry'!U$5="Logarithm",LN(0.001+'Advanced Entry'!U159),IF('Advanced Entry'!U$5="Exponential",EXP('Advanced Entry'!U159),'Advanced Entry'!U159)))-'Advanced Entry'!U$6)/('Advanced Entry'!U$7-'Advanced Entry'!U$6),10*((IF('Advanced Entry'!U$5="Logarithm",LN(0.001+'Advanced Entry'!U159),IF('Advanced Entry'!U$5="Exponential",EXP('Advanced Entry'!U159),'Advanced Entry'!U159)))-'Advanced Entry'!U$6)/('Advanced Entry'!U$7-'Advanced Entry'!U$6)),1))),"No data"))</f>
        <v/>
      </c>
      <c r="V159" s="17">
        <f>IF('Advanced Entry'!V159="","",IFERROR(MAX(0,MIN(10,ROUND(IF('Advanced Entry'!V$8="Decrease Risk",10-10*((IF('Advanced Entry'!V$5="Logarithm",LN(0.001+'Advanced Entry'!V159),IF('Advanced Entry'!V$5="Exponential",EXP('Advanced Entry'!V159),'Advanced Entry'!V159)))-'Advanced Entry'!V$6)/('Advanced Entry'!V$7-'Advanced Entry'!V$6),10*((IF('Advanced Entry'!V$5="Logarithm",LN(0.001+'Advanced Entry'!V159),IF('Advanced Entry'!V$5="Exponential",EXP('Advanced Entry'!V159),'Advanced Entry'!V159)))-'Advanced Entry'!V$6)/('Advanced Entry'!V$7-'Advanced Entry'!V$6)),1))),"No data"))</f>
        <v/>
      </c>
      <c r="W159" s="17">
        <f>IF('Advanced Entry'!W159="","",IFERROR(MAX(0,MIN(10,ROUND(IF('Advanced Entry'!W$8="Decrease Risk",10-10*((IF('Advanced Entry'!W$5="Logarithm",LN(0.001+'Advanced Entry'!W159),IF('Advanced Entry'!W$5="Exponential",EXP('Advanced Entry'!W159),'Advanced Entry'!W159)))-'Advanced Entry'!W$6)/('Advanced Entry'!W$7-'Advanced Entry'!W$6),10*((IF('Advanced Entry'!W$5="Logarithm",LN(0.001+'Advanced Entry'!W159),IF('Advanced Entry'!W$5="Exponential",EXP('Advanced Entry'!W159),'Advanced Entry'!W159)))-'Advanced Entry'!W$6)/('Advanced Entry'!W$7-'Advanced Entry'!W$6)),1))),"No data"))</f>
        <v/>
      </c>
      <c r="X159" s="17">
        <f>IF('Advanced Entry'!X159="","",IFERROR(MAX(0,MIN(10,ROUND(IF('Advanced Entry'!X$8="Decrease Risk",10-10*((IF('Advanced Entry'!X$5="Logarithm",LN(0.001+'Advanced Entry'!X159),IF('Advanced Entry'!X$5="Exponential",EXP('Advanced Entry'!X159),'Advanced Entry'!X159)))-'Advanced Entry'!X$6)/('Advanced Entry'!X$7-'Advanced Entry'!X$6),10*((IF('Advanced Entry'!X$5="Logarithm",LN(0.001+'Advanced Entry'!X159),IF('Advanced Entry'!X$5="Exponential",EXP('Advanced Entry'!X159),'Advanced Entry'!X159)))-'Advanced Entry'!X$6)/('Advanced Entry'!X$7-'Advanced Entry'!X$6)),1))),"No data"))</f>
        <v/>
      </c>
      <c r="Y159" s="17">
        <f>IF('Advanced Entry'!Y159="","",IFERROR(MAX(0,MIN(10,ROUND(IF('Advanced Entry'!Y$8="Decrease Risk",10-10*((IF('Advanced Entry'!Y$5="Logarithm",LN(0.001+'Advanced Entry'!Y159),IF('Advanced Entry'!Y$5="Exponential",EXP('Advanced Entry'!Y159),'Advanced Entry'!Y159)))-'Advanced Entry'!Y$6)/('Advanced Entry'!Y$7-'Advanced Entry'!Y$6),10*((IF('Advanced Entry'!Y$5="Logarithm",LN(0.001+'Advanced Entry'!Y159),IF('Advanced Entry'!Y$5="Exponential",EXP('Advanced Entry'!Y159),'Advanced Entry'!Y159)))-'Advanced Entry'!Y$6)/('Advanced Entry'!Y$7-'Advanced Entry'!Y$6)),1))),"No data"))</f>
        <v/>
      </c>
      <c r="Z159" s="17">
        <f>IF('Advanced Entry'!Z159="","",IFERROR(MAX(0,MIN(10,ROUND(IF('Advanced Entry'!Z$8="Decrease Risk",10-10*((IF('Advanced Entry'!Z$5="Logarithm",LN(0.001+'Advanced Entry'!Z159),IF('Advanced Entry'!Z$5="Exponential",EXP('Advanced Entry'!Z159),'Advanced Entry'!Z159)))-'Advanced Entry'!Z$6)/('Advanced Entry'!Z$7-'Advanced Entry'!Z$6),10*((IF('Advanced Entry'!Z$5="Logarithm",LN(0.001+'Advanced Entry'!Z159),IF('Advanced Entry'!Z$5="Exponential",EXP('Advanced Entry'!Z159),'Advanced Entry'!Z159)))-'Advanced Entry'!Z$6)/('Advanced Entry'!Z$7-'Advanced Entry'!Z$6)),1))),"No data"))</f>
        <v/>
      </c>
      <c r="AA159" s="17">
        <f>IF('Advanced Entry'!AA159="","",IFERROR(MAX(0,MIN(10,ROUND(IF('Advanced Entry'!AA$8="Decrease Risk",10-10*((IF('Advanced Entry'!AA$5="Logarithm",LN(0.001+'Advanced Entry'!AA159),IF('Advanced Entry'!AA$5="Exponential",EXP('Advanced Entry'!AA159),'Advanced Entry'!AA159)))-'Advanced Entry'!AA$6)/('Advanced Entry'!AA$7-'Advanced Entry'!AA$6),10*((IF('Advanced Entry'!AA$5="Logarithm",LN(0.001+'Advanced Entry'!AA159),IF('Advanced Entry'!AA$5="Exponential",EXP('Advanced Entry'!AA159),'Advanced Entry'!AA159)))-'Advanced Entry'!AA$6)/('Advanced Entry'!AA$7-'Advanced Entry'!AA$6)),1))),"No data"))</f>
        <v/>
      </c>
      <c r="AB159" s="17">
        <f>IF('Advanced Entry'!AB159="","",IFERROR(MAX(0,MIN(10,ROUND(IF('Advanced Entry'!AB$8="Decrease Risk",10-10*((IF('Advanced Entry'!AB$5="Logarithm",LN(0.001+'Advanced Entry'!AB159),IF('Advanced Entry'!AB$5="Exponential",EXP('Advanced Entry'!AB159),'Advanced Entry'!AB159)))-'Advanced Entry'!AB$6)/('Advanced Entry'!AB$7-'Advanced Entry'!AB$6),10*((IF('Advanced Entry'!AB$5="Logarithm",LN(0.001+'Advanced Entry'!AB159),IF('Advanced Entry'!AB$5="Exponential",EXP('Advanced Entry'!AB159),'Advanced Entry'!AB159)))-'Advanced Entry'!AB$6)/('Advanced Entry'!AB$7-'Advanced Entry'!AB$6)),1))),"No data"))</f>
        <v/>
      </c>
    </row>
    <row r="160">
      <c r="A160" t="inlineStr">
        <is>
          <t>Ruvuma</t>
        </is>
      </c>
      <c r="B160" t="inlineStr">
        <is>
          <t>Songea District</t>
        </is>
      </c>
      <c r="C160" t="inlineStr">
        <is>
          <t>C073</t>
        </is>
      </c>
      <c r="D160" s="17">
        <f>IF('Advanced Entry'!D160="","",IFERROR(MAX(0,MIN(10,ROUND(IF('Advanced Entry'!D$8="Decrease Risk",10-10*((IF('Advanced Entry'!D$5="Logarithm",LN(0.001+'Advanced Entry'!D160),IF('Advanced Entry'!D$5="Exponential",EXP('Advanced Entry'!D160),'Advanced Entry'!D160)))-'Advanced Entry'!D$6)/('Advanced Entry'!D$7-'Advanced Entry'!D$6),10*((IF('Advanced Entry'!D$5="Logarithm",LN(0.001+'Advanced Entry'!D160),IF('Advanced Entry'!D$5="Exponential",EXP('Advanced Entry'!D160),'Advanced Entry'!D160)))-'Advanced Entry'!D$6)/('Advanced Entry'!D$7-'Advanced Entry'!D$6)),1))),"No data"))</f>
        <v/>
      </c>
      <c r="E160" s="17">
        <f>IF('Advanced Entry'!E160="","",IFERROR(MAX(0,MIN(10,ROUND(IF('Advanced Entry'!E$8="Decrease Risk",10-10*((IF('Advanced Entry'!E$5="Logarithm",LN(0.001+'Advanced Entry'!E160),IF('Advanced Entry'!E$5="Exponential",EXP('Advanced Entry'!E160),'Advanced Entry'!E160)))-'Advanced Entry'!E$6)/('Advanced Entry'!E$7-'Advanced Entry'!E$6),10*((IF('Advanced Entry'!E$5="Logarithm",LN(0.001+'Advanced Entry'!E160),IF('Advanced Entry'!E$5="Exponential",EXP('Advanced Entry'!E160),'Advanced Entry'!E160)))-'Advanced Entry'!E$6)/('Advanced Entry'!E$7-'Advanced Entry'!E$6)),1))),"No data"))</f>
        <v/>
      </c>
      <c r="F160" s="17">
        <f>IF('Advanced Entry'!F160="","",IFERROR(MAX(0,MIN(10,ROUND(IF('Advanced Entry'!F$8="Decrease Risk",10-10*((IF('Advanced Entry'!F$5="Logarithm",LN(0.001+'Advanced Entry'!F160),IF('Advanced Entry'!F$5="Exponential",EXP('Advanced Entry'!F160),'Advanced Entry'!F160)))-'Advanced Entry'!F$6)/('Advanced Entry'!F$7-'Advanced Entry'!F$6),10*((IF('Advanced Entry'!F$5="Logarithm",LN(0.001+'Advanced Entry'!F160),IF('Advanced Entry'!F$5="Exponential",EXP('Advanced Entry'!F160),'Advanced Entry'!F160)))-'Advanced Entry'!F$6)/('Advanced Entry'!F$7-'Advanced Entry'!F$6)),1))),"No data"))</f>
        <v/>
      </c>
      <c r="G160" s="17">
        <f>IF('Advanced Entry'!G160="","",IFERROR(MAX(0,MIN(10,ROUND(IF('Advanced Entry'!G$8="Decrease Risk",10-10*((IF('Advanced Entry'!G$5="Logarithm",LN(0.001+'Advanced Entry'!G160),IF('Advanced Entry'!G$5="Exponential",EXP('Advanced Entry'!G160),'Advanced Entry'!G160)))-'Advanced Entry'!G$6)/('Advanced Entry'!G$7-'Advanced Entry'!G$6),10*((IF('Advanced Entry'!G$5="Logarithm",LN(0.001+'Advanced Entry'!G160),IF('Advanced Entry'!G$5="Exponential",EXP('Advanced Entry'!G160),'Advanced Entry'!G160)))-'Advanced Entry'!G$6)/('Advanced Entry'!G$7-'Advanced Entry'!G$6)),1))),"No data"))</f>
        <v/>
      </c>
      <c r="H160" s="17">
        <f>IF('Advanced Entry'!H160="","",IFERROR(MAX(0,MIN(10,ROUND(IF('Advanced Entry'!H$8="Decrease Risk",10-10*((IF('Advanced Entry'!H$5="Logarithm",LN(0.001+'Advanced Entry'!H160),IF('Advanced Entry'!H$5="Exponential",EXP('Advanced Entry'!H160),'Advanced Entry'!H160)))-'Advanced Entry'!H$6)/('Advanced Entry'!H$7-'Advanced Entry'!H$6),10*((IF('Advanced Entry'!H$5="Logarithm",LN(0.001+'Advanced Entry'!H160),IF('Advanced Entry'!H$5="Exponential",EXP('Advanced Entry'!H160),'Advanced Entry'!H160)))-'Advanced Entry'!H$6)/('Advanced Entry'!H$7-'Advanced Entry'!H$6)),1))),"No data"))</f>
        <v/>
      </c>
      <c r="I160" s="17">
        <f>IF('Advanced Entry'!I160="","",IFERROR(MAX(0,MIN(10,ROUND(IF('Advanced Entry'!I$8="Decrease Risk",10-10*((IF('Advanced Entry'!I$5="Logarithm",LN(0.001+'Advanced Entry'!I160),IF('Advanced Entry'!I$5="Exponential",EXP('Advanced Entry'!I160),'Advanced Entry'!I160)))-'Advanced Entry'!I$6)/('Advanced Entry'!I$7-'Advanced Entry'!I$6),10*((IF('Advanced Entry'!I$5="Logarithm",LN(0.001+'Advanced Entry'!I160),IF('Advanced Entry'!I$5="Exponential",EXP('Advanced Entry'!I160),'Advanced Entry'!I160)))-'Advanced Entry'!I$6)/('Advanced Entry'!I$7-'Advanced Entry'!I$6)),1))),"No data"))</f>
        <v/>
      </c>
      <c r="J160" s="17">
        <f>IF('Advanced Entry'!J160="","",IFERROR(MAX(0,MIN(10,ROUND(IF('Advanced Entry'!J$8="Decrease Risk",10-10*((IF('Advanced Entry'!J$5="Logarithm",LN(0.001+'Advanced Entry'!J160),IF('Advanced Entry'!J$5="Exponential",EXP('Advanced Entry'!J160),'Advanced Entry'!J160)))-'Advanced Entry'!J$6)/('Advanced Entry'!J$7-'Advanced Entry'!J$6),10*((IF('Advanced Entry'!J$5="Logarithm",LN(0.001+'Advanced Entry'!J160),IF('Advanced Entry'!J$5="Exponential",EXP('Advanced Entry'!J160),'Advanced Entry'!J160)))-'Advanced Entry'!J$6)/('Advanced Entry'!J$7-'Advanced Entry'!J$6)),1))),"No data"))</f>
        <v/>
      </c>
      <c r="K160" s="17">
        <f>IF('Advanced Entry'!K160="","",IFERROR(MAX(0,MIN(10,ROUND(IF('Advanced Entry'!K$8="Decrease Risk",10-10*((IF('Advanced Entry'!K$5="Logarithm",LN(0.001+'Advanced Entry'!K160),IF('Advanced Entry'!K$5="Exponential",EXP('Advanced Entry'!K160),'Advanced Entry'!K160)))-'Advanced Entry'!K$6)/('Advanced Entry'!K$7-'Advanced Entry'!K$6),10*((IF('Advanced Entry'!K$5="Logarithm",LN(0.001+'Advanced Entry'!K160),IF('Advanced Entry'!K$5="Exponential",EXP('Advanced Entry'!K160),'Advanced Entry'!K160)))-'Advanced Entry'!K$6)/('Advanced Entry'!K$7-'Advanced Entry'!K$6)),1))),"No data"))</f>
        <v/>
      </c>
      <c r="L160" s="17">
        <f>IF('Advanced Entry'!L160="","",IFERROR(MAX(0,MIN(10,ROUND(IF('Advanced Entry'!L$8="Decrease Risk",10-10*((IF('Advanced Entry'!L$5="Logarithm",LN(0.001+'Advanced Entry'!L160),IF('Advanced Entry'!L$5="Exponential",EXP('Advanced Entry'!L160),'Advanced Entry'!L160)))-'Advanced Entry'!L$6)/('Advanced Entry'!L$7-'Advanced Entry'!L$6),10*((IF('Advanced Entry'!L$5="Logarithm",LN(0.001+'Advanced Entry'!L160),IF('Advanced Entry'!L$5="Exponential",EXP('Advanced Entry'!L160),'Advanced Entry'!L160)))-'Advanced Entry'!L$6)/('Advanced Entry'!L$7-'Advanced Entry'!L$6)),1))),"No data"))</f>
        <v/>
      </c>
      <c r="M160" s="17">
        <f>IF('Advanced Entry'!M160="","",IFERROR(MAX(0,MIN(10,ROUND(IF('Advanced Entry'!M$8="Decrease Risk",10-10*((IF('Advanced Entry'!M$5="Logarithm",LN(0.001+'Advanced Entry'!M160),IF('Advanced Entry'!M$5="Exponential",EXP('Advanced Entry'!M160),'Advanced Entry'!M160)))-'Advanced Entry'!M$6)/('Advanced Entry'!M$7-'Advanced Entry'!M$6),10*((IF('Advanced Entry'!M$5="Logarithm",LN(0.001+'Advanced Entry'!M160),IF('Advanced Entry'!M$5="Exponential",EXP('Advanced Entry'!M160),'Advanced Entry'!M160)))-'Advanced Entry'!M$6)/('Advanced Entry'!M$7-'Advanced Entry'!M$6)),1))),"No data"))</f>
        <v/>
      </c>
      <c r="N160" s="17">
        <f>IF('Advanced Entry'!N160="","",IFERROR(MAX(0,MIN(10,ROUND(IF('Advanced Entry'!N$8="Decrease Risk",10-10*((IF('Advanced Entry'!N$5="Logarithm",LN(0.001+'Advanced Entry'!N160),IF('Advanced Entry'!N$5="Exponential",EXP('Advanced Entry'!N160),'Advanced Entry'!N160)))-'Advanced Entry'!N$6)/('Advanced Entry'!N$7-'Advanced Entry'!N$6),10*((IF('Advanced Entry'!N$5="Logarithm",LN(0.001+'Advanced Entry'!N160),IF('Advanced Entry'!N$5="Exponential",EXP('Advanced Entry'!N160),'Advanced Entry'!N160)))-'Advanced Entry'!N$6)/('Advanced Entry'!N$7-'Advanced Entry'!N$6)),1))),"No data"))</f>
        <v/>
      </c>
      <c r="O160" s="17">
        <f>IF('Advanced Entry'!O160="","",IFERROR(MAX(0,MIN(10,ROUND(IF('Advanced Entry'!O$8="Decrease Risk",10-10*((IF('Advanced Entry'!O$5="Logarithm",LN(0.001+'Advanced Entry'!O160),IF('Advanced Entry'!O$5="Exponential",EXP('Advanced Entry'!O160),'Advanced Entry'!O160)))-'Advanced Entry'!O$6)/('Advanced Entry'!O$7-'Advanced Entry'!O$6),10*((IF('Advanced Entry'!O$5="Logarithm",LN(0.001+'Advanced Entry'!O160),IF('Advanced Entry'!O$5="Exponential",EXP('Advanced Entry'!O160),'Advanced Entry'!O160)))-'Advanced Entry'!O$6)/('Advanced Entry'!O$7-'Advanced Entry'!O$6)),1))),"No data"))</f>
        <v/>
      </c>
      <c r="P160" s="17">
        <f>IF('Advanced Entry'!P160="","",IFERROR(MAX(0,MIN(10,ROUND(IF('Advanced Entry'!P$8="Decrease Risk",10-10*((IF('Advanced Entry'!P$5="Logarithm",LN(0.001+'Advanced Entry'!P160),IF('Advanced Entry'!P$5="Exponential",EXP('Advanced Entry'!P160),'Advanced Entry'!P160)))-'Advanced Entry'!P$6)/('Advanced Entry'!P$7-'Advanced Entry'!P$6),10*((IF('Advanced Entry'!P$5="Logarithm",LN(0.001+'Advanced Entry'!P160),IF('Advanced Entry'!P$5="Exponential",EXP('Advanced Entry'!P160),'Advanced Entry'!P160)))-'Advanced Entry'!P$6)/('Advanced Entry'!P$7-'Advanced Entry'!P$6)),1))),"No data"))</f>
        <v/>
      </c>
      <c r="Q160" s="17">
        <f>IF('Advanced Entry'!Q160="","",IFERROR(MAX(0,MIN(10,ROUND(IF('Advanced Entry'!Q$8="Decrease Risk",10-10*((IF('Advanced Entry'!Q$5="Logarithm",LN(0.001+'Advanced Entry'!Q160),IF('Advanced Entry'!Q$5="Exponential",EXP('Advanced Entry'!Q160),'Advanced Entry'!Q160)))-'Advanced Entry'!Q$6)/('Advanced Entry'!Q$7-'Advanced Entry'!Q$6),10*((IF('Advanced Entry'!Q$5="Logarithm",LN(0.001+'Advanced Entry'!Q160),IF('Advanced Entry'!Q$5="Exponential",EXP('Advanced Entry'!Q160),'Advanced Entry'!Q160)))-'Advanced Entry'!Q$6)/('Advanced Entry'!Q$7-'Advanced Entry'!Q$6)),1))),"No data"))</f>
        <v/>
      </c>
      <c r="R160" s="17">
        <f>IF('Advanced Entry'!R160="","",IFERROR(MAX(0,MIN(10,ROUND(IF('Advanced Entry'!R$8="Decrease Risk",10-10*((IF('Advanced Entry'!R$5="Logarithm",LN(0.001+'Advanced Entry'!R160),IF('Advanced Entry'!R$5="Exponential",EXP('Advanced Entry'!R160),'Advanced Entry'!R160)))-'Advanced Entry'!R$6)/('Advanced Entry'!R$7-'Advanced Entry'!R$6),10*((IF('Advanced Entry'!R$5="Logarithm",LN(0.001+'Advanced Entry'!R160),IF('Advanced Entry'!R$5="Exponential",EXP('Advanced Entry'!R160),'Advanced Entry'!R160)))-'Advanced Entry'!R$6)/('Advanced Entry'!R$7-'Advanced Entry'!R$6)),1))),"No data"))</f>
        <v/>
      </c>
      <c r="S160" s="17">
        <f>IF('Advanced Entry'!S160="","",IFERROR(MAX(0,MIN(10,ROUND(IF('Advanced Entry'!S$8="Decrease Risk",10-10*((IF('Advanced Entry'!S$5="Logarithm",LN(0.001+'Advanced Entry'!S160),IF('Advanced Entry'!S$5="Exponential",EXP('Advanced Entry'!S160),'Advanced Entry'!S160)))-'Advanced Entry'!S$6)/('Advanced Entry'!S$7-'Advanced Entry'!S$6),10*((IF('Advanced Entry'!S$5="Logarithm",LN(0.001+'Advanced Entry'!S160),IF('Advanced Entry'!S$5="Exponential",EXP('Advanced Entry'!S160),'Advanced Entry'!S160)))-'Advanced Entry'!S$6)/('Advanced Entry'!S$7-'Advanced Entry'!S$6)),1))),"No data"))</f>
        <v/>
      </c>
      <c r="T160" s="17">
        <f>IF('Advanced Entry'!T160="","",IFERROR(MAX(0,MIN(10,ROUND(IF('Advanced Entry'!T$8="Decrease Risk",10-10*((IF('Advanced Entry'!T$5="Logarithm",LN(0.001+'Advanced Entry'!T160),IF('Advanced Entry'!T$5="Exponential",EXP('Advanced Entry'!T160),'Advanced Entry'!T160)))-'Advanced Entry'!T$6)/('Advanced Entry'!T$7-'Advanced Entry'!T$6),10*((IF('Advanced Entry'!T$5="Logarithm",LN(0.001+'Advanced Entry'!T160),IF('Advanced Entry'!T$5="Exponential",EXP('Advanced Entry'!T160),'Advanced Entry'!T160)))-'Advanced Entry'!T$6)/('Advanced Entry'!T$7-'Advanced Entry'!T$6)),1))),"No data"))</f>
        <v/>
      </c>
      <c r="U160" s="17">
        <f>IF('Advanced Entry'!U160="","",IFERROR(MAX(0,MIN(10,ROUND(IF('Advanced Entry'!U$8="Decrease Risk",10-10*((IF('Advanced Entry'!U$5="Logarithm",LN(0.001+'Advanced Entry'!U160),IF('Advanced Entry'!U$5="Exponential",EXP('Advanced Entry'!U160),'Advanced Entry'!U160)))-'Advanced Entry'!U$6)/('Advanced Entry'!U$7-'Advanced Entry'!U$6),10*((IF('Advanced Entry'!U$5="Logarithm",LN(0.001+'Advanced Entry'!U160),IF('Advanced Entry'!U$5="Exponential",EXP('Advanced Entry'!U160),'Advanced Entry'!U160)))-'Advanced Entry'!U$6)/('Advanced Entry'!U$7-'Advanced Entry'!U$6)),1))),"No data"))</f>
        <v/>
      </c>
      <c r="V160" s="17">
        <f>IF('Advanced Entry'!V160="","",IFERROR(MAX(0,MIN(10,ROUND(IF('Advanced Entry'!V$8="Decrease Risk",10-10*((IF('Advanced Entry'!V$5="Logarithm",LN(0.001+'Advanced Entry'!V160),IF('Advanced Entry'!V$5="Exponential",EXP('Advanced Entry'!V160),'Advanced Entry'!V160)))-'Advanced Entry'!V$6)/('Advanced Entry'!V$7-'Advanced Entry'!V$6),10*((IF('Advanced Entry'!V$5="Logarithm",LN(0.001+'Advanced Entry'!V160),IF('Advanced Entry'!V$5="Exponential",EXP('Advanced Entry'!V160),'Advanced Entry'!V160)))-'Advanced Entry'!V$6)/('Advanced Entry'!V$7-'Advanced Entry'!V$6)),1))),"No data"))</f>
        <v/>
      </c>
      <c r="W160" s="17">
        <f>IF('Advanced Entry'!W160="","",IFERROR(MAX(0,MIN(10,ROUND(IF('Advanced Entry'!W$8="Decrease Risk",10-10*((IF('Advanced Entry'!W$5="Logarithm",LN(0.001+'Advanced Entry'!W160),IF('Advanced Entry'!W$5="Exponential",EXP('Advanced Entry'!W160),'Advanced Entry'!W160)))-'Advanced Entry'!W$6)/('Advanced Entry'!W$7-'Advanced Entry'!W$6),10*((IF('Advanced Entry'!W$5="Logarithm",LN(0.001+'Advanced Entry'!W160),IF('Advanced Entry'!W$5="Exponential",EXP('Advanced Entry'!W160),'Advanced Entry'!W160)))-'Advanced Entry'!W$6)/('Advanced Entry'!W$7-'Advanced Entry'!W$6)),1))),"No data"))</f>
        <v/>
      </c>
      <c r="X160" s="17">
        <f>IF('Advanced Entry'!X160="","",IFERROR(MAX(0,MIN(10,ROUND(IF('Advanced Entry'!X$8="Decrease Risk",10-10*((IF('Advanced Entry'!X$5="Logarithm",LN(0.001+'Advanced Entry'!X160),IF('Advanced Entry'!X$5="Exponential",EXP('Advanced Entry'!X160),'Advanced Entry'!X160)))-'Advanced Entry'!X$6)/('Advanced Entry'!X$7-'Advanced Entry'!X$6),10*((IF('Advanced Entry'!X$5="Logarithm",LN(0.001+'Advanced Entry'!X160),IF('Advanced Entry'!X$5="Exponential",EXP('Advanced Entry'!X160),'Advanced Entry'!X160)))-'Advanced Entry'!X$6)/('Advanced Entry'!X$7-'Advanced Entry'!X$6)),1))),"No data"))</f>
        <v/>
      </c>
      <c r="Y160" s="17">
        <f>IF('Advanced Entry'!Y160="","",IFERROR(MAX(0,MIN(10,ROUND(IF('Advanced Entry'!Y$8="Decrease Risk",10-10*((IF('Advanced Entry'!Y$5="Logarithm",LN(0.001+'Advanced Entry'!Y160),IF('Advanced Entry'!Y$5="Exponential",EXP('Advanced Entry'!Y160),'Advanced Entry'!Y160)))-'Advanced Entry'!Y$6)/('Advanced Entry'!Y$7-'Advanced Entry'!Y$6),10*((IF('Advanced Entry'!Y$5="Logarithm",LN(0.001+'Advanced Entry'!Y160),IF('Advanced Entry'!Y$5="Exponential",EXP('Advanced Entry'!Y160),'Advanced Entry'!Y160)))-'Advanced Entry'!Y$6)/('Advanced Entry'!Y$7-'Advanced Entry'!Y$6)),1))),"No data"))</f>
        <v/>
      </c>
      <c r="Z160" s="17">
        <f>IF('Advanced Entry'!Z160="","",IFERROR(MAX(0,MIN(10,ROUND(IF('Advanced Entry'!Z$8="Decrease Risk",10-10*((IF('Advanced Entry'!Z$5="Logarithm",LN(0.001+'Advanced Entry'!Z160),IF('Advanced Entry'!Z$5="Exponential",EXP('Advanced Entry'!Z160),'Advanced Entry'!Z160)))-'Advanced Entry'!Z$6)/('Advanced Entry'!Z$7-'Advanced Entry'!Z$6),10*((IF('Advanced Entry'!Z$5="Logarithm",LN(0.001+'Advanced Entry'!Z160),IF('Advanced Entry'!Z$5="Exponential",EXP('Advanced Entry'!Z160),'Advanced Entry'!Z160)))-'Advanced Entry'!Z$6)/('Advanced Entry'!Z$7-'Advanced Entry'!Z$6)),1))),"No data"))</f>
        <v/>
      </c>
      <c r="AA160" s="17">
        <f>IF('Advanced Entry'!AA160="","",IFERROR(MAX(0,MIN(10,ROUND(IF('Advanced Entry'!AA$8="Decrease Risk",10-10*((IF('Advanced Entry'!AA$5="Logarithm",LN(0.001+'Advanced Entry'!AA160),IF('Advanced Entry'!AA$5="Exponential",EXP('Advanced Entry'!AA160),'Advanced Entry'!AA160)))-'Advanced Entry'!AA$6)/('Advanced Entry'!AA$7-'Advanced Entry'!AA$6),10*((IF('Advanced Entry'!AA$5="Logarithm",LN(0.001+'Advanced Entry'!AA160),IF('Advanced Entry'!AA$5="Exponential",EXP('Advanced Entry'!AA160),'Advanced Entry'!AA160)))-'Advanced Entry'!AA$6)/('Advanced Entry'!AA$7-'Advanced Entry'!AA$6)),1))),"No data"))</f>
        <v/>
      </c>
      <c r="AB160" s="17">
        <f>IF('Advanced Entry'!AB160="","",IFERROR(MAX(0,MIN(10,ROUND(IF('Advanced Entry'!AB$8="Decrease Risk",10-10*((IF('Advanced Entry'!AB$5="Logarithm",LN(0.001+'Advanced Entry'!AB160),IF('Advanced Entry'!AB$5="Exponential",EXP('Advanced Entry'!AB160),'Advanced Entry'!AB160)))-'Advanced Entry'!AB$6)/('Advanced Entry'!AB$7-'Advanced Entry'!AB$6),10*((IF('Advanced Entry'!AB$5="Logarithm",LN(0.001+'Advanced Entry'!AB160),IF('Advanced Entry'!AB$5="Exponential",EXP('Advanced Entry'!AB160),'Advanced Entry'!AB160)))-'Advanced Entry'!AB$6)/('Advanced Entry'!AB$7-'Advanced Entry'!AB$6)),1))),"No data"))</f>
        <v/>
      </c>
    </row>
    <row r="161">
      <c r="A161" t="inlineStr">
        <is>
          <t>Ruvuma</t>
        </is>
      </c>
      <c r="B161" t="inlineStr">
        <is>
          <t>Songea Municipal</t>
        </is>
      </c>
      <c r="C161" t="inlineStr">
        <is>
          <t>C074</t>
        </is>
      </c>
      <c r="D161" s="17">
        <f>IF('Advanced Entry'!D161="","",IFERROR(MAX(0,MIN(10,ROUND(IF('Advanced Entry'!D$8="Decrease Risk",10-10*((IF('Advanced Entry'!D$5="Logarithm",LN(0.001+'Advanced Entry'!D161),IF('Advanced Entry'!D$5="Exponential",EXP('Advanced Entry'!D161),'Advanced Entry'!D161)))-'Advanced Entry'!D$6)/('Advanced Entry'!D$7-'Advanced Entry'!D$6),10*((IF('Advanced Entry'!D$5="Logarithm",LN(0.001+'Advanced Entry'!D161),IF('Advanced Entry'!D$5="Exponential",EXP('Advanced Entry'!D161),'Advanced Entry'!D161)))-'Advanced Entry'!D$6)/('Advanced Entry'!D$7-'Advanced Entry'!D$6)),1))),"No data"))</f>
        <v/>
      </c>
      <c r="E161" s="17">
        <f>IF('Advanced Entry'!E161="","",IFERROR(MAX(0,MIN(10,ROUND(IF('Advanced Entry'!E$8="Decrease Risk",10-10*((IF('Advanced Entry'!E$5="Logarithm",LN(0.001+'Advanced Entry'!E161),IF('Advanced Entry'!E$5="Exponential",EXP('Advanced Entry'!E161),'Advanced Entry'!E161)))-'Advanced Entry'!E$6)/('Advanced Entry'!E$7-'Advanced Entry'!E$6),10*((IF('Advanced Entry'!E$5="Logarithm",LN(0.001+'Advanced Entry'!E161),IF('Advanced Entry'!E$5="Exponential",EXP('Advanced Entry'!E161),'Advanced Entry'!E161)))-'Advanced Entry'!E$6)/('Advanced Entry'!E$7-'Advanced Entry'!E$6)),1))),"No data"))</f>
        <v/>
      </c>
      <c r="F161" s="17">
        <f>IF('Advanced Entry'!F161="","",IFERROR(MAX(0,MIN(10,ROUND(IF('Advanced Entry'!F$8="Decrease Risk",10-10*((IF('Advanced Entry'!F$5="Logarithm",LN(0.001+'Advanced Entry'!F161),IF('Advanced Entry'!F$5="Exponential",EXP('Advanced Entry'!F161),'Advanced Entry'!F161)))-'Advanced Entry'!F$6)/('Advanced Entry'!F$7-'Advanced Entry'!F$6),10*((IF('Advanced Entry'!F$5="Logarithm",LN(0.001+'Advanced Entry'!F161),IF('Advanced Entry'!F$5="Exponential",EXP('Advanced Entry'!F161),'Advanced Entry'!F161)))-'Advanced Entry'!F$6)/('Advanced Entry'!F$7-'Advanced Entry'!F$6)),1))),"No data"))</f>
        <v/>
      </c>
      <c r="G161" s="17">
        <f>IF('Advanced Entry'!G161="","",IFERROR(MAX(0,MIN(10,ROUND(IF('Advanced Entry'!G$8="Decrease Risk",10-10*((IF('Advanced Entry'!G$5="Logarithm",LN(0.001+'Advanced Entry'!G161),IF('Advanced Entry'!G$5="Exponential",EXP('Advanced Entry'!G161),'Advanced Entry'!G161)))-'Advanced Entry'!G$6)/('Advanced Entry'!G$7-'Advanced Entry'!G$6),10*((IF('Advanced Entry'!G$5="Logarithm",LN(0.001+'Advanced Entry'!G161),IF('Advanced Entry'!G$5="Exponential",EXP('Advanced Entry'!G161),'Advanced Entry'!G161)))-'Advanced Entry'!G$6)/('Advanced Entry'!G$7-'Advanced Entry'!G$6)),1))),"No data"))</f>
        <v/>
      </c>
      <c r="H161" s="17">
        <f>IF('Advanced Entry'!H161="","",IFERROR(MAX(0,MIN(10,ROUND(IF('Advanced Entry'!H$8="Decrease Risk",10-10*((IF('Advanced Entry'!H$5="Logarithm",LN(0.001+'Advanced Entry'!H161),IF('Advanced Entry'!H$5="Exponential",EXP('Advanced Entry'!H161),'Advanced Entry'!H161)))-'Advanced Entry'!H$6)/('Advanced Entry'!H$7-'Advanced Entry'!H$6),10*((IF('Advanced Entry'!H$5="Logarithm",LN(0.001+'Advanced Entry'!H161),IF('Advanced Entry'!H$5="Exponential",EXP('Advanced Entry'!H161),'Advanced Entry'!H161)))-'Advanced Entry'!H$6)/('Advanced Entry'!H$7-'Advanced Entry'!H$6)),1))),"No data"))</f>
        <v/>
      </c>
      <c r="I161" s="17">
        <f>IF('Advanced Entry'!I161="","",IFERROR(MAX(0,MIN(10,ROUND(IF('Advanced Entry'!I$8="Decrease Risk",10-10*((IF('Advanced Entry'!I$5="Logarithm",LN(0.001+'Advanced Entry'!I161),IF('Advanced Entry'!I$5="Exponential",EXP('Advanced Entry'!I161),'Advanced Entry'!I161)))-'Advanced Entry'!I$6)/('Advanced Entry'!I$7-'Advanced Entry'!I$6),10*((IF('Advanced Entry'!I$5="Logarithm",LN(0.001+'Advanced Entry'!I161),IF('Advanced Entry'!I$5="Exponential",EXP('Advanced Entry'!I161),'Advanced Entry'!I161)))-'Advanced Entry'!I$6)/('Advanced Entry'!I$7-'Advanced Entry'!I$6)),1))),"No data"))</f>
        <v/>
      </c>
      <c r="J161" s="17">
        <f>IF('Advanced Entry'!J161="","",IFERROR(MAX(0,MIN(10,ROUND(IF('Advanced Entry'!J$8="Decrease Risk",10-10*((IF('Advanced Entry'!J$5="Logarithm",LN(0.001+'Advanced Entry'!J161),IF('Advanced Entry'!J$5="Exponential",EXP('Advanced Entry'!J161),'Advanced Entry'!J161)))-'Advanced Entry'!J$6)/('Advanced Entry'!J$7-'Advanced Entry'!J$6),10*((IF('Advanced Entry'!J$5="Logarithm",LN(0.001+'Advanced Entry'!J161),IF('Advanced Entry'!J$5="Exponential",EXP('Advanced Entry'!J161),'Advanced Entry'!J161)))-'Advanced Entry'!J$6)/('Advanced Entry'!J$7-'Advanced Entry'!J$6)),1))),"No data"))</f>
        <v/>
      </c>
      <c r="K161" s="17">
        <f>IF('Advanced Entry'!K161="","",IFERROR(MAX(0,MIN(10,ROUND(IF('Advanced Entry'!K$8="Decrease Risk",10-10*((IF('Advanced Entry'!K$5="Logarithm",LN(0.001+'Advanced Entry'!K161),IF('Advanced Entry'!K$5="Exponential",EXP('Advanced Entry'!K161),'Advanced Entry'!K161)))-'Advanced Entry'!K$6)/('Advanced Entry'!K$7-'Advanced Entry'!K$6),10*((IF('Advanced Entry'!K$5="Logarithm",LN(0.001+'Advanced Entry'!K161),IF('Advanced Entry'!K$5="Exponential",EXP('Advanced Entry'!K161),'Advanced Entry'!K161)))-'Advanced Entry'!K$6)/('Advanced Entry'!K$7-'Advanced Entry'!K$6)),1))),"No data"))</f>
        <v/>
      </c>
      <c r="L161" s="17">
        <f>IF('Advanced Entry'!L161="","",IFERROR(MAX(0,MIN(10,ROUND(IF('Advanced Entry'!L$8="Decrease Risk",10-10*((IF('Advanced Entry'!L$5="Logarithm",LN(0.001+'Advanced Entry'!L161),IF('Advanced Entry'!L$5="Exponential",EXP('Advanced Entry'!L161),'Advanced Entry'!L161)))-'Advanced Entry'!L$6)/('Advanced Entry'!L$7-'Advanced Entry'!L$6),10*((IF('Advanced Entry'!L$5="Logarithm",LN(0.001+'Advanced Entry'!L161),IF('Advanced Entry'!L$5="Exponential",EXP('Advanced Entry'!L161),'Advanced Entry'!L161)))-'Advanced Entry'!L$6)/('Advanced Entry'!L$7-'Advanced Entry'!L$6)),1))),"No data"))</f>
        <v/>
      </c>
      <c r="M161" s="17">
        <f>IF('Advanced Entry'!M161="","",IFERROR(MAX(0,MIN(10,ROUND(IF('Advanced Entry'!M$8="Decrease Risk",10-10*((IF('Advanced Entry'!M$5="Logarithm",LN(0.001+'Advanced Entry'!M161),IF('Advanced Entry'!M$5="Exponential",EXP('Advanced Entry'!M161),'Advanced Entry'!M161)))-'Advanced Entry'!M$6)/('Advanced Entry'!M$7-'Advanced Entry'!M$6),10*((IF('Advanced Entry'!M$5="Logarithm",LN(0.001+'Advanced Entry'!M161),IF('Advanced Entry'!M$5="Exponential",EXP('Advanced Entry'!M161),'Advanced Entry'!M161)))-'Advanced Entry'!M$6)/('Advanced Entry'!M$7-'Advanced Entry'!M$6)),1))),"No data"))</f>
        <v/>
      </c>
      <c r="N161" s="17">
        <f>IF('Advanced Entry'!N161="","",IFERROR(MAX(0,MIN(10,ROUND(IF('Advanced Entry'!N$8="Decrease Risk",10-10*((IF('Advanced Entry'!N$5="Logarithm",LN(0.001+'Advanced Entry'!N161),IF('Advanced Entry'!N$5="Exponential",EXP('Advanced Entry'!N161),'Advanced Entry'!N161)))-'Advanced Entry'!N$6)/('Advanced Entry'!N$7-'Advanced Entry'!N$6),10*((IF('Advanced Entry'!N$5="Logarithm",LN(0.001+'Advanced Entry'!N161),IF('Advanced Entry'!N$5="Exponential",EXP('Advanced Entry'!N161),'Advanced Entry'!N161)))-'Advanced Entry'!N$6)/('Advanced Entry'!N$7-'Advanced Entry'!N$6)),1))),"No data"))</f>
        <v/>
      </c>
      <c r="O161" s="17">
        <f>IF('Advanced Entry'!O161="","",IFERROR(MAX(0,MIN(10,ROUND(IF('Advanced Entry'!O$8="Decrease Risk",10-10*((IF('Advanced Entry'!O$5="Logarithm",LN(0.001+'Advanced Entry'!O161),IF('Advanced Entry'!O$5="Exponential",EXP('Advanced Entry'!O161),'Advanced Entry'!O161)))-'Advanced Entry'!O$6)/('Advanced Entry'!O$7-'Advanced Entry'!O$6),10*((IF('Advanced Entry'!O$5="Logarithm",LN(0.001+'Advanced Entry'!O161),IF('Advanced Entry'!O$5="Exponential",EXP('Advanced Entry'!O161),'Advanced Entry'!O161)))-'Advanced Entry'!O$6)/('Advanced Entry'!O$7-'Advanced Entry'!O$6)),1))),"No data"))</f>
        <v/>
      </c>
      <c r="P161" s="17">
        <f>IF('Advanced Entry'!P161="","",IFERROR(MAX(0,MIN(10,ROUND(IF('Advanced Entry'!P$8="Decrease Risk",10-10*((IF('Advanced Entry'!P$5="Logarithm",LN(0.001+'Advanced Entry'!P161),IF('Advanced Entry'!P$5="Exponential",EXP('Advanced Entry'!P161),'Advanced Entry'!P161)))-'Advanced Entry'!P$6)/('Advanced Entry'!P$7-'Advanced Entry'!P$6),10*((IF('Advanced Entry'!P$5="Logarithm",LN(0.001+'Advanced Entry'!P161),IF('Advanced Entry'!P$5="Exponential",EXP('Advanced Entry'!P161),'Advanced Entry'!P161)))-'Advanced Entry'!P$6)/('Advanced Entry'!P$7-'Advanced Entry'!P$6)),1))),"No data"))</f>
        <v/>
      </c>
      <c r="Q161" s="17">
        <f>IF('Advanced Entry'!Q161="","",IFERROR(MAX(0,MIN(10,ROUND(IF('Advanced Entry'!Q$8="Decrease Risk",10-10*((IF('Advanced Entry'!Q$5="Logarithm",LN(0.001+'Advanced Entry'!Q161),IF('Advanced Entry'!Q$5="Exponential",EXP('Advanced Entry'!Q161),'Advanced Entry'!Q161)))-'Advanced Entry'!Q$6)/('Advanced Entry'!Q$7-'Advanced Entry'!Q$6),10*((IF('Advanced Entry'!Q$5="Logarithm",LN(0.001+'Advanced Entry'!Q161),IF('Advanced Entry'!Q$5="Exponential",EXP('Advanced Entry'!Q161),'Advanced Entry'!Q161)))-'Advanced Entry'!Q$6)/('Advanced Entry'!Q$7-'Advanced Entry'!Q$6)),1))),"No data"))</f>
        <v/>
      </c>
      <c r="R161" s="17">
        <f>IF('Advanced Entry'!R161="","",IFERROR(MAX(0,MIN(10,ROUND(IF('Advanced Entry'!R$8="Decrease Risk",10-10*((IF('Advanced Entry'!R$5="Logarithm",LN(0.001+'Advanced Entry'!R161),IF('Advanced Entry'!R$5="Exponential",EXP('Advanced Entry'!R161),'Advanced Entry'!R161)))-'Advanced Entry'!R$6)/('Advanced Entry'!R$7-'Advanced Entry'!R$6),10*((IF('Advanced Entry'!R$5="Logarithm",LN(0.001+'Advanced Entry'!R161),IF('Advanced Entry'!R$5="Exponential",EXP('Advanced Entry'!R161),'Advanced Entry'!R161)))-'Advanced Entry'!R$6)/('Advanced Entry'!R$7-'Advanced Entry'!R$6)),1))),"No data"))</f>
        <v/>
      </c>
      <c r="S161" s="17">
        <f>IF('Advanced Entry'!S161="","",IFERROR(MAX(0,MIN(10,ROUND(IF('Advanced Entry'!S$8="Decrease Risk",10-10*((IF('Advanced Entry'!S$5="Logarithm",LN(0.001+'Advanced Entry'!S161),IF('Advanced Entry'!S$5="Exponential",EXP('Advanced Entry'!S161),'Advanced Entry'!S161)))-'Advanced Entry'!S$6)/('Advanced Entry'!S$7-'Advanced Entry'!S$6),10*((IF('Advanced Entry'!S$5="Logarithm",LN(0.001+'Advanced Entry'!S161),IF('Advanced Entry'!S$5="Exponential",EXP('Advanced Entry'!S161),'Advanced Entry'!S161)))-'Advanced Entry'!S$6)/('Advanced Entry'!S$7-'Advanced Entry'!S$6)),1))),"No data"))</f>
        <v/>
      </c>
      <c r="T161" s="17">
        <f>IF('Advanced Entry'!T161="","",IFERROR(MAX(0,MIN(10,ROUND(IF('Advanced Entry'!T$8="Decrease Risk",10-10*((IF('Advanced Entry'!T$5="Logarithm",LN(0.001+'Advanced Entry'!T161),IF('Advanced Entry'!T$5="Exponential",EXP('Advanced Entry'!T161),'Advanced Entry'!T161)))-'Advanced Entry'!T$6)/('Advanced Entry'!T$7-'Advanced Entry'!T$6),10*((IF('Advanced Entry'!T$5="Logarithm",LN(0.001+'Advanced Entry'!T161),IF('Advanced Entry'!T$5="Exponential",EXP('Advanced Entry'!T161),'Advanced Entry'!T161)))-'Advanced Entry'!T$6)/('Advanced Entry'!T$7-'Advanced Entry'!T$6)),1))),"No data"))</f>
        <v/>
      </c>
      <c r="U161" s="17">
        <f>IF('Advanced Entry'!U161="","",IFERROR(MAX(0,MIN(10,ROUND(IF('Advanced Entry'!U$8="Decrease Risk",10-10*((IF('Advanced Entry'!U$5="Logarithm",LN(0.001+'Advanced Entry'!U161),IF('Advanced Entry'!U$5="Exponential",EXP('Advanced Entry'!U161),'Advanced Entry'!U161)))-'Advanced Entry'!U$6)/('Advanced Entry'!U$7-'Advanced Entry'!U$6),10*((IF('Advanced Entry'!U$5="Logarithm",LN(0.001+'Advanced Entry'!U161),IF('Advanced Entry'!U$5="Exponential",EXP('Advanced Entry'!U161),'Advanced Entry'!U161)))-'Advanced Entry'!U$6)/('Advanced Entry'!U$7-'Advanced Entry'!U$6)),1))),"No data"))</f>
        <v/>
      </c>
      <c r="V161" s="17">
        <f>IF('Advanced Entry'!V161="","",IFERROR(MAX(0,MIN(10,ROUND(IF('Advanced Entry'!V$8="Decrease Risk",10-10*((IF('Advanced Entry'!V$5="Logarithm",LN(0.001+'Advanced Entry'!V161),IF('Advanced Entry'!V$5="Exponential",EXP('Advanced Entry'!V161),'Advanced Entry'!V161)))-'Advanced Entry'!V$6)/('Advanced Entry'!V$7-'Advanced Entry'!V$6),10*((IF('Advanced Entry'!V$5="Logarithm",LN(0.001+'Advanced Entry'!V161),IF('Advanced Entry'!V$5="Exponential",EXP('Advanced Entry'!V161),'Advanced Entry'!V161)))-'Advanced Entry'!V$6)/('Advanced Entry'!V$7-'Advanced Entry'!V$6)),1))),"No data"))</f>
        <v/>
      </c>
      <c r="W161" s="17">
        <f>IF('Advanced Entry'!W161="","",IFERROR(MAX(0,MIN(10,ROUND(IF('Advanced Entry'!W$8="Decrease Risk",10-10*((IF('Advanced Entry'!W$5="Logarithm",LN(0.001+'Advanced Entry'!W161),IF('Advanced Entry'!W$5="Exponential",EXP('Advanced Entry'!W161),'Advanced Entry'!W161)))-'Advanced Entry'!W$6)/('Advanced Entry'!W$7-'Advanced Entry'!W$6),10*((IF('Advanced Entry'!W$5="Logarithm",LN(0.001+'Advanced Entry'!W161),IF('Advanced Entry'!W$5="Exponential",EXP('Advanced Entry'!W161),'Advanced Entry'!W161)))-'Advanced Entry'!W$6)/('Advanced Entry'!W$7-'Advanced Entry'!W$6)),1))),"No data"))</f>
        <v/>
      </c>
      <c r="X161" s="17">
        <f>IF('Advanced Entry'!X161="","",IFERROR(MAX(0,MIN(10,ROUND(IF('Advanced Entry'!X$8="Decrease Risk",10-10*((IF('Advanced Entry'!X$5="Logarithm",LN(0.001+'Advanced Entry'!X161),IF('Advanced Entry'!X$5="Exponential",EXP('Advanced Entry'!X161),'Advanced Entry'!X161)))-'Advanced Entry'!X$6)/('Advanced Entry'!X$7-'Advanced Entry'!X$6),10*((IF('Advanced Entry'!X$5="Logarithm",LN(0.001+'Advanced Entry'!X161),IF('Advanced Entry'!X$5="Exponential",EXP('Advanced Entry'!X161),'Advanced Entry'!X161)))-'Advanced Entry'!X$6)/('Advanced Entry'!X$7-'Advanced Entry'!X$6)),1))),"No data"))</f>
        <v/>
      </c>
      <c r="Y161" s="17">
        <f>IF('Advanced Entry'!Y161="","",IFERROR(MAX(0,MIN(10,ROUND(IF('Advanced Entry'!Y$8="Decrease Risk",10-10*((IF('Advanced Entry'!Y$5="Logarithm",LN(0.001+'Advanced Entry'!Y161),IF('Advanced Entry'!Y$5="Exponential",EXP('Advanced Entry'!Y161),'Advanced Entry'!Y161)))-'Advanced Entry'!Y$6)/('Advanced Entry'!Y$7-'Advanced Entry'!Y$6),10*((IF('Advanced Entry'!Y$5="Logarithm",LN(0.001+'Advanced Entry'!Y161),IF('Advanced Entry'!Y$5="Exponential",EXP('Advanced Entry'!Y161),'Advanced Entry'!Y161)))-'Advanced Entry'!Y$6)/('Advanced Entry'!Y$7-'Advanced Entry'!Y$6)),1))),"No data"))</f>
        <v/>
      </c>
      <c r="Z161" s="17">
        <f>IF('Advanced Entry'!Z161="","",IFERROR(MAX(0,MIN(10,ROUND(IF('Advanced Entry'!Z$8="Decrease Risk",10-10*((IF('Advanced Entry'!Z$5="Logarithm",LN(0.001+'Advanced Entry'!Z161),IF('Advanced Entry'!Z$5="Exponential",EXP('Advanced Entry'!Z161),'Advanced Entry'!Z161)))-'Advanced Entry'!Z$6)/('Advanced Entry'!Z$7-'Advanced Entry'!Z$6),10*((IF('Advanced Entry'!Z$5="Logarithm",LN(0.001+'Advanced Entry'!Z161),IF('Advanced Entry'!Z$5="Exponential",EXP('Advanced Entry'!Z161),'Advanced Entry'!Z161)))-'Advanced Entry'!Z$6)/('Advanced Entry'!Z$7-'Advanced Entry'!Z$6)),1))),"No data"))</f>
        <v/>
      </c>
      <c r="AA161" s="17">
        <f>IF('Advanced Entry'!AA161="","",IFERROR(MAX(0,MIN(10,ROUND(IF('Advanced Entry'!AA$8="Decrease Risk",10-10*((IF('Advanced Entry'!AA$5="Logarithm",LN(0.001+'Advanced Entry'!AA161),IF('Advanced Entry'!AA$5="Exponential",EXP('Advanced Entry'!AA161),'Advanced Entry'!AA161)))-'Advanced Entry'!AA$6)/('Advanced Entry'!AA$7-'Advanced Entry'!AA$6),10*((IF('Advanced Entry'!AA$5="Logarithm",LN(0.001+'Advanced Entry'!AA161),IF('Advanced Entry'!AA$5="Exponential",EXP('Advanced Entry'!AA161),'Advanced Entry'!AA161)))-'Advanced Entry'!AA$6)/('Advanced Entry'!AA$7-'Advanced Entry'!AA$6)),1))),"No data"))</f>
        <v/>
      </c>
      <c r="AB161" s="17">
        <f>IF('Advanced Entry'!AB161="","",IFERROR(MAX(0,MIN(10,ROUND(IF('Advanced Entry'!AB$8="Decrease Risk",10-10*((IF('Advanced Entry'!AB$5="Logarithm",LN(0.001+'Advanced Entry'!AB161),IF('Advanced Entry'!AB$5="Exponential",EXP('Advanced Entry'!AB161),'Advanced Entry'!AB161)))-'Advanced Entry'!AB$6)/('Advanced Entry'!AB$7-'Advanced Entry'!AB$6),10*((IF('Advanced Entry'!AB$5="Logarithm",LN(0.001+'Advanced Entry'!AB161),IF('Advanced Entry'!AB$5="Exponential",EXP('Advanced Entry'!AB161),'Advanced Entry'!AB161)))-'Advanced Entry'!AB$6)/('Advanced Entry'!AB$7-'Advanced Entry'!AB$6)),1))),"No data"))</f>
        <v/>
      </c>
    </row>
    <row r="162">
      <c r="A162" t="inlineStr">
        <is>
          <t>Ruvuma</t>
        </is>
      </c>
      <c r="B162" t="inlineStr">
        <is>
          <t>Tunduru District</t>
        </is>
      </c>
      <c r="C162" t="inlineStr">
        <is>
          <t>C072</t>
        </is>
      </c>
      <c r="D162" s="17">
        <f>IF('Advanced Entry'!D162="","",IFERROR(MAX(0,MIN(10,ROUND(IF('Advanced Entry'!D$8="Decrease Risk",10-10*((IF('Advanced Entry'!D$5="Logarithm",LN(0.001+'Advanced Entry'!D162),IF('Advanced Entry'!D$5="Exponential",EXP('Advanced Entry'!D162),'Advanced Entry'!D162)))-'Advanced Entry'!D$6)/('Advanced Entry'!D$7-'Advanced Entry'!D$6),10*((IF('Advanced Entry'!D$5="Logarithm",LN(0.001+'Advanced Entry'!D162),IF('Advanced Entry'!D$5="Exponential",EXP('Advanced Entry'!D162),'Advanced Entry'!D162)))-'Advanced Entry'!D$6)/('Advanced Entry'!D$7-'Advanced Entry'!D$6)),1))),"No data"))</f>
        <v/>
      </c>
      <c r="E162" s="17">
        <f>IF('Advanced Entry'!E162="","",IFERROR(MAX(0,MIN(10,ROUND(IF('Advanced Entry'!E$8="Decrease Risk",10-10*((IF('Advanced Entry'!E$5="Logarithm",LN(0.001+'Advanced Entry'!E162),IF('Advanced Entry'!E$5="Exponential",EXP('Advanced Entry'!E162),'Advanced Entry'!E162)))-'Advanced Entry'!E$6)/('Advanced Entry'!E$7-'Advanced Entry'!E$6),10*((IF('Advanced Entry'!E$5="Logarithm",LN(0.001+'Advanced Entry'!E162),IF('Advanced Entry'!E$5="Exponential",EXP('Advanced Entry'!E162),'Advanced Entry'!E162)))-'Advanced Entry'!E$6)/('Advanced Entry'!E$7-'Advanced Entry'!E$6)),1))),"No data"))</f>
        <v/>
      </c>
      <c r="F162" s="17">
        <f>IF('Advanced Entry'!F162="","",IFERROR(MAX(0,MIN(10,ROUND(IF('Advanced Entry'!F$8="Decrease Risk",10-10*((IF('Advanced Entry'!F$5="Logarithm",LN(0.001+'Advanced Entry'!F162),IF('Advanced Entry'!F$5="Exponential",EXP('Advanced Entry'!F162),'Advanced Entry'!F162)))-'Advanced Entry'!F$6)/('Advanced Entry'!F$7-'Advanced Entry'!F$6),10*((IF('Advanced Entry'!F$5="Logarithm",LN(0.001+'Advanced Entry'!F162),IF('Advanced Entry'!F$5="Exponential",EXP('Advanced Entry'!F162),'Advanced Entry'!F162)))-'Advanced Entry'!F$6)/('Advanced Entry'!F$7-'Advanced Entry'!F$6)),1))),"No data"))</f>
        <v/>
      </c>
      <c r="G162" s="17">
        <f>IF('Advanced Entry'!G162="","",IFERROR(MAX(0,MIN(10,ROUND(IF('Advanced Entry'!G$8="Decrease Risk",10-10*((IF('Advanced Entry'!G$5="Logarithm",LN(0.001+'Advanced Entry'!G162),IF('Advanced Entry'!G$5="Exponential",EXP('Advanced Entry'!G162),'Advanced Entry'!G162)))-'Advanced Entry'!G$6)/('Advanced Entry'!G$7-'Advanced Entry'!G$6),10*((IF('Advanced Entry'!G$5="Logarithm",LN(0.001+'Advanced Entry'!G162),IF('Advanced Entry'!G$5="Exponential",EXP('Advanced Entry'!G162),'Advanced Entry'!G162)))-'Advanced Entry'!G$6)/('Advanced Entry'!G$7-'Advanced Entry'!G$6)),1))),"No data"))</f>
        <v/>
      </c>
      <c r="H162" s="17">
        <f>IF('Advanced Entry'!H162="","",IFERROR(MAX(0,MIN(10,ROUND(IF('Advanced Entry'!H$8="Decrease Risk",10-10*((IF('Advanced Entry'!H$5="Logarithm",LN(0.001+'Advanced Entry'!H162),IF('Advanced Entry'!H$5="Exponential",EXP('Advanced Entry'!H162),'Advanced Entry'!H162)))-'Advanced Entry'!H$6)/('Advanced Entry'!H$7-'Advanced Entry'!H$6),10*((IF('Advanced Entry'!H$5="Logarithm",LN(0.001+'Advanced Entry'!H162),IF('Advanced Entry'!H$5="Exponential",EXP('Advanced Entry'!H162),'Advanced Entry'!H162)))-'Advanced Entry'!H$6)/('Advanced Entry'!H$7-'Advanced Entry'!H$6)),1))),"No data"))</f>
        <v/>
      </c>
      <c r="I162" s="17">
        <f>IF('Advanced Entry'!I162="","",IFERROR(MAX(0,MIN(10,ROUND(IF('Advanced Entry'!I$8="Decrease Risk",10-10*((IF('Advanced Entry'!I$5="Logarithm",LN(0.001+'Advanced Entry'!I162),IF('Advanced Entry'!I$5="Exponential",EXP('Advanced Entry'!I162),'Advanced Entry'!I162)))-'Advanced Entry'!I$6)/('Advanced Entry'!I$7-'Advanced Entry'!I$6),10*((IF('Advanced Entry'!I$5="Logarithm",LN(0.001+'Advanced Entry'!I162),IF('Advanced Entry'!I$5="Exponential",EXP('Advanced Entry'!I162),'Advanced Entry'!I162)))-'Advanced Entry'!I$6)/('Advanced Entry'!I$7-'Advanced Entry'!I$6)),1))),"No data"))</f>
        <v/>
      </c>
      <c r="J162" s="17">
        <f>IF('Advanced Entry'!J162="","",IFERROR(MAX(0,MIN(10,ROUND(IF('Advanced Entry'!J$8="Decrease Risk",10-10*((IF('Advanced Entry'!J$5="Logarithm",LN(0.001+'Advanced Entry'!J162),IF('Advanced Entry'!J$5="Exponential",EXP('Advanced Entry'!J162),'Advanced Entry'!J162)))-'Advanced Entry'!J$6)/('Advanced Entry'!J$7-'Advanced Entry'!J$6),10*((IF('Advanced Entry'!J$5="Logarithm",LN(0.001+'Advanced Entry'!J162),IF('Advanced Entry'!J$5="Exponential",EXP('Advanced Entry'!J162),'Advanced Entry'!J162)))-'Advanced Entry'!J$6)/('Advanced Entry'!J$7-'Advanced Entry'!J$6)),1))),"No data"))</f>
        <v/>
      </c>
      <c r="K162" s="17">
        <f>IF('Advanced Entry'!K162="","",IFERROR(MAX(0,MIN(10,ROUND(IF('Advanced Entry'!K$8="Decrease Risk",10-10*((IF('Advanced Entry'!K$5="Logarithm",LN(0.001+'Advanced Entry'!K162),IF('Advanced Entry'!K$5="Exponential",EXP('Advanced Entry'!K162),'Advanced Entry'!K162)))-'Advanced Entry'!K$6)/('Advanced Entry'!K$7-'Advanced Entry'!K$6),10*((IF('Advanced Entry'!K$5="Logarithm",LN(0.001+'Advanced Entry'!K162),IF('Advanced Entry'!K$5="Exponential",EXP('Advanced Entry'!K162),'Advanced Entry'!K162)))-'Advanced Entry'!K$6)/('Advanced Entry'!K$7-'Advanced Entry'!K$6)),1))),"No data"))</f>
        <v/>
      </c>
      <c r="L162" s="17">
        <f>IF('Advanced Entry'!L162="","",IFERROR(MAX(0,MIN(10,ROUND(IF('Advanced Entry'!L$8="Decrease Risk",10-10*((IF('Advanced Entry'!L$5="Logarithm",LN(0.001+'Advanced Entry'!L162),IF('Advanced Entry'!L$5="Exponential",EXP('Advanced Entry'!L162),'Advanced Entry'!L162)))-'Advanced Entry'!L$6)/('Advanced Entry'!L$7-'Advanced Entry'!L$6),10*((IF('Advanced Entry'!L$5="Logarithm",LN(0.001+'Advanced Entry'!L162),IF('Advanced Entry'!L$5="Exponential",EXP('Advanced Entry'!L162),'Advanced Entry'!L162)))-'Advanced Entry'!L$6)/('Advanced Entry'!L$7-'Advanced Entry'!L$6)),1))),"No data"))</f>
        <v/>
      </c>
      <c r="M162" s="17">
        <f>IF('Advanced Entry'!M162="","",IFERROR(MAX(0,MIN(10,ROUND(IF('Advanced Entry'!M$8="Decrease Risk",10-10*((IF('Advanced Entry'!M$5="Logarithm",LN(0.001+'Advanced Entry'!M162),IF('Advanced Entry'!M$5="Exponential",EXP('Advanced Entry'!M162),'Advanced Entry'!M162)))-'Advanced Entry'!M$6)/('Advanced Entry'!M$7-'Advanced Entry'!M$6),10*((IF('Advanced Entry'!M$5="Logarithm",LN(0.001+'Advanced Entry'!M162),IF('Advanced Entry'!M$5="Exponential",EXP('Advanced Entry'!M162),'Advanced Entry'!M162)))-'Advanced Entry'!M$6)/('Advanced Entry'!M$7-'Advanced Entry'!M$6)),1))),"No data"))</f>
        <v/>
      </c>
      <c r="N162" s="17">
        <f>IF('Advanced Entry'!N162="","",IFERROR(MAX(0,MIN(10,ROUND(IF('Advanced Entry'!N$8="Decrease Risk",10-10*((IF('Advanced Entry'!N$5="Logarithm",LN(0.001+'Advanced Entry'!N162),IF('Advanced Entry'!N$5="Exponential",EXP('Advanced Entry'!N162),'Advanced Entry'!N162)))-'Advanced Entry'!N$6)/('Advanced Entry'!N$7-'Advanced Entry'!N$6),10*((IF('Advanced Entry'!N$5="Logarithm",LN(0.001+'Advanced Entry'!N162),IF('Advanced Entry'!N$5="Exponential",EXP('Advanced Entry'!N162),'Advanced Entry'!N162)))-'Advanced Entry'!N$6)/('Advanced Entry'!N$7-'Advanced Entry'!N$6)),1))),"No data"))</f>
        <v/>
      </c>
      <c r="O162" s="17">
        <f>IF('Advanced Entry'!O162="","",IFERROR(MAX(0,MIN(10,ROUND(IF('Advanced Entry'!O$8="Decrease Risk",10-10*((IF('Advanced Entry'!O$5="Logarithm",LN(0.001+'Advanced Entry'!O162),IF('Advanced Entry'!O$5="Exponential",EXP('Advanced Entry'!O162),'Advanced Entry'!O162)))-'Advanced Entry'!O$6)/('Advanced Entry'!O$7-'Advanced Entry'!O$6),10*((IF('Advanced Entry'!O$5="Logarithm",LN(0.001+'Advanced Entry'!O162),IF('Advanced Entry'!O$5="Exponential",EXP('Advanced Entry'!O162),'Advanced Entry'!O162)))-'Advanced Entry'!O$6)/('Advanced Entry'!O$7-'Advanced Entry'!O$6)),1))),"No data"))</f>
        <v/>
      </c>
      <c r="P162" s="17">
        <f>IF('Advanced Entry'!P162="","",IFERROR(MAX(0,MIN(10,ROUND(IF('Advanced Entry'!P$8="Decrease Risk",10-10*((IF('Advanced Entry'!P$5="Logarithm",LN(0.001+'Advanced Entry'!P162),IF('Advanced Entry'!P$5="Exponential",EXP('Advanced Entry'!P162),'Advanced Entry'!P162)))-'Advanced Entry'!P$6)/('Advanced Entry'!P$7-'Advanced Entry'!P$6),10*((IF('Advanced Entry'!P$5="Logarithm",LN(0.001+'Advanced Entry'!P162),IF('Advanced Entry'!P$5="Exponential",EXP('Advanced Entry'!P162),'Advanced Entry'!P162)))-'Advanced Entry'!P$6)/('Advanced Entry'!P$7-'Advanced Entry'!P$6)),1))),"No data"))</f>
        <v/>
      </c>
      <c r="Q162" s="17">
        <f>IF('Advanced Entry'!Q162="","",IFERROR(MAX(0,MIN(10,ROUND(IF('Advanced Entry'!Q$8="Decrease Risk",10-10*((IF('Advanced Entry'!Q$5="Logarithm",LN(0.001+'Advanced Entry'!Q162),IF('Advanced Entry'!Q$5="Exponential",EXP('Advanced Entry'!Q162),'Advanced Entry'!Q162)))-'Advanced Entry'!Q$6)/('Advanced Entry'!Q$7-'Advanced Entry'!Q$6),10*((IF('Advanced Entry'!Q$5="Logarithm",LN(0.001+'Advanced Entry'!Q162),IF('Advanced Entry'!Q$5="Exponential",EXP('Advanced Entry'!Q162),'Advanced Entry'!Q162)))-'Advanced Entry'!Q$6)/('Advanced Entry'!Q$7-'Advanced Entry'!Q$6)),1))),"No data"))</f>
        <v/>
      </c>
      <c r="R162" s="17">
        <f>IF('Advanced Entry'!R162="","",IFERROR(MAX(0,MIN(10,ROUND(IF('Advanced Entry'!R$8="Decrease Risk",10-10*((IF('Advanced Entry'!R$5="Logarithm",LN(0.001+'Advanced Entry'!R162),IF('Advanced Entry'!R$5="Exponential",EXP('Advanced Entry'!R162),'Advanced Entry'!R162)))-'Advanced Entry'!R$6)/('Advanced Entry'!R$7-'Advanced Entry'!R$6),10*((IF('Advanced Entry'!R$5="Logarithm",LN(0.001+'Advanced Entry'!R162),IF('Advanced Entry'!R$5="Exponential",EXP('Advanced Entry'!R162),'Advanced Entry'!R162)))-'Advanced Entry'!R$6)/('Advanced Entry'!R$7-'Advanced Entry'!R$6)),1))),"No data"))</f>
        <v/>
      </c>
      <c r="S162" s="17">
        <f>IF('Advanced Entry'!S162="","",IFERROR(MAX(0,MIN(10,ROUND(IF('Advanced Entry'!S$8="Decrease Risk",10-10*((IF('Advanced Entry'!S$5="Logarithm",LN(0.001+'Advanced Entry'!S162),IF('Advanced Entry'!S$5="Exponential",EXP('Advanced Entry'!S162),'Advanced Entry'!S162)))-'Advanced Entry'!S$6)/('Advanced Entry'!S$7-'Advanced Entry'!S$6),10*((IF('Advanced Entry'!S$5="Logarithm",LN(0.001+'Advanced Entry'!S162),IF('Advanced Entry'!S$5="Exponential",EXP('Advanced Entry'!S162),'Advanced Entry'!S162)))-'Advanced Entry'!S$6)/('Advanced Entry'!S$7-'Advanced Entry'!S$6)),1))),"No data"))</f>
        <v/>
      </c>
      <c r="T162" s="17">
        <f>IF('Advanced Entry'!T162="","",IFERROR(MAX(0,MIN(10,ROUND(IF('Advanced Entry'!T$8="Decrease Risk",10-10*((IF('Advanced Entry'!T$5="Logarithm",LN(0.001+'Advanced Entry'!T162),IF('Advanced Entry'!T$5="Exponential",EXP('Advanced Entry'!T162),'Advanced Entry'!T162)))-'Advanced Entry'!T$6)/('Advanced Entry'!T$7-'Advanced Entry'!T$6),10*((IF('Advanced Entry'!T$5="Logarithm",LN(0.001+'Advanced Entry'!T162),IF('Advanced Entry'!T$5="Exponential",EXP('Advanced Entry'!T162),'Advanced Entry'!T162)))-'Advanced Entry'!T$6)/('Advanced Entry'!T$7-'Advanced Entry'!T$6)),1))),"No data"))</f>
        <v/>
      </c>
      <c r="U162" s="17">
        <f>IF('Advanced Entry'!U162="","",IFERROR(MAX(0,MIN(10,ROUND(IF('Advanced Entry'!U$8="Decrease Risk",10-10*((IF('Advanced Entry'!U$5="Logarithm",LN(0.001+'Advanced Entry'!U162),IF('Advanced Entry'!U$5="Exponential",EXP('Advanced Entry'!U162),'Advanced Entry'!U162)))-'Advanced Entry'!U$6)/('Advanced Entry'!U$7-'Advanced Entry'!U$6),10*((IF('Advanced Entry'!U$5="Logarithm",LN(0.001+'Advanced Entry'!U162),IF('Advanced Entry'!U$5="Exponential",EXP('Advanced Entry'!U162),'Advanced Entry'!U162)))-'Advanced Entry'!U$6)/('Advanced Entry'!U$7-'Advanced Entry'!U$6)),1))),"No data"))</f>
        <v/>
      </c>
      <c r="V162" s="17">
        <f>IF('Advanced Entry'!V162="","",IFERROR(MAX(0,MIN(10,ROUND(IF('Advanced Entry'!V$8="Decrease Risk",10-10*((IF('Advanced Entry'!V$5="Logarithm",LN(0.001+'Advanced Entry'!V162),IF('Advanced Entry'!V$5="Exponential",EXP('Advanced Entry'!V162),'Advanced Entry'!V162)))-'Advanced Entry'!V$6)/('Advanced Entry'!V$7-'Advanced Entry'!V$6),10*((IF('Advanced Entry'!V$5="Logarithm",LN(0.001+'Advanced Entry'!V162),IF('Advanced Entry'!V$5="Exponential",EXP('Advanced Entry'!V162),'Advanced Entry'!V162)))-'Advanced Entry'!V$6)/('Advanced Entry'!V$7-'Advanced Entry'!V$6)),1))),"No data"))</f>
        <v/>
      </c>
      <c r="W162" s="17">
        <f>IF('Advanced Entry'!W162="","",IFERROR(MAX(0,MIN(10,ROUND(IF('Advanced Entry'!W$8="Decrease Risk",10-10*((IF('Advanced Entry'!W$5="Logarithm",LN(0.001+'Advanced Entry'!W162),IF('Advanced Entry'!W$5="Exponential",EXP('Advanced Entry'!W162),'Advanced Entry'!W162)))-'Advanced Entry'!W$6)/('Advanced Entry'!W$7-'Advanced Entry'!W$6),10*((IF('Advanced Entry'!W$5="Logarithm",LN(0.001+'Advanced Entry'!W162),IF('Advanced Entry'!W$5="Exponential",EXP('Advanced Entry'!W162),'Advanced Entry'!W162)))-'Advanced Entry'!W$6)/('Advanced Entry'!W$7-'Advanced Entry'!W$6)),1))),"No data"))</f>
        <v/>
      </c>
      <c r="X162" s="17">
        <f>IF('Advanced Entry'!X162="","",IFERROR(MAX(0,MIN(10,ROUND(IF('Advanced Entry'!X$8="Decrease Risk",10-10*((IF('Advanced Entry'!X$5="Logarithm",LN(0.001+'Advanced Entry'!X162),IF('Advanced Entry'!X$5="Exponential",EXP('Advanced Entry'!X162),'Advanced Entry'!X162)))-'Advanced Entry'!X$6)/('Advanced Entry'!X$7-'Advanced Entry'!X$6),10*((IF('Advanced Entry'!X$5="Logarithm",LN(0.001+'Advanced Entry'!X162),IF('Advanced Entry'!X$5="Exponential",EXP('Advanced Entry'!X162),'Advanced Entry'!X162)))-'Advanced Entry'!X$6)/('Advanced Entry'!X$7-'Advanced Entry'!X$6)),1))),"No data"))</f>
        <v/>
      </c>
      <c r="Y162" s="17">
        <f>IF('Advanced Entry'!Y162="","",IFERROR(MAX(0,MIN(10,ROUND(IF('Advanced Entry'!Y$8="Decrease Risk",10-10*((IF('Advanced Entry'!Y$5="Logarithm",LN(0.001+'Advanced Entry'!Y162),IF('Advanced Entry'!Y$5="Exponential",EXP('Advanced Entry'!Y162),'Advanced Entry'!Y162)))-'Advanced Entry'!Y$6)/('Advanced Entry'!Y$7-'Advanced Entry'!Y$6),10*((IF('Advanced Entry'!Y$5="Logarithm",LN(0.001+'Advanced Entry'!Y162),IF('Advanced Entry'!Y$5="Exponential",EXP('Advanced Entry'!Y162),'Advanced Entry'!Y162)))-'Advanced Entry'!Y$6)/('Advanced Entry'!Y$7-'Advanced Entry'!Y$6)),1))),"No data"))</f>
        <v/>
      </c>
      <c r="Z162" s="17">
        <f>IF('Advanced Entry'!Z162="","",IFERROR(MAX(0,MIN(10,ROUND(IF('Advanced Entry'!Z$8="Decrease Risk",10-10*((IF('Advanced Entry'!Z$5="Logarithm",LN(0.001+'Advanced Entry'!Z162),IF('Advanced Entry'!Z$5="Exponential",EXP('Advanced Entry'!Z162),'Advanced Entry'!Z162)))-'Advanced Entry'!Z$6)/('Advanced Entry'!Z$7-'Advanced Entry'!Z$6),10*((IF('Advanced Entry'!Z$5="Logarithm",LN(0.001+'Advanced Entry'!Z162),IF('Advanced Entry'!Z$5="Exponential",EXP('Advanced Entry'!Z162),'Advanced Entry'!Z162)))-'Advanced Entry'!Z$6)/('Advanced Entry'!Z$7-'Advanced Entry'!Z$6)),1))),"No data"))</f>
        <v/>
      </c>
      <c r="AA162" s="17">
        <f>IF('Advanced Entry'!AA162="","",IFERROR(MAX(0,MIN(10,ROUND(IF('Advanced Entry'!AA$8="Decrease Risk",10-10*((IF('Advanced Entry'!AA$5="Logarithm",LN(0.001+'Advanced Entry'!AA162),IF('Advanced Entry'!AA$5="Exponential",EXP('Advanced Entry'!AA162),'Advanced Entry'!AA162)))-'Advanced Entry'!AA$6)/('Advanced Entry'!AA$7-'Advanced Entry'!AA$6),10*((IF('Advanced Entry'!AA$5="Logarithm",LN(0.001+'Advanced Entry'!AA162),IF('Advanced Entry'!AA$5="Exponential",EXP('Advanced Entry'!AA162),'Advanced Entry'!AA162)))-'Advanced Entry'!AA$6)/('Advanced Entry'!AA$7-'Advanced Entry'!AA$6)),1))),"No data"))</f>
        <v/>
      </c>
      <c r="AB162" s="17">
        <f>IF('Advanced Entry'!AB162="","",IFERROR(MAX(0,MIN(10,ROUND(IF('Advanced Entry'!AB$8="Decrease Risk",10-10*((IF('Advanced Entry'!AB$5="Logarithm",LN(0.001+'Advanced Entry'!AB162),IF('Advanced Entry'!AB$5="Exponential",EXP('Advanced Entry'!AB162),'Advanced Entry'!AB162)))-'Advanced Entry'!AB$6)/('Advanced Entry'!AB$7-'Advanced Entry'!AB$6),10*((IF('Advanced Entry'!AB$5="Logarithm",LN(0.001+'Advanced Entry'!AB162),IF('Advanced Entry'!AB$5="Exponential",EXP('Advanced Entry'!AB162),'Advanced Entry'!AB162)))-'Advanced Entry'!AB$6)/('Advanced Entry'!AB$7-'Advanced Entry'!AB$6)),1))),"No data"))</f>
        <v/>
      </c>
    </row>
    <row r="163">
      <c r="A163" t="inlineStr">
        <is>
          <t>Shinyanga</t>
        </is>
      </c>
      <c r="B163" t="inlineStr">
        <is>
          <t>Kahama Municipal</t>
        </is>
      </c>
      <c r="C163" t="inlineStr">
        <is>
          <t>C120</t>
        </is>
      </c>
      <c r="D163" s="17">
        <f>IF('Advanced Entry'!D163="","",IFERROR(MAX(0,MIN(10,ROUND(IF('Advanced Entry'!D$8="Decrease Risk",10-10*((IF('Advanced Entry'!D$5="Logarithm",LN(0.001+'Advanced Entry'!D163),IF('Advanced Entry'!D$5="Exponential",EXP('Advanced Entry'!D163),'Advanced Entry'!D163)))-'Advanced Entry'!D$6)/('Advanced Entry'!D$7-'Advanced Entry'!D$6),10*((IF('Advanced Entry'!D$5="Logarithm",LN(0.001+'Advanced Entry'!D163),IF('Advanced Entry'!D$5="Exponential",EXP('Advanced Entry'!D163),'Advanced Entry'!D163)))-'Advanced Entry'!D$6)/('Advanced Entry'!D$7-'Advanced Entry'!D$6)),1))),"No data"))</f>
        <v/>
      </c>
      <c r="E163" s="17">
        <f>IF('Advanced Entry'!E163="","",IFERROR(MAX(0,MIN(10,ROUND(IF('Advanced Entry'!E$8="Decrease Risk",10-10*((IF('Advanced Entry'!E$5="Logarithm",LN(0.001+'Advanced Entry'!E163),IF('Advanced Entry'!E$5="Exponential",EXP('Advanced Entry'!E163),'Advanced Entry'!E163)))-'Advanced Entry'!E$6)/('Advanced Entry'!E$7-'Advanced Entry'!E$6),10*((IF('Advanced Entry'!E$5="Logarithm",LN(0.001+'Advanced Entry'!E163),IF('Advanced Entry'!E$5="Exponential",EXP('Advanced Entry'!E163),'Advanced Entry'!E163)))-'Advanced Entry'!E$6)/('Advanced Entry'!E$7-'Advanced Entry'!E$6)),1))),"No data"))</f>
        <v/>
      </c>
      <c r="F163" s="17">
        <f>IF('Advanced Entry'!F163="","",IFERROR(MAX(0,MIN(10,ROUND(IF('Advanced Entry'!F$8="Decrease Risk",10-10*((IF('Advanced Entry'!F$5="Logarithm",LN(0.001+'Advanced Entry'!F163),IF('Advanced Entry'!F$5="Exponential",EXP('Advanced Entry'!F163),'Advanced Entry'!F163)))-'Advanced Entry'!F$6)/('Advanced Entry'!F$7-'Advanced Entry'!F$6),10*((IF('Advanced Entry'!F$5="Logarithm",LN(0.001+'Advanced Entry'!F163),IF('Advanced Entry'!F$5="Exponential",EXP('Advanced Entry'!F163),'Advanced Entry'!F163)))-'Advanced Entry'!F$6)/('Advanced Entry'!F$7-'Advanced Entry'!F$6)),1))),"No data"))</f>
        <v/>
      </c>
      <c r="G163" s="17">
        <f>IF('Advanced Entry'!G163="","",IFERROR(MAX(0,MIN(10,ROUND(IF('Advanced Entry'!G$8="Decrease Risk",10-10*((IF('Advanced Entry'!G$5="Logarithm",LN(0.001+'Advanced Entry'!G163),IF('Advanced Entry'!G$5="Exponential",EXP('Advanced Entry'!G163),'Advanced Entry'!G163)))-'Advanced Entry'!G$6)/('Advanced Entry'!G$7-'Advanced Entry'!G$6),10*((IF('Advanced Entry'!G$5="Logarithm",LN(0.001+'Advanced Entry'!G163),IF('Advanced Entry'!G$5="Exponential",EXP('Advanced Entry'!G163),'Advanced Entry'!G163)))-'Advanced Entry'!G$6)/('Advanced Entry'!G$7-'Advanced Entry'!G$6)),1))),"No data"))</f>
        <v/>
      </c>
      <c r="H163" s="17">
        <f>IF('Advanced Entry'!H163="","",IFERROR(MAX(0,MIN(10,ROUND(IF('Advanced Entry'!H$8="Decrease Risk",10-10*((IF('Advanced Entry'!H$5="Logarithm",LN(0.001+'Advanced Entry'!H163),IF('Advanced Entry'!H$5="Exponential",EXP('Advanced Entry'!H163),'Advanced Entry'!H163)))-'Advanced Entry'!H$6)/('Advanced Entry'!H$7-'Advanced Entry'!H$6),10*((IF('Advanced Entry'!H$5="Logarithm",LN(0.001+'Advanced Entry'!H163),IF('Advanced Entry'!H$5="Exponential",EXP('Advanced Entry'!H163),'Advanced Entry'!H163)))-'Advanced Entry'!H$6)/('Advanced Entry'!H$7-'Advanced Entry'!H$6)),1))),"No data"))</f>
        <v/>
      </c>
      <c r="I163" s="17">
        <f>IF('Advanced Entry'!I163="","",IFERROR(MAX(0,MIN(10,ROUND(IF('Advanced Entry'!I$8="Decrease Risk",10-10*((IF('Advanced Entry'!I$5="Logarithm",LN(0.001+'Advanced Entry'!I163),IF('Advanced Entry'!I$5="Exponential",EXP('Advanced Entry'!I163),'Advanced Entry'!I163)))-'Advanced Entry'!I$6)/('Advanced Entry'!I$7-'Advanced Entry'!I$6),10*((IF('Advanced Entry'!I$5="Logarithm",LN(0.001+'Advanced Entry'!I163),IF('Advanced Entry'!I$5="Exponential",EXP('Advanced Entry'!I163),'Advanced Entry'!I163)))-'Advanced Entry'!I$6)/('Advanced Entry'!I$7-'Advanced Entry'!I$6)),1))),"No data"))</f>
        <v/>
      </c>
      <c r="J163" s="17">
        <f>IF('Advanced Entry'!J163="","",IFERROR(MAX(0,MIN(10,ROUND(IF('Advanced Entry'!J$8="Decrease Risk",10-10*((IF('Advanced Entry'!J$5="Logarithm",LN(0.001+'Advanced Entry'!J163),IF('Advanced Entry'!J$5="Exponential",EXP('Advanced Entry'!J163),'Advanced Entry'!J163)))-'Advanced Entry'!J$6)/('Advanced Entry'!J$7-'Advanced Entry'!J$6),10*((IF('Advanced Entry'!J$5="Logarithm",LN(0.001+'Advanced Entry'!J163),IF('Advanced Entry'!J$5="Exponential",EXP('Advanced Entry'!J163),'Advanced Entry'!J163)))-'Advanced Entry'!J$6)/('Advanced Entry'!J$7-'Advanced Entry'!J$6)),1))),"No data"))</f>
        <v/>
      </c>
      <c r="K163" s="17">
        <f>IF('Advanced Entry'!K163="","",IFERROR(MAX(0,MIN(10,ROUND(IF('Advanced Entry'!K$8="Decrease Risk",10-10*((IF('Advanced Entry'!K$5="Logarithm",LN(0.001+'Advanced Entry'!K163),IF('Advanced Entry'!K$5="Exponential",EXP('Advanced Entry'!K163),'Advanced Entry'!K163)))-'Advanced Entry'!K$6)/('Advanced Entry'!K$7-'Advanced Entry'!K$6),10*((IF('Advanced Entry'!K$5="Logarithm",LN(0.001+'Advanced Entry'!K163),IF('Advanced Entry'!K$5="Exponential",EXP('Advanced Entry'!K163),'Advanced Entry'!K163)))-'Advanced Entry'!K$6)/('Advanced Entry'!K$7-'Advanced Entry'!K$6)),1))),"No data"))</f>
        <v/>
      </c>
      <c r="L163" s="17">
        <f>IF('Advanced Entry'!L163="","",IFERROR(MAX(0,MIN(10,ROUND(IF('Advanced Entry'!L$8="Decrease Risk",10-10*((IF('Advanced Entry'!L$5="Logarithm",LN(0.001+'Advanced Entry'!L163),IF('Advanced Entry'!L$5="Exponential",EXP('Advanced Entry'!L163),'Advanced Entry'!L163)))-'Advanced Entry'!L$6)/('Advanced Entry'!L$7-'Advanced Entry'!L$6),10*((IF('Advanced Entry'!L$5="Logarithm",LN(0.001+'Advanced Entry'!L163),IF('Advanced Entry'!L$5="Exponential",EXP('Advanced Entry'!L163),'Advanced Entry'!L163)))-'Advanced Entry'!L$6)/('Advanced Entry'!L$7-'Advanced Entry'!L$6)),1))),"No data"))</f>
        <v/>
      </c>
      <c r="M163" s="17">
        <f>IF('Advanced Entry'!M163="","",IFERROR(MAX(0,MIN(10,ROUND(IF('Advanced Entry'!M$8="Decrease Risk",10-10*((IF('Advanced Entry'!M$5="Logarithm",LN(0.001+'Advanced Entry'!M163),IF('Advanced Entry'!M$5="Exponential",EXP('Advanced Entry'!M163),'Advanced Entry'!M163)))-'Advanced Entry'!M$6)/('Advanced Entry'!M$7-'Advanced Entry'!M$6),10*((IF('Advanced Entry'!M$5="Logarithm",LN(0.001+'Advanced Entry'!M163),IF('Advanced Entry'!M$5="Exponential",EXP('Advanced Entry'!M163),'Advanced Entry'!M163)))-'Advanced Entry'!M$6)/('Advanced Entry'!M$7-'Advanced Entry'!M$6)),1))),"No data"))</f>
        <v/>
      </c>
      <c r="N163" s="17">
        <f>IF('Advanced Entry'!N163="","",IFERROR(MAX(0,MIN(10,ROUND(IF('Advanced Entry'!N$8="Decrease Risk",10-10*((IF('Advanced Entry'!N$5="Logarithm",LN(0.001+'Advanced Entry'!N163),IF('Advanced Entry'!N$5="Exponential",EXP('Advanced Entry'!N163),'Advanced Entry'!N163)))-'Advanced Entry'!N$6)/('Advanced Entry'!N$7-'Advanced Entry'!N$6),10*((IF('Advanced Entry'!N$5="Logarithm",LN(0.001+'Advanced Entry'!N163),IF('Advanced Entry'!N$5="Exponential",EXP('Advanced Entry'!N163),'Advanced Entry'!N163)))-'Advanced Entry'!N$6)/('Advanced Entry'!N$7-'Advanced Entry'!N$6)),1))),"No data"))</f>
        <v/>
      </c>
      <c r="O163" s="17">
        <f>IF('Advanced Entry'!O163="","",IFERROR(MAX(0,MIN(10,ROUND(IF('Advanced Entry'!O$8="Decrease Risk",10-10*((IF('Advanced Entry'!O$5="Logarithm",LN(0.001+'Advanced Entry'!O163),IF('Advanced Entry'!O$5="Exponential",EXP('Advanced Entry'!O163),'Advanced Entry'!O163)))-'Advanced Entry'!O$6)/('Advanced Entry'!O$7-'Advanced Entry'!O$6),10*((IF('Advanced Entry'!O$5="Logarithm",LN(0.001+'Advanced Entry'!O163),IF('Advanced Entry'!O$5="Exponential",EXP('Advanced Entry'!O163),'Advanced Entry'!O163)))-'Advanced Entry'!O$6)/('Advanced Entry'!O$7-'Advanced Entry'!O$6)),1))),"No data"))</f>
        <v/>
      </c>
      <c r="P163" s="17">
        <f>IF('Advanced Entry'!P163="","",IFERROR(MAX(0,MIN(10,ROUND(IF('Advanced Entry'!P$8="Decrease Risk",10-10*((IF('Advanced Entry'!P$5="Logarithm",LN(0.001+'Advanced Entry'!P163),IF('Advanced Entry'!P$5="Exponential",EXP('Advanced Entry'!P163),'Advanced Entry'!P163)))-'Advanced Entry'!P$6)/('Advanced Entry'!P$7-'Advanced Entry'!P$6),10*((IF('Advanced Entry'!P$5="Logarithm",LN(0.001+'Advanced Entry'!P163),IF('Advanced Entry'!P$5="Exponential",EXP('Advanced Entry'!P163),'Advanced Entry'!P163)))-'Advanced Entry'!P$6)/('Advanced Entry'!P$7-'Advanced Entry'!P$6)),1))),"No data"))</f>
        <v/>
      </c>
      <c r="Q163" s="17">
        <f>IF('Advanced Entry'!Q163="","",IFERROR(MAX(0,MIN(10,ROUND(IF('Advanced Entry'!Q$8="Decrease Risk",10-10*((IF('Advanced Entry'!Q$5="Logarithm",LN(0.001+'Advanced Entry'!Q163),IF('Advanced Entry'!Q$5="Exponential",EXP('Advanced Entry'!Q163),'Advanced Entry'!Q163)))-'Advanced Entry'!Q$6)/('Advanced Entry'!Q$7-'Advanced Entry'!Q$6),10*((IF('Advanced Entry'!Q$5="Logarithm",LN(0.001+'Advanced Entry'!Q163),IF('Advanced Entry'!Q$5="Exponential",EXP('Advanced Entry'!Q163),'Advanced Entry'!Q163)))-'Advanced Entry'!Q$6)/('Advanced Entry'!Q$7-'Advanced Entry'!Q$6)),1))),"No data"))</f>
        <v/>
      </c>
      <c r="R163" s="17">
        <f>IF('Advanced Entry'!R163="","",IFERROR(MAX(0,MIN(10,ROUND(IF('Advanced Entry'!R$8="Decrease Risk",10-10*((IF('Advanced Entry'!R$5="Logarithm",LN(0.001+'Advanced Entry'!R163),IF('Advanced Entry'!R$5="Exponential",EXP('Advanced Entry'!R163),'Advanced Entry'!R163)))-'Advanced Entry'!R$6)/('Advanced Entry'!R$7-'Advanced Entry'!R$6),10*((IF('Advanced Entry'!R$5="Logarithm",LN(0.001+'Advanced Entry'!R163),IF('Advanced Entry'!R$5="Exponential",EXP('Advanced Entry'!R163),'Advanced Entry'!R163)))-'Advanced Entry'!R$6)/('Advanced Entry'!R$7-'Advanced Entry'!R$6)),1))),"No data"))</f>
        <v/>
      </c>
      <c r="S163" s="17">
        <f>IF('Advanced Entry'!S163="","",IFERROR(MAX(0,MIN(10,ROUND(IF('Advanced Entry'!S$8="Decrease Risk",10-10*((IF('Advanced Entry'!S$5="Logarithm",LN(0.001+'Advanced Entry'!S163),IF('Advanced Entry'!S$5="Exponential",EXP('Advanced Entry'!S163),'Advanced Entry'!S163)))-'Advanced Entry'!S$6)/('Advanced Entry'!S$7-'Advanced Entry'!S$6),10*((IF('Advanced Entry'!S$5="Logarithm",LN(0.001+'Advanced Entry'!S163),IF('Advanced Entry'!S$5="Exponential",EXP('Advanced Entry'!S163),'Advanced Entry'!S163)))-'Advanced Entry'!S$6)/('Advanced Entry'!S$7-'Advanced Entry'!S$6)),1))),"No data"))</f>
        <v/>
      </c>
      <c r="T163" s="17">
        <f>IF('Advanced Entry'!T163="","",IFERROR(MAX(0,MIN(10,ROUND(IF('Advanced Entry'!T$8="Decrease Risk",10-10*((IF('Advanced Entry'!T$5="Logarithm",LN(0.001+'Advanced Entry'!T163),IF('Advanced Entry'!T$5="Exponential",EXP('Advanced Entry'!T163),'Advanced Entry'!T163)))-'Advanced Entry'!T$6)/('Advanced Entry'!T$7-'Advanced Entry'!T$6),10*((IF('Advanced Entry'!T$5="Logarithm",LN(0.001+'Advanced Entry'!T163),IF('Advanced Entry'!T$5="Exponential",EXP('Advanced Entry'!T163),'Advanced Entry'!T163)))-'Advanced Entry'!T$6)/('Advanced Entry'!T$7-'Advanced Entry'!T$6)),1))),"No data"))</f>
        <v/>
      </c>
      <c r="U163" s="17">
        <f>IF('Advanced Entry'!U163="","",IFERROR(MAX(0,MIN(10,ROUND(IF('Advanced Entry'!U$8="Decrease Risk",10-10*((IF('Advanced Entry'!U$5="Logarithm",LN(0.001+'Advanced Entry'!U163),IF('Advanced Entry'!U$5="Exponential",EXP('Advanced Entry'!U163),'Advanced Entry'!U163)))-'Advanced Entry'!U$6)/('Advanced Entry'!U$7-'Advanced Entry'!U$6),10*((IF('Advanced Entry'!U$5="Logarithm",LN(0.001+'Advanced Entry'!U163),IF('Advanced Entry'!U$5="Exponential",EXP('Advanced Entry'!U163),'Advanced Entry'!U163)))-'Advanced Entry'!U$6)/('Advanced Entry'!U$7-'Advanced Entry'!U$6)),1))),"No data"))</f>
        <v/>
      </c>
      <c r="V163" s="17">
        <f>IF('Advanced Entry'!V163="","",IFERROR(MAX(0,MIN(10,ROUND(IF('Advanced Entry'!V$8="Decrease Risk",10-10*((IF('Advanced Entry'!V$5="Logarithm",LN(0.001+'Advanced Entry'!V163),IF('Advanced Entry'!V$5="Exponential",EXP('Advanced Entry'!V163),'Advanced Entry'!V163)))-'Advanced Entry'!V$6)/('Advanced Entry'!V$7-'Advanced Entry'!V$6),10*((IF('Advanced Entry'!V$5="Logarithm",LN(0.001+'Advanced Entry'!V163),IF('Advanced Entry'!V$5="Exponential",EXP('Advanced Entry'!V163),'Advanced Entry'!V163)))-'Advanced Entry'!V$6)/('Advanced Entry'!V$7-'Advanced Entry'!V$6)),1))),"No data"))</f>
        <v/>
      </c>
      <c r="W163" s="17">
        <f>IF('Advanced Entry'!W163="","",IFERROR(MAX(0,MIN(10,ROUND(IF('Advanced Entry'!W$8="Decrease Risk",10-10*((IF('Advanced Entry'!W$5="Logarithm",LN(0.001+'Advanced Entry'!W163),IF('Advanced Entry'!W$5="Exponential",EXP('Advanced Entry'!W163),'Advanced Entry'!W163)))-'Advanced Entry'!W$6)/('Advanced Entry'!W$7-'Advanced Entry'!W$6),10*((IF('Advanced Entry'!W$5="Logarithm",LN(0.001+'Advanced Entry'!W163),IF('Advanced Entry'!W$5="Exponential",EXP('Advanced Entry'!W163),'Advanced Entry'!W163)))-'Advanced Entry'!W$6)/('Advanced Entry'!W$7-'Advanced Entry'!W$6)),1))),"No data"))</f>
        <v/>
      </c>
      <c r="X163" s="17">
        <f>IF('Advanced Entry'!X163="","",IFERROR(MAX(0,MIN(10,ROUND(IF('Advanced Entry'!X$8="Decrease Risk",10-10*((IF('Advanced Entry'!X$5="Logarithm",LN(0.001+'Advanced Entry'!X163),IF('Advanced Entry'!X$5="Exponential",EXP('Advanced Entry'!X163),'Advanced Entry'!X163)))-'Advanced Entry'!X$6)/('Advanced Entry'!X$7-'Advanced Entry'!X$6),10*((IF('Advanced Entry'!X$5="Logarithm",LN(0.001+'Advanced Entry'!X163),IF('Advanced Entry'!X$5="Exponential",EXP('Advanced Entry'!X163),'Advanced Entry'!X163)))-'Advanced Entry'!X$6)/('Advanced Entry'!X$7-'Advanced Entry'!X$6)),1))),"No data"))</f>
        <v/>
      </c>
      <c r="Y163" s="17">
        <f>IF('Advanced Entry'!Y163="","",IFERROR(MAX(0,MIN(10,ROUND(IF('Advanced Entry'!Y$8="Decrease Risk",10-10*((IF('Advanced Entry'!Y$5="Logarithm",LN(0.001+'Advanced Entry'!Y163),IF('Advanced Entry'!Y$5="Exponential",EXP('Advanced Entry'!Y163),'Advanced Entry'!Y163)))-'Advanced Entry'!Y$6)/('Advanced Entry'!Y$7-'Advanced Entry'!Y$6),10*((IF('Advanced Entry'!Y$5="Logarithm",LN(0.001+'Advanced Entry'!Y163),IF('Advanced Entry'!Y$5="Exponential",EXP('Advanced Entry'!Y163),'Advanced Entry'!Y163)))-'Advanced Entry'!Y$6)/('Advanced Entry'!Y$7-'Advanced Entry'!Y$6)),1))),"No data"))</f>
        <v/>
      </c>
      <c r="Z163" s="17">
        <f>IF('Advanced Entry'!Z163="","",IFERROR(MAX(0,MIN(10,ROUND(IF('Advanced Entry'!Z$8="Decrease Risk",10-10*((IF('Advanced Entry'!Z$5="Logarithm",LN(0.001+'Advanced Entry'!Z163),IF('Advanced Entry'!Z$5="Exponential",EXP('Advanced Entry'!Z163),'Advanced Entry'!Z163)))-'Advanced Entry'!Z$6)/('Advanced Entry'!Z$7-'Advanced Entry'!Z$6),10*((IF('Advanced Entry'!Z$5="Logarithm",LN(0.001+'Advanced Entry'!Z163),IF('Advanced Entry'!Z$5="Exponential",EXP('Advanced Entry'!Z163),'Advanced Entry'!Z163)))-'Advanced Entry'!Z$6)/('Advanced Entry'!Z$7-'Advanced Entry'!Z$6)),1))),"No data"))</f>
        <v/>
      </c>
      <c r="AA163" s="17">
        <f>IF('Advanced Entry'!AA163="","",IFERROR(MAX(0,MIN(10,ROUND(IF('Advanced Entry'!AA$8="Decrease Risk",10-10*((IF('Advanced Entry'!AA$5="Logarithm",LN(0.001+'Advanced Entry'!AA163),IF('Advanced Entry'!AA$5="Exponential",EXP('Advanced Entry'!AA163),'Advanced Entry'!AA163)))-'Advanced Entry'!AA$6)/('Advanced Entry'!AA$7-'Advanced Entry'!AA$6),10*((IF('Advanced Entry'!AA$5="Logarithm",LN(0.001+'Advanced Entry'!AA163),IF('Advanced Entry'!AA$5="Exponential",EXP('Advanced Entry'!AA163),'Advanced Entry'!AA163)))-'Advanced Entry'!AA$6)/('Advanced Entry'!AA$7-'Advanced Entry'!AA$6)),1))),"No data"))</f>
        <v/>
      </c>
      <c r="AB163" s="17">
        <f>IF('Advanced Entry'!AB163="","",IFERROR(MAX(0,MIN(10,ROUND(IF('Advanced Entry'!AB$8="Decrease Risk",10-10*((IF('Advanced Entry'!AB$5="Logarithm",LN(0.001+'Advanced Entry'!AB163),IF('Advanced Entry'!AB$5="Exponential",EXP('Advanced Entry'!AB163),'Advanced Entry'!AB163)))-'Advanced Entry'!AB$6)/('Advanced Entry'!AB$7-'Advanced Entry'!AB$6),10*((IF('Advanced Entry'!AB$5="Logarithm",LN(0.001+'Advanced Entry'!AB163),IF('Advanced Entry'!AB$5="Exponential",EXP('Advanced Entry'!AB163),'Advanced Entry'!AB163)))-'Advanced Entry'!AB$6)/('Advanced Entry'!AB$7-'Advanced Entry'!AB$6)),1))),"No data"))</f>
        <v/>
      </c>
    </row>
    <row r="164">
      <c r="A164" t="inlineStr">
        <is>
          <t>Shinyanga</t>
        </is>
      </c>
      <c r="B164" t="inlineStr">
        <is>
          <t>Kishapu District</t>
        </is>
      </c>
      <c r="C164" t="inlineStr">
        <is>
          <t>C122</t>
        </is>
      </c>
      <c r="D164" s="17">
        <f>IF('Advanced Entry'!D164="","",IFERROR(MAX(0,MIN(10,ROUND(IF('Advanced Entry'!D$8="Decrease Risk",10-10*((IF('Advanced Entry'!D$5="Logarithm",LN(0.001+'Advanced Entry'!D164),IF('Advanced Entry'!D$5="Exponential",EXP('Advanced Entry'!D164),'Advanced Entry'!D164)))-'Advanced Entry'!D$6)/('Advanced Entry'!D$7-'Advanced Entry'!D$6),10*((IF('Advanced Entry'!D$5="Logarithm",LN(0.001+'Advanced Entry'!D164),IF('Advanced Entry'!D$5="Exponential",EXP('Advanced Entry'!D164),'Advanced Entry'!D164)))-'Advanced Entry'!D$6)/('Advanced Entry'!D$7-'Advanced Entry'!D$6)),1))),"No data"))</f>
        <v/>
      </c>
      <c r="E164" s="17">
        <f>IF('Advanced Entry'!E164="","",IFERROR(MAX(0,MIN(10,ROUND(IF('Advanced Entry'!E$8="Decrease Risk",10-10*((IF('Advanced Entry'!E$5="Logarithm",LN(0.001+'Advanced Entry'!E164),IF('Advanced Entry'!E$5="Exponential",EXP('Advanced Entry'!E164),'Advanced Entry'!E164)))-'Advanced Entry'!E$6)/('Advanced Entry'!E$7-'Advanced Entry'!E$6),10*((IF('Advanced Entry'!E$5="Logarithm",LN(0.001+'Advanced Entry'!E164),IF('Advanced Entry'!E$5="Exponential",EXP('Advanced Entry'!E164),'Advanced Entry'!E164)))-'Advanced Entry'!E$6)/('Advanced Entry'!E$7-'Advanced Entry'!E$6)),1))),"No data"))</f>
        <v/>
      </c>
      <c r="F164" s="17">
        <f>IF('Advanced Entry'!F164="","",IFERROR(MAX(0,MIN(10,ROUND(IF('Advanced Entry'!F$8="Decrease Risk",10-10*((IF('Advanced Entry'!F$5="Logarithm",LN(0.001+'Advanced Entry'!F164),IF('Advanced Entry'!F$5="Exponential",EXP('Advanced Entry'!F164),'Advanced Entry'!F164)))-'Advanced Entry'!F$6)/('Advanced Entry'!F$7-'Advanced Entry'!F$6),10*((IF('Advanced Entry'!F$5="Logarithm",LN(0.001+'Advanced Entry'!F164),IF('Advanced Entry'!F$5="Exponential",EXP('Advanced Entry'!F164),'Advanced Entry'!F164)))-'Advanced Entry'!F$6)/('Advanced Entry'!F$7-'Advanced Entry'!F$6)),1))),"No data"))</f>
        <v/>
      </c>
      <c r="G164" s="17">
        <f>IF('Advanced Entry'!G164="","",IFERROR(MAX(0,MIN(10,ROUND(IF('Advanced Entry'!G$8="Decrease Risk",10-10*((IF('Advanced Entry'!G$5="Logarithm",LN(0.001+'Advanced Entry'!G164),IF('Advanced Entry'!G$5="Exponential",EXP('Advanced Entry'!G164),'Advanced Entry'!G164)))-'Advanced Entry'!G$6)/('Advanced Entry'!G$7-'Advanced Entry'!G$6),10*((IF('Advanced Entry'!G$5="Logarithm",LN(0.001+'Advanced Entry'!G164),IF('Advanced Entry'!G$5="Exponential",EXP('Advanced Entry'!G164),'Advanced Entry'!G164)))-'Advanced Entry'!G$6)/('Advanced Entry'!G$7-'Advanced Entry'!G$6)),1))),"No data"))</f>
        <v/>
      </c>
      <c r="H164" s="17">
        <f>IF('Advanced Entry'!H164="","",IFERROR(MAX(0,MIN(10,ROUND(IF('Advanced Entry'!H$8="Decrease Risk",10-10*((IF('Advanced Entry'!H$5="Logarithm",LN(0.001+'Advanced Entry'!H164),IF('Advanced Entry'!H$5="Exponential",EXP('Advanced Entry'!H164),'Advanced Entry'!H164)))-'Advanced Entry'!H$6)/('Advanced Entry'!H$7-'Advanced Entry'!H$6),10*((IF('Advanced Entry'!H$5="Logarithm",LN(0.001+'Advanced Entry'!H164),IF('Advanced Entry'!H$5="Exponential",EXP('Advanced Entry'!H164),'Advanced Entry'!H164)))-'Advanced Entry'!H$6)/('Advanced Entry'!H$7-'Advanced Entry'!H$6)),1))),"No data"))</f>
        <v/>
      </c>
      <c r="I164" s="17">
        <f>IF('Advanced Entry'!I164="","",IFERROR(MAX(0,MIN(10,ROUND(IF('Advanced Entry'!I$8="Decrease Risk",10-10*((IF('Advanced Entry'!I$5="Logarithm",LN(0.001+'Advanced Entry'!I164),IF('Advanced Entry'!I$5="Exponential",EXP('Advanced Entry'!I164),'Advanced Entry'!I164)))-'Advanced Entry'!I$6)/('Advanced Entry'!I$7-'Advanced Entry'!I$6),10*((IF('Advanced Entry'!I$5="Logarithm",LN(0.001+'Advanced Entry'!I164),IF('Advanced Entry'!I$5="Exponential",EXP('Advanced Entry'!I164),'Advanced Entry'!I164)))-'Advanced Entry'!I$6)/('Advanced Entry'!I$7-'Advanced Entry'!I$6)),1))),"No data"))</f>
        <v/>
      </c>
      <c r="J164" s="17">
        <f>IF('Advanced Entry'!J164="","",IFERROR(MAX(0,MIN(10,ROUND(IF('Advanced Entry'!J$8="Decrease Risk",10-10*((IF('Advanced Entry'!J$5="Logarithm",LN(0.001+'Advanced Entry'!J164),IF('Advanced Entry'!J$5="Exponential",EXP('Advanced Entry'!J164),'Advanced Entry'!J164)))-'Advanced Entry'!J$6)/('Advanced Entry'!J$7-'Advanced Entry'!J$6),10*((IF('Advanced Entry'!J$5="Logarithm",LN(0.001+'Advanced Entry'!J164),IF('Advanced Entry'!J$5="Exponential",EXP('Advanced Entry'!J164),'Advanced Entry'!J164)))-'Advanced Entry'!J$6)/('Advanced Entry'!J$7-'Advanced Entry'!J$6)),1))),"No data"))</f>
        <v/>
      </c>
      <c r="K164" s="17">
        <f>IF('Advanced Entry'!K164="","",IFERROR(MAX(0,MIN(10,ROUND(IF('Advanced Entry'!K$8="Decrease Risk",10-10*((IF('Advanced Entry'!K$5="Logarithm",LN(0.001+'Advanced Entry'!K164),IF('Advanced Entry'!K$5="Exponential",EXP('Advanced Entry'!K164),'Advanced Entry'!K164)))-'Advanced Entry'!K$6)/('Advanced Entry'!K$7-'Advanced Entry'!K$6),10*((IF('Advanced Entry'!K$5="Logarithm",LN(0.001+'Advanced Entry'!K164),IF('Advanced Entry'!K$5="Exponential",EXP('Advanced Entry'!K164),'Advanced Entry'!K164)))-'Advanced Entry'!K$6)/('Advanced Entry'!K$7-'Advanced Entry'!K$6)),1))),"No data"))</f>
        <v/>
      </c>
      <c r="L164" s="17">
        <f>IF('Advanced Entry'!L164="","",IFERROR(MAX(0,MIN(10,ROUND(IF('Advanced Entry'!L$8="Decrease Risk",10-10*((IF('Advanced Entry'!L$5="Logarithm",LN(0.001+'Advanced Entry'!L164),IF('Advanced Entry'!L$5="Exponential",EXP('Advanced Entry'!L164),'Advanced Entry'!L164)))-'Advanced Entry'!L$6)/('Advanced Entry'!L$7-'Advanced Entry'!L$6),10*((IF('Advanced Entry'!L$5="Logarithm",LN(0.001+'Advanced Entry'!L164),IF('Advanced Entry'!L$5="Exponential",EXP('Advanced Entry'!L164),'Advanced Entry'!L164)))-'Advanced Entry'!L$6)/('Advanced Entry'!L$7-'Advanced Entry'!L$6)),1))),"No data"))</f>
        <v/>
      </c>
      <c r="M164" s="17">
        <f>IF('Advanced Entry'!M164="","",IFERROR(MAX(0,MIN(10,ROUND(IF('Advanced Entry'!M$8="Decrease Risk",10-10*((IF('Advanced Entry'!M$5="Logarithm",LN(0.001+'Advanced Entry'!M164),IF('Advanced Entry'!M$5="Exponential",EXP('Advanced Entry'!M164),'Advanced Entry'!M164)))-'Advanced Entry'!M$6)/('Advanced Entry'!M$7-'Advanced Entry'!M$6),10*((IF('Advanced Entry'!M$5="Logarithm",LN(0.001+'Advanced Entry'!M164),IF('Advanced Entry'!M$5="Exponential",EXP('Advanced Entry'!M164),'Advanced Entry'!M164)))-'Advanced Entry'!M$6)/('Advanced Entry'!M$7-'Advanced Entry'!M$6)),1))),"No data"))</f>
        <v/>
      </c>
      <c r="N164" s="17">
        <f>IF('Advanced Entry'!N164="","",IFERROR(MAX(0,MIN(10,ROUND(IF('Advanced Entry'!N$8="Decrease Risk",10-10*((IF('Advanced Entry'!N$5="Logarithm",LN(0.001+'Advanced Entry'!N164),IF('Advanced Entry'!N$5="Exponential",EXP('Advanced Entry'!N164),'Advanced Entry'!N164)))-'Advanced Entry'!N$6)/('Advanced Entry'!N$7-'Advanced Entry'!N$6),10*((IF('Advanced Entry'!N$5="Logarithm",LN(0.001+'Advanced Entry'!N164),IF('Advanced Entry'!N$5="Exponential",EXP('Advanced Entry'!N164),'Advanced Entry'!N164)))-'Advanced Entry'!N$6)/('Advanced Entry'!N$7-'Advanced Entry'!N$6)),1))),"No data"))</f>
        <v/>
      </c>
      <c r="O164" s="17">
        <f>IF('Advanced Entry'!O164="","",IFERROR(MAX(0,MIN(10,ROUND(IF('Advanced Entry'!O$8="Decrease Risk",10-10*((IF('Advanced Entry'!O$5="Logarithm",LN(0.001+'Advanced Entry'!O164),IF('Advanced Entry'!O$5="Exponential",EXP('Advanced Entry'!O164),'Advanced Entry'!O164)))-'Advanced Entry'!O$6)/('Advanced Entry'!O$7-'Advanced Entry'!O$6),10*((IF('Advanced Entry'!O$5="Logarithm",LN(0.001+'Advanced Entry'!O164),IF('Advanced Entry'!O$5="Exponential",EXP('Advanced Entry'!O164),'Advanced Entry'!O164)))-'Advanced Entry'!O$6)/('Advanced Entry'!O$7-'Advanced Entry'!O$6)),1))),"No data"))</f>
        <v/>
      </c>
      <c r="P164" s="17">
        <f>IF('Advanced Entry'!P164="","",IFERROR(MAX(0,MIN(10,ROUND(IF('Advanced Entry'!P$8="Decrease Risk",10-10*((IF('Advanced Entry'!P$5="Logarithm",LN(0.001+'Advanced Entry'!P164),IF('Advanced Entry'!P$5="Exponential",EXP('Advanced Entry'!P164),'Advanced Entry'!P164)))-'Advanced Entry'!P$6)/('Advanced Entry'!P$7-'Advanced Entry'!P$6),10*((IF('Advanced Entry'!P$5="Logarithm",LN(0.001+'Advanced Entry'!P164),IF('Advanced Entry'!P$5="Exponential",EXP('Advanced Entry'!P164),'Advanced Entry'!P164)))-'Advanced Entry'!P$6)/('Advanced Entry'!P$7-'Advanced Entry'!P$6)),1))),"No data"))</f>
        <v/>
      </c>
      <c r="Q164" s="17">
        <f>IF('Advanced Entry'!Q164="","",IFERROR(MAX(0,MIN(10,ROUND(IF('Advanced Entry'!Q$8="Decrease Risk",10-10*((IF('Advanced Entry'!Q$5="Logarithm",LN(0.001+'Advanced Entry'!Q164),IF('Advanced Entry'!Q$5="Exponential",EXP('Advanced Entry'!Q164),'Advanced Entry'!Q164)))-'Advanced Entry'!Q$6)/('Advanced Entry'!Q$7-'Advanced Entry'!Q$6),10*((IF('Advanced Entry'!Q$5="Logarithm",LN(0.001+'Advanced Entry'!Q164),IF('Advanced Entry'!Q$5="Exponential",EXP('Advanced Entry'!Q164),'Advanced Entry'!Q164)))-'Advanced Entry'!Q$6)/('Advanced Entry'!Q$7-'Advanced Entry'!Q$6)),1))),"No data"))</f>
        <v/>
      </c>
      <c r="R164" s="17">
        <f>IF('Advanced Entry'!R164="","",IFERROR(MAX(0,MIN(10,ROUND(IF('Advanced Entry'!R$8="Decrease Risk",10-10*((IF('Advanced Entry'!R$5="Logarithm",LN(0.001+'Advanced Entry'!R164),IF('Advanced Entry'!R$5="Exponential",EXP('Advanced Entry'!R164),'Advanced Entry'!R164)))-'Advanced Entry'!R$6)/('Advanced Entry'!R$7-'Advanced Entry'!R$6),10*((IF('Advanced Entry'!R$5="Logarithm",LN(0.001+'Advanced Entry'!R164),IF('Advanced Entry'!R$5="Exponential",EXP('Advanced Entry'!R164),'Advanced Entry'!R164)))-'Advanced Entry'!R$6)/('Advanced Entry'!R$7-'Advanced Entry'!R$6)),1))),"No data"))</f>
        <v/>
      </c>
      <c r="S164" s="17">
        <f>IF('Advanced Entry'!S164="","",IFERROR(MAX(0,MIN(10,ROUND(IF('Advanced Entry'!S$8="Decrease Risk",10-10*((IF('Advanced Entry'!S$5="Logarithm",LN(0.001+'Advanced Entry'!S164),IF('Advanced Entry'!S$5="Exponential",EXP('Advanced Entry'!S164),'Advanced Entry'!S164)))-'Advanced Entry'!S$6)/('Advanced Entry'!S$7-'Advanced Entry'!S$6),10*((IF('Advanced Entry'!S$5="Logarithm",LN(0.001+'Advanced Entry'!S164),IF('Advanced Entry'!S$5="Exponential",EXP('Advanced Entry'!S164),'Advanced Entry'!S164)))-'Advanced Entry'!S$6)/('Advanced Entry'!S$7-'Advanced Entry'!S$6)),1))),"No data"))</f>
        <v/>
      </c>
      <c r="T164" s="17">
        <f>IF('Advanced Entry'!T164="","",IFERROR(MAX(0,MIN(10,ROUND(IF('Advanced Entry'!T$8="Decrease Risk",10-10*((IF('Advanced Entry'!T$5="Logarithm",LN(0.001+'Advanced Entry'!T164),IF('Advanced Entry'!T$5="Exponential",EXP('Advanced Entry'!T164),'Advanced Entry'!T164)))-'Advanced Entry'!T$6)/('Advanced Entry'!T$7-'Advanced Entry'!T$6),10*((IF('Advanced Entry'!T$5="Logarithm",LN(0.001+'Advanced Entry'!T164),IF('Advanced Entry'!T$5="Exponential",EXP('Advanced Entry'!T164),'Advanced Entry'!T164)))-'Advanced Entry'!T$6)/('Advanced Entry'!T$7-'Advanced Entry'!T$6)),1))),"No data"))</f>
        <v/>
      </c>
      <c r="U164" s="17">
        <f>IF('Advanced Entry'!U164="","",IFERROR(MAX(0,MIN(10,ROUND(IF('Advanced Entry'!U$8="Decrease Risk",10-10*((IF('Advanced Entry'!U$5="Logarithm",LN(0.001+'Advanced Entry'!U164),IF('Advanced Entry'!U$5="Exponential",EXP('Advanced Entry'!U164),'Advanced Entry'!U164)))-'Advanced Entry'!U$6)/('Advanced Entry'!U$7-'Advanced Entry'!U$6),10*((IF('Advanced Entry'!U$5="Logarithm",LN(0.001+'Advanced Entry'!U164),IF('Advanced Entry'!U$5="Exponential",EXP('Advanced Entry'!U164),'Advanced Entry'!U164)))-'Advanced Entry'!U$6)/('Advanced Entry'!U$7-'Advanced Entry'!U$6)),1))),"No data"))</f>
        <v/>
      </c>
      <c r="V164" s="17">
        <f>IF('Advanced Entry'!V164="","",IFERROR(MAX(0,MIN(10,ROUND(IF('Advanced Entry'!V$8="Decrease Risk",10-10*((IF('Advanced Entry'!V$5="Logarithm",LN(0.001+'Advanced Entry'!V164),IF('Advanced Entry'!V$5="Exponential",EXP('Advanced Entry'!V164),'Advanced Entry'!V164)))-'Advanced Entry'!V$6)/('Advanced Entry'!V$7-'Advanced Entry'!V$6),10*((IF('Advanced Entry'!V$5="Logarithm",LN(0.001+'Advanced Entry'!V164),IF('Advanced Entry'!V$5="Exponential",EXP('Advanced Entry'!V164),'Advanced Entry'!V164)))-'Advanced Entry'!V$6)/('Advanced Entry'!V$7-'Advanced Entry'!V$6)),1))),"No data"))</f>
        <v/>
      </c>
      <c r="W164" s="17">
        <f>IF('Advanced Entry'!W164="","",IFERROR(MAX(0,MIN(10,ROUND(IF('Advanced Entry'!W$8="Decrease Risk",10-10*((IF('Advanced Entry'!W$5="Logarithm",LN(0.001+'Advanced Entry'!W164),IF('Advanced Entry'!W$5="Exponential",EXP('Advanced Entry'!W164),'Advanced Entry'!W164)))-'Advanced Entry'!W$6)/('Advanced Entry'!W$7-'Advanced Entry'!W$6),10*((IF('Advanced Entry'!W$5="Logarithm",LN(0.001+'Advanced Entry'!W164),IF('Advanced Entry'!W$5="Exponential",EXP('Advanced Entry'!W164),'Advanced Entry'!W164)))-'Advanced Entry'!W$6)/('Advanced Entry'!W$7-'Advanced Entry'!W$6)),1))),"No data"))</f>
        <v/>
      </c>
      <c r="X164" s="17">
        <f>IF('Advanced Entry'!X164="","",IFERROR(MAX(0,MIN(10,ROUND(IF('Advanced Entry'!X$8="Decrease Risk",10-10*((IF('Advanced Entry'!X$5="Logarithm",LN(0.001+'Advanced Entry'!X164),IF('Advanced Entry'!X$5="Exponential",EXP('Advanced Entry'!X164),'Advanced Entry'!X164)))-'Advanced Entry'!X$6)/('Advanced Entry'!X$7-'Advanced Entry'!X$6),10*((IF('Advanced Entry'!X$5="Logarithm",LN(0.001+'Advanced Entry'!X164),IF('Advanced Entry'!X$5="Exponential",EXP('Advanced Entry'!X164),'Advanced Entry'!X164)))-'Advanced Entry'!X$6)/('Advanced Entry'!X$7-'Advanced Entry'!X$6)),1))),"No data"))</f>
        <v/>
      </c>
      <c r="Y164" s="17">
        <f>IF('Advanced Entry'!Y164="","",IFERROR(MAX(0,MIN(10,ROUND(IF('Advanced Entry'!Y$8="Decrease Risk",10-10*((IF('Advanced Entry'!Y$5="Logarithm",LN(0.001+'Advanced Entry'!Y164),IF('Advanced Entry'!Y$5="Exponential",EXP('Advanced Entry'!Y164),'Advanced Entry'!Y164)))-'Advanced Entry'!Y$6)/('Advanced Entry'!Y$7-'Advanced Entry'!Y$6),10*((IF('Advanced Entry'!Y$5="Logarithm",LN(0.001+'Advanced Entry'!Y164),IF('Advanced Entry'!Y$5="Exponential",EXP('Advanced Entry'!Y164),'Advanced Entry'!Y164)))-'Advanced Entry'!Y$6)/('Advanced Entry'!Y$7-'Advanced Entry'!Y$6)),1))),"No data"))</f>
        <v/>
      </c>
      <c r="Z164" s="17">
        <f>IF('Advanced Entry'!Z164="","",IFERROR(MAX(0,MIN(10,ROUND(IF('Advanced Entry'!Z$8="Decrease Risk",10-10*((IF('Advanced Entry'!Z$5="Logarithm",LN(0.001+'Advanced Entry'!Z164),IF('Advanced Entry'!Z$5="Exponential",EXP('Advanced Entry'!Z164),'Advanced Entry'!Z164)))-'Advanced Entry'!Z$6)/('Advanced Entry'!Z$7-'Advanced Entry'!Z$6),10*((IF('Advanced Entry'!Z$5="Logarithm",LN(0.001+'Advanced Entry'!Z164),IF('Advanced Entry'!Z$5="Exponential",EXP('Advanced Entry'!Z164),'Advanced Entry'!Z164)))-'Advanced Entry'!Z$6)/('Advanced Entry'!Z$7-'Advanced Entry'!Z$6)),1))),"No data"))</f>
        <v/>
      </c>
      <c r="AA164" s="17">
        <f>IF('Advanced Entry'!AA164="","",IFERROR(MAX(0,MIN(10,ROUND(IF('Advanced Entry'!AA$8="Decrease Risk",10-10*((IF('Advanced Entry'!AA$5="Logarithm",LN(0.001+'Advanced Entry'!AA164),IF('Advanced Entry'!AA$5="Exponential",EXP('Advanced Entry'!AA164),'Advanced Entry'!AA164)))-'Advanced Entry'!AA$6)/('Advanced Entry'!AA$7-'Advanced Entry'!AA$6),10*((IF('Advanced Entry'!AA$5="Logarithm",LN(0.001+'Advanced Entry'!AA164),IF('Advanced Entry'!AA$5="Exponential",EXP('Advanced Entry'!AA164),'Advanced Entry'!AA164)))-'Advanced Entry'!AA$6)/('Advanced Entry'!AA$7-'Advanced Entry'!AA$6)),1))),"No data"))</f>
        <v/>
      </c>
      <c r="AB164" s="17">
        <f>IF('Advanced Entry'!AB164="","",IFERROR(MAX(0,MIN(10,ROUND(IF('Advanced Entry'!AB$8="Decrease Risk",10-10*((IF('Advanced Entry'!AB$5="Logarithm",LN(0.001+'Advanced Entry'!AB164),IF('Advanced Entry'!AB$5="Exponential",EXP('Advanced Entry'!AB164),'Advanced Entry'!AB164)))-'Advanced Entry'!AB$6)/('Advanced Entry'!AB$7-'Advanced Entry'!AB$6),10*((IF('Advanced Entry'!AB$5="Logarithm",LN(0.001+'Advanced Entry'!AB164),IF('Advanced Entry'!AB$5="Exponential",EXP('Advanced Entry'!AB164),'Advanced Entry'!AB164)))-'Advanced Entry'!AB$6)/('Advanced Entry'!AB$7-'Advanced Entry'!AB$6)),1))),"No data"))</f>
        <v/>
      </c>
    </row>
    <row r="165">
      <c r="A165" t="inlineStr">
        <is>
          <t>Shinyanga</t>
        </is>
      </c>
      <c r="B165" t="inlineStr">
        <is>
          <t>Msalala District</t>
        </is>
      </c>
      <c r="C165" t="inlineStr">
        <is>
          <t>C121</t>
        </is>
      </c>
      <c r="D165" s="17">
        <f>IF('Advanced Entry'!D165="","",IFERROR(MAX(0,MIN(10,ROUND(IF('Advanced Entry'!D$8="Decrease Risk",10-10*((IF('Advanced Entry'!D$5="Logarithm",LN(0.001+'Advanced Entry'!D165),IF('Advanced Entry'!D$5="Exponential",EXP('Advanced Entry'!D165),'Advanced Entry'!D165)))-'Advanced Entry'!D$6)/('Advanced Entry'!D$7-'Advanced Entry'!D$6),10*((IF('Advanced Entry'!D$5="Logarithm",LN(0.001+'Advanced Entry'!D165),IF('Advanced Entry'!D$5="Exponential",EXP('Advanced Entry'!D165),'Advanced Entry'!D165)))-'Advanced Entry'!D$6)/('Advanced Entry'!D$7-'Advanced Entry'!D$6)),1))),"No data"))</f>
        <v/>
      </c>
      <c r="E165" s="17">
        <f>IF('Advanced Entry'!E165="","",IFERROR(MAX(0,MIN(10,ROUND(IF('Advanced Entry'!E$8="Decrease Risk",10-10*((IF('Advanced Entry'!E$5="Logarithm",LN(0.001+'Advanced Entry'!E165),IF('Advanced Entry'!E$5="Exponential",EXP('Advanced Entry'!E165),'Advanced Entry'!E165)))-'Advanced Entry'!E$6)/('Advanced Entry'!E$7-'Advanced Entry'!E$6),10*((IF('Advanced Entry'!E$5="Logarithm",LN(0.001+'Advanced Entry'!E165),IF('Advanced Entry'!E$5="Exponential",EXP('Advanced Entry'!E165),'Advanced Entry'!E165)))-'Advanced Entry'!E$6)/('Advanced Entry'!E$7-'Advanced Entry'!E$6)),1))),"No data"))</f>
        <v/>
      </c>
      <c r="F165" s="17">
        <f>IF('Advanced Entry'!F165="","",IFERROR(MAX(0,MIN(10,ROUND(IF('Advanced Entry'!F$8="Decrease Risk",10-10*((IF('Advanced Entry'!F$5="Logarithm",LN(0.001+'Advanced Entry'!F165),IF('Advanced Entry'!F$5="Exponential",EXP('Advanced Entry'!F165),'Advanced Entry'!F165)))-'Advanced Entry'!F$6)/('Advanced Entry'!F$7-'Advanced Entry'!F$6),10*((IF('Advanced Entry'!F$5="Logarithm",LN(0.001+'Advanced Entry'!F165),IF('Advanced Entry'!F$5="Exponential",EXP('Advanced Entry'!F165),'Advanced Entry'!F165)))-'Advanced Entry'!F$6)/('Advanced Entry'!F$7-'Advanced Entry'!F$6)),1))),"No data"))</f>
        <v/>
      </c>
      <c r="G165" s="17">
        <f>IF('Advanced Entry'!G165="","",IFERROR(MAX(0,MIN(10,ROUND(IF('Advanced Entry'!G$8="Decrease Risk",10-10*((IF('Advanced Entry'!G$5="Logarithm",LN(0.001+'Advanced Entry'!G165),IF('Advanced Entry'!G$5="Exponential",EXP('Advanced Entry'!G165),'Advanced Entry'!G165)))-'Advanced Entry'!G$6)/('Advanced Entry'!G$7-'Advanced Entry'!G$6),10*((IF('Advanced Entry'!G$5="Logarithm",LN(0.001+'Advanced Entry'!G165),IF('Advanced Entry'!G$5="Exponential",EXP('Advanced Entry'!G165),'Advanced Entry'!G165)))-'Advanced Entry'!G$6)/('Advanced Entry'!G$7-'Advanced Entry'!G$6)),1))),"No data"))</f>
        <v/>
      </c>
      <c r="H165" s="17">
        <f>IF('Advanced Entry'!H165="","",IFERROR(MAX(0,MIN(10,ROUND(IF('Advanced Entry'!H$8="Decrease Risk",10-10*((IF('Advanced Entry'!H$5="Logarithm",LN(0.001+'Advanced Entry'!H165),IF('Advanced Entry'!H$5="Exponential",EXP('Advanced Entry'!H165),'Advanced Entry'!H165)))-'Advanced Entry'!H$6)/('Advanced Entry'!H$7-'Advanced Entry'!H$6),10*((IF('Advanced Entry'!H$5="Logarithm",LN(0.001+'Advanced Entry'!H165),IF('Advanced Entry'!H$5="Exponential",EXP('Advanced Entry'!H165),'Advanced Entry'!H165)))-'Advanced Entry'!H$6)/('Advanced Entry'!H$7-'Advanced Entry'!H$6)),1))),"No data"))</f>
        <v/>
      </c>
      <c r="I165" s="17">
        <f>IF('Advanced Entry'!I165="","",IFERROR(MAX(0,MIN(10,ROUND(IF('Advanced Entry'!I$8="Decrease Risk",10-10*((IF('Advanced Entry'!I$5="Logarithm",LN(0.001+'Advanced Entry'!I165),IF('Advanced Entry'!I$5="Exponential",EXP('Advanced Entry'!I165),'Advanced Entry'!I165)))-'Advanced Entry'!I$6)/('Advanced Entry'!I$7-'Advanced Entry'!I$6),10*((IF('Advanced Entry'!I$5="Logarithm",LN(0.001+'Advanced Entry'!I165),IF('Advanced Entry'!I$5="Exponential",EXP('Advanced Entry'!I165),'Advanced Entry'!I165)))-'Advanced Entry'!I$6)/('Advanced Entry'!I$7-'Advanced Entry'!I$6)),1))),"No data"))</f>
        <v/>
      </c>
      <c r="J165" s="17">
        <f>IF('Advanced Entry'!J165="","",IFERROR(MAX(0,MIN(10,ROUND(IF('Advanced Entry'!J$8="Decrease Risk",10-10*((IF('Advanced Entry'!J$5="Logarithm",LN(0.001+'Advanced Entry'!J165),IF('Advanced Entry'!J$5="Exponential",EXP('Advanced Entry'!J165),'Advanced Entry'!J165)))-'Advanced Entry'!J$6)/('Advanced Entry'!J$7-'Advanced Entry'!J$6),10*((IF('Advanced Entry'!J$5="Logarithm",LN(0.001+'Advanced Entry'!J165),IF('Advanced Entry'!J$5="Exponential",EXP('Advanced Entry'!J165),'Advanced Entry'!J165)))-'Advanced Entry'!J$6)/('Advanced Entry'!J$7-'Advanced Entry'!J$6)),1))),"No data"))</f>
        <v/>
      </c>
      <c r="K165" s="17">
        <f>IF('Advanced Entry'!K165="","",IFERROR(MAX(0,MIN(10,ROUND(IF('Advanced Entry'!K$8="Decrease Risk",10-10*((IF('Advanced Entry'!K$5="Logarithm",LN(0.001+'Advanced Entry'!K165),IF('Advanced Entry'!K$5="Exponential",EXP('Advanced Entry'!K165),'Advanced Entry'!K165)))-'Advanced Entry'!K$6)/('Advanced Entry'!K$7-'Advanced Entry'!K$6),10*((IF('Advanced Entry'!K$5="Logarithm",LN(0.001+'Advanced Entry'!K165),IF('Advanced Entry'!K$5="Exponential",EXP('Advanced Entry'!K165),'Advanced Entry'!K165)))-'Advanced Entry'!K$6)/('Advanced Entry'!K$7-'Advanced Entry'!K$6)),1))),"No data"))</f>
        <v/>
      </c>
      <c r="L165" s="17">
        <f>IF('Advanced Entry'!L165="","",IFERROR(MAX(0,MIN(10,ROUND(IF('Advanced Entry'!L$8="Decrease Risk",10-10*((IF('Advanced Entry'!L$5="Logarithm",LN(0.001+'Advanced Entry'!L165),IF('Advanced Entry'!L$5="Exponential",EXP('Advanced Entry'!L165),'Advanced Entry'!L165)))-'Advanced Entry'!L$6)/('Advanced Entry'!L$7-'Advanced Entry'!L$6),10*((IF('Advanced Entry'!L$5="Logarithm",LN(0.001+'Advanced Entry'!L165),IF('Advanced Entry'!L$5="Exponential",EXP('Advanced Entry'!L165),'Advanced Entry'!L165)))-'Advanced Entry'!L$6)/('Advanced Entry'!L$7-'Advanced Entry'!L$6)),1))),"No data"))</f>
        <v/>
      </c>
      <c r="M165" s="17">
        <f>IF('Advanced Entry'!M165="","",IFERROR(MAX(0,MIN(10,ROUND(IF('Advanced Entry'!M$8="Decrease Risk",10-10*((IF('Advanced Entry'!M$5="Logarithm",LN(0.001+'Advanced Entry'!M165),IF('Advanced Entry'!M$5="Exponential",EXP('Advanced Entry'!M165),'Advanced Entry'!M165)))-'Advanced Entry'!M$6)/('Advanced Entry'!M$7-'Advanced Entry'!M$6),10*((IF('Advanced Entry'!M$5="Logarithm",LN(0.001+'Advanced Entry'!M165),IF('Advanced Entry'!M$5="Exponential",EXP('Advanced Entry'!M165),'Advanced Entry'!M165)))-'Advanced Entry'!M$6)/('Advanced Entry'!M$7-'Advanced Entry'!M$6)),1))),"No data"))</f>
        <v/>
      </c>
      <c r="N165" s="17">
        <f>IF('Advanced Entry'!N165="","",IFERROR(MAX(0,MIN(10,ROUND(IF('Advanced Entry'!N$8="Decrease Risk",10-10*((IF('Advanced Entry'!N$5="Logarithm",LN(0.001+'Advanced Entry'!N165),IF('Advanced Entry'!N$5="Exponential",EXP('Advanced Entry'!N165),'Advanced Entry'!N165)))-'Advanced Entry'!N$6)/('Advanced Entry'!N$7-'Advanced Entry'!N$6),10*((IF('Advanced Entry'!N$5="Logarithm",LN(0.001+'Advanced Entry'!N165),IF('Advanced Entry'!N$5="Exponential",EXP('Advanced Entry'!N165),'Advanced Entry'!N165)))-'Advanced Entry'!N$6)/('Advanced Entry'!N$7-'Advanced Entry'!N$6)),1))),"No data"))</f>
        <v/>
      </c>
      <c r="O165" s="17">
        <f>IF('Advanced Entry'!O165="","",IFERROR(MAX(0,MIN(10,ROUND(IF('Advanced Entry'!O$8="Decrease Risk",10-10*((IF('Advanced Entry'!O$5="Logarithm",LN(0.001+'Advanced Entry'!O165),IF('Advanced Entry'!O$5="Exponential",EXP('Advanced Entry'!O165),'Advanced Entry'!O165)))-'Advanced Entry'!O$6)/('Advanced Entry'!O$7-'Advanced Entry'!O$6),10*((IF('Advanced Entry'!O$5="Logarithm",LN(0.001+'Advanced Entry'!O165),IF('Advanced Entry'!O$5="Exponential",EXP('Advanced Entry'!O165),'Advanced Entry'!O165)))-'Advanced Entry'!O$6)/('Advanced Entry'!O$7-'Advanced Entry'!O$6)),1))),"No data"))</f>
        <v/>
      </c>
      <c r="P165" s="17">
        <f>IF('Advanced Entry'!P165="","",IFERROR(MAX(0,MIN(10,ROUND(IF('Advanced Entry'!P$8="Decrease Risk",10-10*((IF('Advanced Entry'!P$5="Logarithm",LN(0.001+'Advanced Entry'!P165),IF('Advanced Entry'!P$5="Exponential",EXP('Advanced Entry'!P165),'Advanced Entry'!P165)))-'Advanced Entry'!P$6)/('Advanced Entry'!P$7-'Advanced Entry'!P$6),10*((IF('Advanced Entry'!P$5="Logarithm",LN(0.001+'Advanced Entry'!P165),IF('Advanced Entry'!P$5="Exponential",EXP('Advanced Entry'!P165),'Advanced Entry'!P165)))-'Advanced Entry'!P$6)/('Advanced Entry'!P$7-'Advanced Entry'!P$6)),1))),"No data"))</f>
        <v/>
      </c>
      <c r="Q165" s="17">
        <f>IF('Advanced Entry'!Q165="","",IFERROR(MAX(0,MIN(10,ROUND(IF('Advanced Entry'!Q$8="Decrease Risk",10-10*((IF('Advanced Entry'!Q$5="Logarithm",LN(0.001+'Advanced Entry'!Q165),IF('Advanced Entry'!Q$5="Exponential",EXP('Advanced Entry'!Q165),'Advanced Entry'!Q165)))-'Advanced Entry'!Q$6)/('Advanced Entry'!Q$7-'Advanced Entry'!Q$6),10*((IF('Advanced Entry'!Q$5="Logarithm",LN(0.001+'Advanced Entry'!Q165),IF('Advanced Entry'!Q$5="Exponential",EXP('Advanced Entry'!Q165),'Advanced Entry'!Q165)))-'Advanced Entry'!Q$6)/('Advanced Entry'!Q$7-'Advanced Entry'!Q$6)),1))),"No data"))</f>
        <v/>
      </c>
      <c r="R165" s="17">
        <f>IF('Advanced Entry'!R165="","",IFERROR(MAX(0,MIN(10,ROUND(IF('Advanced Entry'!R$8="Decrease Risk",10-10*((IF('Advanced Entry'!R$5="Logarithm",LN(0.001+'Advanced Entry'!R165),IF('Advanced Entry'!R$5="Exponential",EXP('Advanced Entry'!R165),'Advanced Entry'!R165)))-'Advanced Entry'!R$6)/('Advanced Entry'!R$7-'Advanced Entry'!R$6),10*((IF('Advanced Entry'!R$5="Logarithm",LN(0.001+'Advanced Entry'!R165),IF('Advanced Entry'!R$5="Exponential",EXP('Advanced Entry'!R165),'Advanced Entry'!R165)))-'Advanced Entry'!R$6)/('Advanced Entry'!R$7-'Advanced Entry'!R$6)),1))),"No data"))</f>
        <v/>
      </c>
      <c r="S165" s="17">
        <f>IF('Advanced Entry'!S165="","",IFERROR(MAX(0,MIN(10,ROUND(IF('Advanced Entry'!S$8="Decrease Risk",10-10*((IF('Advanced Entry'!S$5="Logarithm",LN(0.001+'Advanced Entry'!S165),IF('Advanced Entry'!S$5="Exponential",EXP('Advanced Entry'!S165),'Advanced Entry'!S165)))-'Advanced Entry'!S$6)/('Advanced Entry'!S$7-'Advanced Entry'!S$6),10*((IF('Advanced Entry'!S$5="Logarithm",LN(0.001+'Advanced Entry'!S165),IF('Advanced Entry'!S$5="Exponential",EXP('Advanced Entry'!S165),'Advanced Entry'!S165)))-'Advanced Entry'!S$6)/('Advanced Entry'!S$7-'Advanced Entry'!S$6)),1))),"No data"))</f>
        <v/>
      </c>
      <c r="T165" s="17">
        <f>IF('Advanced Entry'!T165="","",IFERROR(MAX(0,MIN(10,ROUND(IF('Advanced Entry'!T$8="Decrease Risk",10-10*((IF('Advanced Entry'!T$5="Logarithm",LN(0.001+'Advanced Entry'!T165),IF('Advanced Entry'!T$5="Exponential",EXP('Advanced Entry'!T165),'Advanced Entry'!T165)))-'Advanced Entry'!T$6)/('Advanced Entry'!T$7-'Advanced Entry'!T$6),10*((IF('Advanced Entry'!T$5="Logarithm",LN(0.001+'Advanced Entry'!T165),IF('Advanced Entry'!T$5="Exponential",EXP('Advanced Entry'!T165),'Advanced Entry'!T165)))-'Advanced Entry'!T$6)/('Advanced Entry'!T$7-'Advanced Entry'!T$6)),1))),"No data"))</f>
        <v/>
      </c>
      <c r="U165" s="17">
        <f>IF('Advanced Entry'!U165="","",IFERROR(MAX(0,MIN(10,ROUND(IF('Advanced Entry'!U$8="Decrease Risk",10-10*((IF('Advanced Entry'!U$5="Logarithm",LN(0.001+'Advanced Entry'!U165),IF('Advanced Entry'!U$5="Exponential",EXP('Advanced Entry'!U165),'Advanced Entry'!U165)))-'Advanced Entry'!U$6)/('Advanced Entry'!U$7-'Advanced Entry'!U$6),10*((IF('Advanced Entry'!U$5="Logarithm",LN(0.001+'Advanced Entry'!U165),IF('Advanced Entry'!U$5="Exponential",EXP('Advanced Entry'!U165),'Advanced Entry'!U165)))-'Advanced Entry'!U$6)/('Advanced Entry'!U$7-'Advanced Entry'!U$6)),1))),"No data"))</f>
        <v/>
      </c>
      <c r="V165" s="17">
        <f>IF('Advanced Entry'!V165="","",IFERROR(MAX(0,MIN(10,ROUND(IF('Advanced Entry'!V$8="Decrease Risk",10-10*((IF('Advanced Entry'!V$5="Logarithm",LN(0.001+'Advanced Entry'!V165),IF('Advanced Entry'!V$5="Exponential",EXP('Advanced Entry'!V165),'Advanced Entry'!V165)))-'Advanced Entry'!V$6)/('Advanced Entry'!V$7-'Advanced Entry'!V$6),10*((IF('Advanced Entry'!V$5="Logarithm",LN(0.001+'Advanced Entry'!V165),IF('Advanced Entry'!V$5="Exponential",EXP('Advanced Entry'!V165),'Advanced Entry'!V165)))-'Advanced Entry'!V$6)/('Advanced Entry'!V$7-'Advanced Entry'!V$6)),1))),"No data"))</f>
        <v/>
      </c>
      <c r="W165" s="17">
        <f>IF('Advanced Entry'!W165="","",IFERROR(MAX(0,MIN(10,ROUND(IF('Advanced Entry'!W$8="Decrease Risk",10-10*((IF('Advanced Entry'!W$5="Logarithm",LN(0.001+'Advanced Entry'!W165),IF('Advanced Entry'!W$5="Exponential",EXP('Advanced Entry'!W165),'Advanced Entry'!W165)))-'Advanced Entry'!W$6)/('Advanced Entry'!W$7-'Advanced Entry'!W$6),10*((IF('Advanced Entry'!W$5="Logarithm",LN(0.001+'Advanced Entry'!W165),IF('Advanced Entry'!W$5="Exponential",EXP('Advanced Entry'!W165),'Advanced Entry'!W165)))-'Advanced Entry'!W$6)/('Advanced Entry'!W$7-'Advanced Entry'!W$6)),1))),"No data"))</f>
        <v/>
      </c>
      <c r="X165" s="17">
        <f>IF('Advanced Entry'!X165="","",IFERROR(MAX(0,MIN(10,ROUND(IF('Advanced Entry'!X$8="Decrease Risk",10-10*((IF('Advanced Entry'!X$5="Logarithm",LN(0.001+'Advanced Entry'!X165),IF('Advanced Entry'!X$5="Exponential",EXP('Advanced Entry'!X165),'Advanced Entry'!X165)))-'Advanced Entry'!X$6)/('Advanced Entry'!X$7-'Advanced Entry'!X$6),10*((IF('Advanced Entry'!X$5="Logarithm",LN(0.001+'Advanced Entry'!X165),IF('Advanced Entry'!X$5="Exponential",EXP('Advanced Entry'!X165),'Advanced Entry'!X165)))-'Advanced Entry'!X$6)/('Advanced Entry'!X$7-'Advanced Entry'!X$6)),1))),"No data"))</f>
        <v/>
      </c>
      <c r="Y165" s="17">
        <f>IF('Advanced Entry'!Y165="","",IFERROR(MAX(0,MIN(10,ROUND(IF('Advanced Entry'!Y$8="Decrease Risk",10-10*((IF('Advanced Entry'!Y$5="Logarithm",LN(0.001+'Advanced Entry'!Y165),IF('Advanced Entry'!Y$5="Exponential",EXP('Advanced Entry'!Y165),'Advanced Entry'!Y165)))-'Advanced Entry'!Y$6)/('Advanced Entry'!Y$7-'Advanced Entry'!Y$6),10*((IF('Advanced Entry'!Y$5="Logarithm",LN(0.001+'Advanced Entry'!Y165),IF('Advanced Entry'!Y$5="Exponential",EXP('Advanced Entry'!Y165),'Advanced Entry'!Y165)))-'Advanced Entry'!Y$6)/('Advanced Entry'!Y$7-'Advanced Entry'!Y$6)),1))),"No data"))</f>
        <v/>
      </c>
      <c r="Z165" s="17">
        <f>IF('Advanced Entry'!Z165="","",IFERROR(MAX(0,MIN(10,ROUND(IF('Advanced Entry'!Z$8="Decrease Risk",10-10*((IF('Advanced Entry'!Z$5="Logarithm",LN(0.001+'Advanced Entry'!Z165),IF('Advanced Entry'!Z$5="Exponential",EXP('Advanced Entry'!Z165),'Advanced Entry'!Z165)))-'Advanced Entry'!Z$6)/('Advanced Entry'!Z$7-'Advanced Entry'!Z$6),10*((IF('Advanced Entry'!Z$5="Logarithm",LN(0.001+'Advanced Entry'!Z165),IF('Advanced Entry'!Z$5="Exponential",EXP('Advanced Entry'!Z165),'Advanced Entry'!Z165)))-'Advanced Entry'!Z$6)/('Advanced Entry'!Z$7-'Advanced Entry'!Z$6)),1))),"No data"))</f>
        <v/>
      </c>
      <c r="AA165" s="17">
        <f>IF('Advanced Entry'!AA165="","",IFERROR(MAX(0,MIN(10,ROUND(IF('Advanced Entry'!AA$8="Decrease Risk",10-10*((IF('Advanced Entry'!AA$5="Logarithm",LN(0.001+'Advanced Entry'!AA165),IF('Advanced Entry'!AA$5="Exponential",EXP('Advanced Entry'!AA165),'Advanced Entry'!AA165)))-'Advanced Entry'!AA$6)/('Advanced Entry'!AA$7-'Advanced Entry'!AA$6),10*((IF('Advanced Entry'!AA$5="Logarithm",LN(0.001+'Advanced Entry'!AA165),IF('Advanced Entry'!AA$5="Exponential",EXP('Advanced Entry'!AA165),'Advanced Entry'!AA165)))-'Advanced Entry'!AA$6)/('Advanced Entry'!AA$7-'Advanced Entry'!AA$6)),1))),"No data"))</f>
        <v/>
      </c>
      <c r="AB165" s="17">
        <f>IF('Advanced Entry'!AB165="","",IFERROR(MAX(0,MIN(10,ROUND(IF('Advanced Entry'!AB$8="Decrease Risk",10-10*((IF('Advanced Entry'!AB$5="Logarithm",LN(0.001+'Advanced Entry'!AB165),IF('Advanced Entry'!AB$5="Exponential",EXP('Advanced Entry'!AB165),'Advanced Entry'!AB165)))-'Advanced Entry'!AB$6)/('Advanced Entry'!AB$7-'Advanced Entry'!AB$6),10*((IF('Advanced Entry'!AB$5="Logarithm",LN(0.001+'Advanced Entry'!AB165),IF('Advanced Entry'!AB$5="Exponential",EXP('Advanced Entry'!AB165),'Advanced Entry'!AB165)))-'Advanced Entry'!AB$6)/('Advanced Entry'!AB$7-'Advanced Entry'!AB$6)),1))),"No data"))</f>
        <v/>
      </c>
    </row>
    <row r="166">
      <c r="A166" t="inlineStr">
        <is>
          <t>Shinyanga</t>
        </is>
      </c>
      <c r="B166" t="inlineStr">
        <is>
          <t>Shinyanga District</t>
        </is>
      </c>
      <c r="C166" t="inlineStr">
        <is>
          <t>C123</t>
        </is>
      </c>
      <c r="D166" s="17">
        <f>IF('Advanced Entry'!D166="","",IFERROR(MAX(0,MIN(10,ROUND(IF('Advanced Entry'!D$8="Decrease Risk",10-10*((IF('Advanced Entry'!D$5="Logarithm",LN(0.001+'Advanced Entry'!D166),IF('Advanced Entry'!D$5="Exponential",EXP('Advanced Entry'!D166),'Advanced Entry'!D166)))-'Advanced Entry'!D$6)/('Advanced Entry'!D$7-'Advanced Entry'!D$6),10*((IF('Advanced Entry'!D$5="Logarithm",LN(0.001+'Advanced Entry'!D166),IF('Advanced Entry'!D$5="Exponential",EXP('Advanced Entry'!D166),'Advanced Entry'!D166)))-'Advanced Entry'!D$6)/('Advanced Entry'!D$7-'Advanced Entry'!D$6)),1))),"No data"))</f>
        <v/>
      </c>
      <c r="E166" s="17">
        <f>IF('Advanced Entry'!E166="","",IFERROR(MAX(0,MIN(10,ROUND(IF('Advanced Entry'!E$8="Decrease Risk",10-10*((IF('Advanced Entry'!E$5="Logarithm",LN(0.001+'Advanced Entry'!E166),IF('Advanced Entry'!E$5="Exponential",EXP('Advanced Entry'!E166),'Advanced Entry'!E166)))-'Advanced Entry'!E$6)/('Advanced Entry'!E$7-'Advanced Entry'!E$6),10*((IF('Advanced Entry'!E$5="Logarithm",LN(0.001+'Advanced Entry'!E166),IF('Advanced Entry'!E$5="Exponential",EXP('Advanced Entry'!E166),'Advanced Entry'!E166)))-'Advanced Entry'!E$6)/('Advanced Entry'!E$7-'Advanced Entry'!E$6)),1))),"No data"))</f>
        <v/>
      </c>
      <c r="F166" s="17">
        <f>IF('Advanced Entry'!F166="","",IFERROR(MAX(0,MIN(10,ROUND(IF('Advanced Entry'!F$8="Decrease Risk",10-10*((IF('Advanced Entry'!F$5="Logarithm",LN(0.001+'Advanced Entry'!F166),IF('Advanced Entry'!F$5="Exponential",EXP('Advanced Entry'!F166),'Advanced Entry'!F166)))-'Advanced Entry'!F$6)/('Advanced Entry'!F$7-'Advanced Entry'!F$6),10*((IF('Advanced Entry'!F$5="Logarithm",LN(0.001+'Advanced Entry'!F166),IF('Advanced Entry'!F$5="Exponential",EXP('Advanced Entry'!F166),'Advanced Entry'!F166)))-'Advanced Entry'!F$6)/('Advanced Entry'!F$7-'Advanced Entry'!F$6)),1))),"No data"))</f>
        <v/>
      </c>
      <c r="G166" s="17">
        <f>IF('Advanced Entry'!G166="","",IFERROR(MAX(0,MIN(10,ROUND(IF('Advanced Entry'!G$8="Decrease Risk",10-10*((IF('Advanced Entry'!G$5="Logarithm",LN(0.001+'Advanced Entry'!G166),IF('Advanced Entry'!G$5="Exponential",EXP('Advanced Entry'!G166),'Advanced Entry'!G166)))-'Advanced Entry'!G$6)/('Advanced Entry'!G$7-'Advanced Entry'!G$6),10*((IF('Advanced Entry'!G$5="Logarithm",LN(0.001+'Advanced Entry'!G166),IF('Advanced Entry'!G$5="Exponential",EXP('Advanced Entry'!G166),'Advanced Entry'!G166)))-'Advanced Entry'!G$6)/('Advanced Entry'!G$7-'Advanced Entry'!G$6)),1))),"No data"))</f>
        <v/>
      </c>
      <c r="H166" s="17">
        <f>IF('Advanced Entry'!H166="","",IFERROR(MAX(0,MIN(10,ROUND(IF('Advanced Entry'!H$8="Decrease Risk",10-10*((IF('Advanced Entry'!H$5="Logarithm",LN(0.001+'Advanced Entry'!H166),IF('Advanced Entry'!H$5="Exponential",EXP('Advanced Entry'!H166),'Advanced Entry'!H166)))-'Advanced Entry'!H$6)/('Advanced Entry'!H$7-'Advanced Entry'!H$6),10*((IF('Advanced Entry'!H$5="Logarithm",LN(0.001+'Advanced Entry'!H166),IF('Advanced Entry'!H$5="Exponential",EXP('Advanced Entry'!H166),'Advanced Entry'!H166)))-'Advanced Entry'!H$6)/('Advanced Entry'!H$7-'Advanced Entry'!H$6)),1))),"No data"))</f>
        <v/>
      </c>
      <c r="I166" s="17">
        <f>IF('Advanced Entry'!I166="","",IFERROR(MAX(0,MIN(10,ROUND(IF('Advanced Entry'!I$8="Decrease Risk",10-10*((IF('Advanced Entry'!I$5="Logarithm",LN(0.001+'Advanced Entry'!I166),IF('Advanced Entry'!I$5="Exponential",EXP('Advanced Entry'!I166),'Advanced Entry'!I166)))-'Advanced Entry'!I$6)/('Advanced Entry'!I$7-'Advanced Entry'!I$6),10*((IF('Advanced Entry'!I$5="Logarithm",LN(0.001+'Advanced Entry'!I166),IF('Advanced Entry'!I$5="Exponential",EXP('Advanced Entry'!I166),'Advanced Entry'!I166)))-'Advanced Entry'!I$6)/('Advanced Entry'!I$7-'Advanced Entry'!I$6)),1))),"No data"))</f>
        <v/>
      </c>
      <c r="J166" s="17">
        <f>IF('Advanced Entry'!J166="","",IFERROR(MAX(0,MIN(10,ROUND(IF('Advanced Entry'!J$8="Decrease Risk",10-10*((IF('Advanced Entry'!J$5="Logarithm",LN(0.001+'Advanced Entry'!J166),IF('Advanced Entry'!J$5="Exponential",EXP('Advanced Entry'!J166),'Advanced Entry'!J166)))-'Advanced Entry'!J$6)/('Advanced Entry'!J$7-'Advanced Entry'!J$6),10*((IF('Advanced Entry'!J$5="Logarithm",LN(0.001+'Advanced Entry'!J166),IF('Advanced Entry'!J$5="Exponential",EXP('Advanced Entry'!J166),'Advanced Entry'!J166)))-'Advanced Entry'!J$6)/('Advanced Entry'!J$7-'Advanced Entry'!J$6)),1))),"No data"))</f>
        <v/>
      </c>
      <c r="K166" s="17">
        <f>IF('Advanced Entry'!K166="","",IFERROR(MAX(0,MIN(10,ROUND(IF('Advanced Entry'!K$8="Decrease Risk",10-10*((IF('Advanced Entry'!K$5="Logarithm",LN(0.001+'Advanced Entry'!K166),IF('Advanced Entry'!K$5="Exponential",EXP('Advanced Entry'!K166),'Advanced Entry'!K166)))-'Advanced Entry'!K$6)/('Advanced Entry'!K$7-'Advanced Entry'!K$6),10*((IF('Advanced Entry'!K$5="Logarithm",LN(0.001+'Advanced Entry'!K166),IF('Advanced Entry'!K$5="Exponential",EXP('Advanced Entry'!K166),'Advanced Entry'!K166)))-'Advanced Entry'!K$6)/('Advanced Entry'!K$7-'Advanced Entry'!K$6)),1))),"No data"))</f>
        <v/>
      </c>
      <c r="L166" s="17">
        <f>IF('Advanced Entry'!L166="","",IFERROR(MAX(0,MIN(10,ROUND(IF('Advanced Entry'!L$8="Decrease Risk",10-10*((IF('Advanced Entry'!L$5="Logarithm",LN(0.001+'Advanced Entry'!L166),IF('Advanced Entry'!L$5="Exponential",EXP('Advanced Entry'!L166),'Advanced Entry'!L166)))-'Advanced Entry'!L$6)/('Advanced Entry'!L$7-'Advanced Entry'!L$6),10*((IF('Advanced Entry'!L$5="Logarithm",LN(0.001+'Advanced Entry'!L166),IF('Advanced Entry'!L$5="Exponential",EXP('Advanced Entry'!L166),'Advanced Entry'!L166)))-'Advanced Entry'!L$6)/('Advanced Entry'!L$7-'Advanced Entry'!L$6)),1))),"No data"))</f>
        <v/>
      </c>
      <c r="M166" s="17">
        <f>IF('Advanced Entry'!M166="","",IFERROR(MAX(0,MIN(10,ROUND(IF('Advanced Entry'!M$8="Decrease Risk",10-10*((IF('Advanced Entry'!M$5="Logarithm",LN(0.001+'Advanced Entry'!M166),IF('Advanced Entry'!M$5="Exponential",EXP('Advanced Entry'!M166),'Advanced Entry'!M166)))-'Advanced Entry'!M$6)/('Advanced Entry'!M$7-'Advanced Entry'!M$6),10*((IF('Advanced Entry'!M$5="Logarithm",LN(0.001+'Advanced Entry'!M166),IF('Advanced Entry'!M$5="Exponential",EXP('Advanced Entry'!M166),'Advanced Entry'!M166)))-'Advanced Entry'!M$6)/('Advanced Entry'!M$7-'Advanced Entry'!M$6)),1))),"No data"))</f>
        <v/>
      </c>
      <c r="N166" s="17">
        <f>IF('Advanced Entry'!N166="","",IFERROR(MAX(0,MIN(10,ROUND(IF('Advanced Entry'!N$8="Decrease Risk",10-10*((IF('Advanced Entry'!N$5="Logarithm",LN(0.001+'Advanced Entry'!N166),IF('Advanced Entry'!N$5="Exponential",EXP('Advanced Entry'!N166),'Advanced Entry'!N166)))-'Advanced Entry'!N$6)/('Advanced Entry'!N$7-'Advanced Entry'!N$6),10*((IF('Advanced Entry'!N$5="Logarithm",LN(0.001+'Advanced Entry'!N166),IF('Advanced Entry'!N$5="Exponential",EXP('Advanced Entry'!N166),'Advanced Entry'!N166)))-'Advanced Entry'!N$6)/('Advanced Entry'!N$7-'Advanced Entry'!N$6)),1))),"No data"))</f>
        <v/>
      </c>
      <c r="O166" s="17">
        <f>IF('Advanced Entry'!O166="","",IFERROR(MAX(0,MIN(10,ROUND(IF('Advanced Entry'!O$8="Decrease Risk",10-10*((IF('Advanced Entry'!O$5="Logarithm",LN(0.001+'Advanced Entry'!O166),IF('Advanced Entry'!O$5="Exponential",EXP('Advanced Entry'!O166),'Advanced Entry'!O166)))-'Advanced Entry'!O$6)/('Advanced Entry'!O$7-'Advanced Entry'!O$6),10*((IF('Advanced Entry'!O$5="Logarithm",LN(0.001+'Advanced Entry'!O166),IF('Advanced Entry'!O$5="Exponential",EXP('Advanced Entry'!O166),'Advanced Entry'!O166)))-'Advanced Entry'!O$6)/('Advanced Entry'!O$7-'Advanced Entry'!O$6)),1))),"No data"))</f>
        <v/>
      </c>
      <c r="P166" s="17">
        <f>IF('Advanced Entry'!P166="","",IFERROR(MAX(0,MIN(10,ROUND(IF('Advanced Entry'!P$8="Decrease Risk",10-10*((IF('Advanced Entry'!P$5="Logarithm",LN(0.001+'Advanced Entry'!P166),IF('Advanced Entry'!P$5="Exponential",EXP('Advanced Entry'!P166),'Advanced Entry'!P166)))-'Advanced Entry'!P$6)/('Advanced Entry'!P$7-'Advanced Entry'!P$6),10*((IF('Advanced Entry'!P$5="Logarithm",LN(0.001+'Advanced Entry'!P166),IF('Advanced Entry'!P$5="Exponential",EXP('Advanced Entry'!P166),'Advanced Entry'!P166)))-'Advanced Entry'!P$6)/('Advanced Entry'!P$7-'Advanced Entry'!P$6)),1))),"No data"))</f>
        <v/>
      </c>
      <c r="Q166" s="17">
        <f>IF('Advanced Entry'!Q166="","",IFERROR(MAX(0,MIN(10,ROUND(IF('Advanced Entry'!Q$8="Decrease Risk",10-10*((IF('Advanced Entry'!Q$5="Logarithm",LN(0.001+'Advanced Entry'!Q166),IF('Advanced Entry'!Q$5="Exponential",EXP('Advanced Entry'!Q166),'Advanced Entry'!Q166)))-'Advanced Entry'!Q$6)/('Advanced Entry'!Q$7-'Advanced Entry'!Q$6),10*((IF('Advanced Entry'!Q$5="Logarithm",LN(0.001+'Advanced Entry'!Q166),IF('Advanced Entry'!Q$5="Exponential",EXP('Advanced Entry'!Q166),'Advanced Entry'!Q166)))-'Advanced Entry'!Q$6)/('Advanced Entry'!Q$7-'Advanced Entry'!Q$6)),1))),"No data"))</f>
        <v/>
      </c>
      <c r="R166" s="17">
        <f>IF('Advanced Entry'!R166="","",IFERROR(MAX(0,MIN(10,ROUND(IF('Advanced Entry'!R$8="Decrease Risk",10-10*((IF('Advanced Entry'!R$5="Logarithm",LN(0.001+'Advanced Entry'!R166),IF('Advanced Entry'!R$5="Exponential",EXP('Advanced Entry'!R166),'Advanced Entry'!R166)))-'Advanced Entry'!R$6)/('Advanced Entry'!R$7-'Advanced Entry'!R$6),10*((IF('Advanced Entry'!R$5="Logarithm",LN(0.001+'Advanced Entry'!R166),IF('Advanced Entry'!R$5="Exponential",EXP('Advanced Entry'!R166),'Advanced Entry'!R166)))-'Advanced Entry'!R$6)/('Advanced Entry'!R$7-'Advanced Entry'!R$6)),1))),"No data"))</f>
        <v/>
      </c>
      <c r="S166" s="17">
        <f>IF('Advanced Entry'!S166="","",IFERROR(MAX(0,MIN(10,ROUND(IF('Advanced Entry'!S$8="Decrease Risk",10-10*((IF('Advanced Entry'!S$5="Logarithm",LN(0.001+'Advanced Entry'!S166),IF('Advanced Entry'!S$5="Exponential",EXP('Advanced Entry'!S166),'Advanced Entry'!S166)))-'Advanced Entry'!S$6)/('Advanced Entry'!S$7-'Advanced Entry'!S$6),10*((IF('Advanced Entry'!S$5="Logarithm",LN(0.001+'Advanced Entry'!S166),IF('Advanced Entry'!S$5="Exponential",EXP('Advanced Entry'!S166),'Advanced Entry'!S166)))-'Advanced Entry'!S$6)/('Advanced Entry'!S$7-'Advanced Entry'!S$6)),1))),"No data"))</f>
        <v/>
      </c>
      <c r="T166" s="17">
        <f>IF('Advanced Entry'!T166="","",IFERROR(MAX(0,MIN(10,ROUND(IF('Advanced Entry'!T$8="Decrease Risk",10-10*((IF('Advanced Entry'!T$5="Logarithm",LN(0.001+'Advanced Entry'!T166),IF('Advanced Entry'!T$5="Exponential",EXP('Advanced Entry'!T166),'Advanced Entry'!T166)))-'Advanced Entry'!T$6)/('Advanced Entry'!T$7-'Advanced Entry'!T$6),10*((IF('Advanced Entry'!T$5="Logarithm",LN(0.001+'Advanced Entry'!T166),IF('Advanced Entry'!T$5="Exponential",EXP('Advanced Entry'!T166),'Advanced Entry'!T166)))-'Advanced Entry'!T$6)/('Advanced Entry'!T$7-'Advanced Entry'!T$6)),1))),"No data"))</f>
        <v/>
      </c>
      <c r="U166" s="17">
        <f>IF('Advanced Entry'!U166="","",IFERROR(MAX(0,MIN(10,ROUND(IF('Advanced Entry'!U$8="Decrease Risk",10-10*((IF('Advanced Entry'!U$5="Logarithm",LN(0.001+'Advanced Entry'!U166),IF('Advanced Entry'!U$5="Exponential",EXP('Advanced Entry'!U166),'Advanced Entry'!U166)))-'Advanced Entry'!U$6)/('Advanced Entry'!U$7-'Advanced Entry'!U$6),10*((IF('Advanced Entry'!U$5="Logarithm",LN(0.001+'Advanced Entry'!U166),IF('Advanced Entry'!U$5="Exponential",EXP('Advanced Entry'!U166),'Advanced Entry'!U166)))-'Advanced Entry'!U$6)/('Advanced Entry'!U$7-'Advanced Entry'!U$6)),1))),"No data"))</f>
        <v/>
      </c>
      <c r="V166" s="17">
        <f>IF('Advanced Entry'!V166="","",IFERROR(MAX(0,MIN(10,ROUND(IF('Advanced Entry'!V$8="Decrease Risk",10-10*((IF('Advanced Entry'!V$5="Logarithm",LN(0.001+'Advanced Entry'!V166),IF('Advanced Entry'!V$5="Exponential",EXP('Advanced Entry'!V166),'Advanced Entry'!V166)))-'Advanced Entry'!V$6)/('Advanced Entry'!V$7-'Advanced Entry'!V$6),10*((IF('Advanced Entry'!V$5="Logarithm",LN(0.001+'Advanced Entry'!V166),IF('Advanced Entry'!V$5="Exponential",EXP('Advanced Entry'!V166),'Advanced Entry'!V166)))-'Advanced Entry'!V$6)/('Advanced Entry'!V$7-'Advanced Entry'!V$6)),1))),"No data"))</f>
        <v/>
      </c>
      <c r="W166" s="17">
        <f>IF('Advanced Entry'!W166="","",IFERROR(MAX(0,MIN(10,ROUND(IF('Advanced Entry'!W$8="Decrease Risk",10-10*((IF('Advanced Entry'!W$5="Logarithm",LN(0.001+'Advanced Entry'!W166),IF('Advanced Entry'!W$5="Exponential",EXP('Advanced Entry'!W166),'Advanced Entry'!W166)))-'Advanced Entry'!W$6)/('Advanced Entry'!W$7-'Advanced Entry'!W$6),10*((IF('Advanced Entry'!W$5="Logarithm",LN(0.001+'Advanced Entry'!W166),IF('Advanced Entry'!W$5="Exponential",EXP('Advanced Entry'!W166),'Advanced Entry'!W166)))-'Advanced Entry'!W$6)/('Advanced Entry'!W$7-'Advanced Entry'!W$6)),1))),"No data"))</f>
        <v/>
      </c>
      <c r="X166" s="17">
        <f>IF('Advanced Entry'!X166="","",IFERROR(MAX(0,MIN(10,ROUND(IF('Advanced Entry'!X$8="Decrease Risk",10-10*((IF('Advanced Entry'!X$5="Logarithm",LN(0.001+'Advanced Entry'!X166),IF('Advanced Entry'!X$5="Exponential",EXP('Advanced Entry'!X166),'Advanced Entry'!X166)))-'Advanced Entry'!X$6)/('Advanced Entry'!X$7-'Advanced Entry'!X$6),10*((IF('Advanced Entry'!X$5="Logarithm",LN(0.001+'Advanced Entry'!X166),IF('Advanced Entry'!X$5="Exponential",EXP('Advanced Entry'!X166),'Advanced Entry'!X166)))-'Advanced Entry'!X$6)/('Advanced Entry'!X$7-'Advanced Entry'!X$6)),1))),"No data"))</f>
        <v/>
      </c>
      <c r="Y166" s="17">
        <f>IF('Advanced Entry'!Y166="","",IFERROR(MAX(0,MIN(10,ROUND(IF('Advanced Entry'!Y$8="Decrease Risk",10-10*((IF('Advanced Entry'!Y$5="Logarithm",LN(0.001+'Advanced Entry'!Y166),IF('Advanced Entry'!Y$5="Exponential",EXP('Advanced Entry'!Y166),'Advanced Entry'!Y166)))-'Advanced Entry'!Y$6)/('Advanced Entry'!Y$7-'Advanced Entry'!Y$6),10*((IF('Advanced Entry'!Y$5="Logarithm",LN(0.001+'Advanced Entry'!Y166),IF('Advanced Entry'!Y$5="Exponential",EXP('Advanced Entry'!Y166),'Advanced Entry'!Y166)))-'Advanced Entry'!Y$6)/('Advanced Entry'!Y$7-'Advanced Entry'!Y$6)),1))),"No data"))</f>
        <v/>
      </c>
      <c r="Z166" s="17">
        <f>IF('Advanced Entry'!Z166="","",IFERROR(MAX(0,MIN(10,ROUND(IF('Advanced Entry'!Z$8="Decrease Risk",10-10*((IF('Advanced Entry'!Z$5="Logarithm",LN(0.001+'Advanced Entry'!Z166),IF('Advanced Entry'!Z$5="Exponential",EXP('Advanced Entry'!Z166),'Advanced Entry'!Z166)))-'Advanced Entry'!Z$6)/('Advanced Entry'!Z$7-'Advanced Entry'!Z$6),10*((IF('Advanced Entry'!Z$5="Logarithm",LN(0.001+'Advanced Entry'!Z166),IF('Advanced Entry'!Z$5="Exponential",EXP('Advanced Entry'!Z166),'Advanced Entry'!Z166)))-'Advanced Entry'!Z$6)/('Advanced Entry'!Z$7-'Advanced Entry'!Z$6)),1))),"No data"))</f>
        <v/>
      </c>
      <c r="AA166" s="17">
        <f>IF('Advanced Entry'!AA166="","",IFERROR(MAX(0,MIN(10,ROUND(IF('Advanced Entry'!AA$8="Decrease Risk",10-10*((IF('Advanced Entry'!AA$5="Logarithm",LN(0.001+'Advanced Entry'!AA166),IF('Advanced Entry'!AA$5="Exponential",EXP('Advanced Entry'!AA166),'Advanced Entry'!AA166)))-'Advanced Entry'!AA$6)/('Advanced Entry'!AA$7-'Advanced Entry'!AA$6),10*((IF('Advanced Entry'!AA$5="Logarithm",LN(0.001+'Advanced Entry'!AA166),IF('Advanced Entry'!AA$5="Exponential",EXP('Advanced Entry'!AA166),'Advanced Entry'!AA166)))-'Advanced Entry'!AA$6)/('Advanced Entry'!AA$7-'Advanced Entry'!AA$6)),1))),"No data"))</f>
        <v/>
      </c>
      <c r="AB166" s="17">
        <f>IF('Advanced Entry'!AB166="","",IFERROR(MAX(0,MIN(10,ROUND(IF('Advanced Entry'!AB$8="Decrease Risk",10-10*((IF('Advanced Entry'!AB$5="Logarithm",LN(0.001+'Advanced Entry'!AB166),IF('Advanced Entry'!AB$5="Exponential",EXP('Advanced Entry'!AB166),'Advanced Entry'!AB166)))-'Advanced Entry'!AB$6)/('Advanced Entry'!AB$7-'Advanced Entry'!AB$6),10*((IF('Advanced Entry'!AB$5="Logarithm",LN(0.001+'Advanced Entry'!AB166),IF('Advanced Entry'!AB$5="Exponential",EXP('Advanced Entry'!AB166),'Advanced Entry'!AB166)))-'Advanced Entry'!AB$6)/('Advanced Entry'!AB$7-'Advanced Entry'!AB$6)),1))),"No data"))</f>
        <v/>
      </c>
    </row>
    <row r="167">
      <c r="A167" t="inlineStr">
        <is>
          <t>Shinyanga</t>
        </is>
      </c>
      <c r="B167" t="inlineStr">
        <is>
          <t>Shinyanga Municipal</t>
        </is>
      </c>
      <c r="C167" t="inlineStr">
        <is>
          <t>C124</t>
        </is>
      </c>
      <c r="D167" s="17">
        <f>IF('Advanced Entry'!D167="","",IFERROR(MAX(0,MIN(10,ROUND(IF('Advanced Entry'!D$8="Decrease Risk",10-10*((IF('Advanced Entry'!D$5="Logarithm",LN(0.001+'Advanced Entry'!D167),IF('Advanced Entry'!D$5="Exponential",EXP('Advanced Entry'!D167),'Advanced Entry'!D167)))-'Advanced Entry'!D$6)/('Advanced Entry'!D$7-'Advanced Entry'!D$6),10*((IF('Advanced Entry'!D$5="Logarithm",LN(0.001+'Advanced Entry'!D167),IF('Advanced Entry'!D$5="Exponential",EXP('Advanced Entry'!D167),'Advanced Entry'!D167)))-'Advanced Entry'!D$6)/('Advanced Entry'!D$7-'Advanced Entry'!D$6)),1))),"No data"))</f>
        <v/>
      </c>
      <c r="E167" s="17">
        <f>IF('Advanced Entry'!E167="","",IFERROR(MAX(0,MIN(10,ROUND(IF('Advanced Entry'!E$8="Decrease Risk",10-10*((IF('Advanced Entry'!E$5="Logarithm",LN(0.001+'Advanced Entry'!E167),IF('Advanced Entry'!E$5="Exponential",EXP('Advanced Entry'!E167),'Advanced Entry'!E167)))-'Advanced Entry'!E$6)/('Advanced Entry'!E$7-'Advanced Entry'!E$6),10*((IF('Advanced Entry'!E$5="Logarithm",LN(0.001+'Advanced Entry'!E167),IF('Advanced Entry'!E$5="Exponential",EXP('Advanced Entry'!E167),'Advanced Entry'!E167)))-'Advanced Entry'!E$6)/('Advanced Entry'!E$7-'Advanced Entry'!E$6)),1))),"No data"))</f>
        <v/>
      </c>
      <c r="F167" s="17">
        <f>IF('Advanced Entry'!F167="","",IFERROR(MAX(0,MIN(10,ROUND(IF('Advanced Entry'!F$8="Decrease Risk",10-10*((IF('Advanced Entry'!F$5="Logarithm",LN(0.001+'Advanced Entry'!F167),IF('Advanced Entry'!F$5="Exponential",EXP('Advanced Entry'!F167),'Advanced Entry'!F167)))-'Advanced Entry'!F$6)/('Advanced Entry'!F$7-'Advanced Entry'!F$6),10*((IF('Advanced Entry'!F$5="Logarithm",LN(0.001+'Advanced Entry'!F167),IF('Advanced Entry'!F$5="Exponential",EXP('Advanced Entry'!F167),'Advanced Entry'!F167)))-'Advanced Entry'!F$6)/('Advanced Entry'!F$7-'Advanced Entry'!F$6)),1))),"No data"))</f>
        <v/>
      </c>
      <c r="G167" s="17">
        <f>IF('Advanced Entry'!G167="","",IFERROR(MAX(0,MIN(10,ROUND(IF('Advanced Entry'!G$8="Decrease Risk",10-10*((IF('Advanced Entry'!G$5="Logarithm",LN(0.001+'Advanced Entry'!G167),IF('Advanced Entry'!G$5="Exponential",EXP('Advanced Entry'!G167),'Advanced Entry'!G167)))-'Advanced Entry'!G$6)/('Advanced Entry'!G$7-'Advanced Entry'!G$6),10*((IF('Advanced Entry'!G$5="Logarithm",LN(0.001+'Advanced Entry'!G167),IF('Advanced Entry'!G$5="Exponential",EXP('Advanced Entry'!G167),'Advanced Entry'!G167)))-'Advanced Entry'!G$6)/('Advanced Entry'!G$7-'Advanced Entry'!G$6)),1))),"No data"))</f>
        <v/>
      </c>
      <c r="H167" s="17">
        <f>IF('Advanced Entry'!H167="","",IFERROR(MAX(0,MIN(10,ROUND(IF('Advanced Entry'!H$8="Decrease Risk",10-10*((IF('Advanced Entry'!H$5="Logarithm",LN(0.001+'Advanced Entry'!H167),IF('Advanced Entry'!H$5="Exponential",EXP('Advanced Entry'!H167),'Advanced Entry'!H167)))-'Advanced Entry'!H$6)/('Advanced Entry'!H$7-'Advanced Entry'!H$6),10*((IF('Advanced Entry'!H$5="Logarithm",LN(0.001+'Advanced Entry'!H167),IF('Advanced Entry'!H$5="Exponential",EXP('Advanced Entry'!H167),'Advanced Entry'!H167)))-'Advanced Entry'!H$6)/('Advanced Entry'!H$7-'Advanced Entry'!H$6)),1))),"No data"))</f>
        <v/>
      </c>
      <c r="I167" s="17">
        <f>IF('Advanced Entry'!I167="","",IFERROR(MAX(0,MIN(10,ROUND(IF('Advanced Entry'!I$8="Decrease Risk",10-10*((IF('Advanced Entry'!I$5="Logarithm",LN(0.001+'Advanced Entry'!I167),IF('Advanced Entry'!I$5="Exponential",EXP('Advanced Entry'!I167),'Advanced Entry'!I167)))-'Advanced Entry'!I$6)/('Advanced Entry'!I$7-'Advanced Entry'!I$6),10*((IF('Advanced Entry'!I$5="Logarithm",LN(0.001+'Advanced Entry'!I167),IF('Advanced Entry'!I$5="Exponential",EXP('Advanced Entry'!I167),'Advanced Entry'!I167)))-'Advanced Entry'!I$6)/('Advanced Entry'!I$7-'Advanced Entry'!I$6)),1))),"No data"))</f>
        <v/>
      </c>
      <c r="J167" s="17">
        <f>IF('Advanced Entry'!J167="","",IFERROR(MAX(0,MIN(10,ROUND(IF('Advanced Entry'!J$8="Decrease Risk",10-10*((IF('Advanced Entry'!J$5="Logarithm",LN(0.001+'Advanced Entry'!J167),IF('Advanced Entry'!J$5="Exponential",EXP('Advanced Entry'!J167),'Advanced Entry'!J167)))-'Advanced Entry'!J$6)/('Advanced Entry'!J$7-'Advanced Entry'!J$6),10*((IF('Advanced Entry'!J$5="Logarithm",LN(0.001+'Advanced Entry'!J167),IF('Advanced Entry'!J$5="Exponential",EXP('Advanced Entry'!J167),'Advanced Entry'!J167)))-'Advanced Entry'!J$6)/('Advanced Entry'!J$7-'Advanced Entry'!J$6)),1))),"No data"))</f>
        <v/>
      </c>
      <c r="K167" s="17">
        <f>IF('Advanced Entry'!K167="","",IFERROR(MAX(0,MIN(10,ROUND(IF('Advanced Entry'!K$8="Decrease Risk",10-10*((IF('Advanced Entry'!K$5="Logarithm",LN(0.001+'Advanced Entry'!K167),IF('Advanced Entry'!K$5="Exponential",EXP('Advanced Entry'!K167),'Advanced Entry'!K167)))-'Advanced Entry'!K$6)/('Advanced Entry'!K$7-'Advanced Entry'!K$6),10*((IF('Advanced Entry'!K$5="Logarithm",LN(0.001+'Advanced Entry'!K167),IF('Advanced Entry'!K$5="Exponential",EXP('Advanced Entry'!K167),'Advanced Entry'!K167)))-'Advanced Entry'!K$6)/('Advanced Entry'!K$7-'Advanced Entry'!K$6)),1))),"No data"))</f>
        <v/>
      </c>
      <c r="L167" s="17">
        <f>IF('Advanced Entry'!L167="","",IFERROR(MAX(0,MIN(10,ROUND(IF('Advanced Entry'!L$8="Decrease Risk",10-10*((IF('Advanced Entry'!L$5="Logarithm",LN(0.001+'Advanced Entry'!L167),IF('Advanced Entry'!L$5="Exponential",EXP('Advanced Entry'!L167),'Advanced Entry'!L167)))-'Advanced Entry'!L$6)/('Advanced Entry'!L$7-'Advanced Entry'!L$6),10*((IF('Advanced Entry'!L$5="Logarithm",LN(0.001+'Advanced Entry'!L167),IF('Advanced Entry'!L$5="Exponential",EXP('Advanced Entry'!L167),'Advanced Entry'!L167)))-'Advanced Entry'!L$6)/('Advanced Entry'!L$7-'Advanced Entry'!L$6)),1))),"No data"))</f>
        <v/>
      </c>
      <c r="M167" s="17">
        <f>IF('Advanced Entry'!M167="","",IFERROR(MAX(0,MIN(10,ROUND(IF('Advanced Entry'!M$8="Decrease Risk",10-10*((IF('Advanced Entry'!M$5="Logarithm",LN(0.001+'Advanced Entry'!M167),IF('Advanced Entry'!M$5="Exponential",EXP('Advanced Entry'!M167),'Advanced Entry'!M167)))-'Advanced Entry'!M$6)/('Advanced Entry'!M$7-'Advanced Entry'!M$6),10*((IF('Advanced Entry'!M$5="Logarithm",LN(0.001+'Advanced Entry'!M167),IF('Advanced Entry'!M$5="Exponential",EXP('Advanced Entry'!M167),'Advanced Entry'!M167)))-'Advanced Entry'!M$6)/('Advanced Entry'!M$7-'Advanced Entry'!M$6)),1))),"No data"))</f>
        <v/>
      </c>
      <c r="N167" s="17">
        <f>IF('Advanced Entry'!N167="","",IFERROR(MAX(0,MIN(10,ROUND(IF('Advanced Entry'!N$8="Decrease Risk",10-10*((IF('Advanced Entry'!N$5="Logarithm",LN(0.001+'Advanced Entry'!N167),IF('Advanced Entry'!N$5="Exponential",EXP('Advanced Entry'!N167),'Advanced Entry'!N167)))-'Advanced Entry'!N$6)/('Advanced Entry'!N$7-'Advanced Entry'!N$6),10*((IF('Advanced Entry'!N$5="Logarithm",LN(0.001+'Advanced Entry'!N167),IF('Advanced Entry'!N$5="Exponential",EXP('Advanced Entry'!N167),'Advanced Entry'!N167)))-'Advanced Entry'!N$6)/('Advanced Entry'!N$7-'Advanced Entry'!N$6)),1))),"No data"))</f>
        <v/>
      </c>
      <c r="O167" s="17">
        <f>IF('Advanced Entry'!O167="","",IFERROR(MAX(0,MIN(10,ROUND(IF('Advanced Entry'!O$8="Decrease Risk",10-10*((IF('Advanced Entry'!O$5="Logarithm",LN(0.001+'Advanced Entry'!O167),IF('Advanced Entry'!O$5="Exponential",EXP('Advanced Entry'!O167),'Advanced Entry'!O167)))-'Advanced Entry'!O$6)/('Advanced Entry'!O$7-'Advanced Entry'!O$6),10*((IF('Advanced Entry'!O$5="Logarithm",LN(0.001+'Advanced Entry'!O167),IF('Advanced Entry'!O$5="Exponential",EXP('Advanced Entry'!O167),'Advanced Entry'!O167)))-'Advanced Entry'!O$6)/('Advanced Entry'!O$7-'Advanced Entry'!O$6)),1))),"No data"))</f>
        <v/>
      </c>
      <c r="P167" s="17">
        <f>IF('Advanced Entry'!P167="","",IFERROR(MAX(0,MIN(10,ROUND(IF('Advanced Entry'!P$8="Decrease Risk",10-10*((IF('Advanced Entry'!P$5="Logarithm",LN(0.001+'Advanced Entry'!P167),IF('Advanced Entry'!P$5="Exponential",EXP('Advanced Entry'!P167),'Advanced Entry'!P167)))-'Advanced Entry'!P$6)/('Advanced Entry'!P$7-'Advanced Entry'!P$6),10*((IF('Advanced Entry'!P$5="Logarithm",LN(0.001+'Advanced Entry'!P167),IF('Advanced Entry'!P$5="Exponential",EXP('Advanced Entry'!P167),'Advanced Entry'!P167)))-'Advanced Entry'!P$6)/('Advanced Entry'!P$7-'Advanced Entry'!P$6)),1))),"No data"))</f>
        <v/>
      </c>
      <c r="Q167" s="17">
        <f>IF('Advanced Entry'!Q167="","",IFERROR(MAX(0,MIN(10,ROUND(IF('Advanced Entry'!Q$8="Decrease Risk",10-10*((IF('Advanced Entry'!Q$5="Logarithm",LN(0.001+'Advanced Entry'!Q167),IF('Advanced Entry'!Q$5="Exponential",EXP('Advanced Entry'!Q167),'Advanced Entry'!Q167)))-'Advanced Entry'!Q$6)/('Advanced Entry'!Q$7-'Advanced Entry'!Q$6),10*((IF('Advanced Entry'!Q$5="Logarithm",LN(0.001+'Advanced Entry'!Q167),IF('Advanced Entry'!Q$5="Exponential",EXP('Advanced Entry'!Q167),'Advanced Entry'!Q167)))-'Advanced Entry'!Q$6)/('Advanced Entry'!Q$7-'Advanced Entry'!Q$6)),1))),"No data"))</f>
        <v/>
      </c>
      <c r="R167" s="17">
        <f>IF('Advanced Entry'!R167="","",IFERROR(MAX(0,MIN(10,ROUND(IF('Advanced Entry'!R$8="Decrease Risk",10-10*((IF('Advanced Entry'!R$5="Logarithm",LN(0.001+'Advanced Entry'!R167),IF('Advanced Entry'!R$5="Exponential",EXP('Advanced Entry'!R167),'Advanced Entry'!R167)))-'Advanced Entry'!R$6)/('Advanced Entry'!R$7-'Advanced Entry'!R$6),10*((IF('Advanced Entry'!R$5="Logarithm",LN(0.001+'Advanced Entry'!R167),IF('Advanced Entry'!R$5="Exponential",EXP('Advanced Entry'!R167),'Advanced Entry'!R167)))-'Advanced Entry'!R$6)/('Advanced Entry'!R$7-'Advanced Entry'!R$6)),1))),"No data"))</f>
        <v/>
      </c>
      <c r="S167" s="17">
        <f>IF('Advanced Entry'!S167="","",IFERROR(MAX(0,MIN(10,ROUND(IF('Advanced Entry'!S$8="Decrease Risk",10-10*((IF('Advanced Entry'!S$5="Logarithm",LN(0.001+'Advanced Entry'!S167),IF('Advanced Entry'!S$5="Exponential",EXP('Advanced Entry'!S167),'Advanced Entry'!S167)))-'Advanced Entry'!S$6)/('Advanced Entry'!S$7-'Advanced Entry'!S$6),10*((IF('Advanced Entry'!S$5="Logarithm",LN(0.001+'Advanced Entry'!S167),IF('Advanced Entry'!S$5="Exponential",EXP('Advanced Entry'!S167),'Advanced Entry'!S167)))-'Advanced Entry'!S$6)/('Advanced Entry'!S$7-'Advanced Entry'!S$6)),1))),"No data"))</f>
        <v/>
      </c>
      <c r="T167" s="17">
        <f>IF('Advanced Entry'!T167="","",IFERROR(MAX(0,MIN(10,ROUND(IF('Advanced Entry'!T$8="Decrease Risk",10-10*((IF('Advanced Entry'!T$5="Logarithm",LN(0.001+'Advanced Entry'!T167),IF('Advanced Entry'!T$5="Exponential",EXP('Advanced Entry'!T167),'Advanced Entry'!T167)))-'Advanced Entry'!T$6)/('Advanced Entry'!T$7-'Advanced Entry'!T$6),10*((IF('Advanced Entry'!T$5="Logarithm",LN(0.001+'Advanced Entry'!T167),IF('Advanced Entry'!T$5="Exponential",EXP('Advanced Entry'!T167),'Advanced Entry'!T167)))-'Advanced Entry'!T$6)/('Advanced Entry'!T$7-'Advanced Entry'!T$6)),1))),"No data"))</f>
        <v/>
      </c>
      <c r="U167" s="17">
        <f>IF('Advanced Entry'!U167="","",IFERROR(MAX(0,MIN(10,ROUND(IF('Advanced Entry'!U$8="Decrease Risk",10-10*((IF('Advanced Entry'!U$5="Logarithm",LN(0.001+'Advanced Entry'!U167),IF('Advanced Entry'!U$5="Exponential",EXP('Advanced Entry'!U167),'Advanced Entry'!U167)))-'Advanced Entry'!U$6)/('Advanced Entry'!U$7-'Advanced Entry'!U$6),10*((IF('Advanced Entry'!U$5="Logarithm",LN(0.001+'Advanced Entry'!U167),IF('Advanced Entry'!U$5="Exponential",EXP('Advanced Entry'!U167),'Advanced Entry'!U167)))-'Advanced Entry'!U$6)/('Advanced Entry'!U$7-'Advanced Entry'!U$6)),1))),"No data"))</f>
        <v/>
      </c>
      <c r="V167" s="17">
        <f>IF('Advanced Entry'!V167="","",IFERROR(MAX(0,MIN(10,ROUND(IF('Advanced Entry'!V$8="Decrease Risk",10-10*((IF('Advanced Entry'!V$5="Logarithm",LN(0.001+'Advanced Entry'!V167),IF('Advanced Entry'!V$5="Exponential",EXP('Advanced Entry'!V167),'Advanced Entry'!V167)))-'Advanced Entry'!V$6)/('Advanced Entry'!V$7-'Advanced Entry'!V$6),10*((IF('Advanced Entry'!V$5="Logarithm",LN(0.001+'Advanced Entry'!V167),IF('Advanced Entry'!V$5="Exponential",EXP('Advanced Entry'!V167),'Advanced Entry'!V167)))-'Advanced Entry'!V$6)/('Advanced Entry'!V$7-'Advanced Entry'!V$6)),1))),"No data"))</f>
        <v/>
      </c>
      <c r="W167" s="17">
        <f>IF('Advanced Entry'!W167="","",IFERROR(MAX(0,MIN(10,ROUND(IF('Advanced Entry'!W$8="Decrease Risk",10-10*((IF('Advanced Entry'!W$5="Logarithm",LN(0.001+'Advanced Entry'!W167),IF('Advanced Entry'!W$5="Exponential",EXP('Advanced Entry'!W167),'Advanced Entry'!W167)))-'Advanced Entry'!W$6)/('Advanced Entry'!W$7-'Advanced Entry'!W$6),10*((IF('Advanced Entry'!W$5="Logarithm",LN(0.001+'Advanced Entry'!W167),IF('Advanced Entry'!W$5="Exponential",EXP('Advanced Entry'!W167),'Advanced Entry'!W167)))-'Advanced Entry'!W$6)/('Advanced Entry'!W$7-'Advanced Entry'!W$6)),1))),"No data"))</f>
        <v/>
      </c>
      <c r="X167" s="17">
        <f>IF('Advanced Entry'!X167="","",IFERROR(MAX(0,MIN(10,ROUND(IF('Advanced Entry'!X$8="Decrease Risk",10-10*((IF('Advanced Entry'!X$5="Logarithm",LN(0.001+'Advanced Entry'!X167),IF('Advanced Entry'!X$5="Exponential",EXP('Advanced Entry'!X167),'Advanced Entry'!X167)))-'Advanced Entry'!X$6)/('Advanced Entry'!X$7-'Advanced Entry'!X$6),10*((IF('Advanced Entry'!X$5="Logarithm",LN(0.001+'Advanced Entry'!X167),IF('Advanced Entry'!X$5="Exponential",EXP('Advanced Entry'!X167),'Advanced Entry'!X167)))-'Advanced Entry'!X$6)/('Advanced Entry'!X$7-'Advanced Entry'!X$6)),1))),"No data"))</f>
        <v/>
      </c>
      <c r="Y167" s="17">
        <f>IF('Advanced Entry'!Y167="","",IFERROR(MAX(0,MIN(10,ROUND(IF('Advanced Entry'!Y$8="Decrease Risk",10-10*((IF('Advanced Entry'!Y$5="Logarithm",LN(0.001+'Advanced Entry'!Y167),IF('Advanced Entry'!Y$5="Exponential",EXP('Advanced Entry'!Y167),'Advanced Entry'!Y167)))-'Advanced Entry'!Y$6)/('Advanced Entry'!Y$7-'Advanced Entry'!Y$6),10*((IF('Advanced Entry'!Y$5="Logarithm",LN(0.001+'Advanced Entry'!Y167),IF('Advanced Entry'!Y$5="Exponential",EXP('Advanced Entry'!Y167),'Advanced Entry'!Y167)))-'Advanced Entry'!Y$6)/('Advanced Entry'!Y$7-'Advanced Entry'!Y$6)),1))),"No data"))</f>
        <v/>
      </c>
      <c r="Z167" s="17">
        <f>IF('Advanced Entry'!Z167="","",IFERROR(MAX(0,MIN(10,ROUND(IF('Advanced Entry'!Z$8="Decrease Risk",10-10*((IF('Advanced Entry'!Z$5="Logarithm",LN(0.001+'Advanced Entry'!Z167),IF('Advanced Entry'!Z$5="Exponential",EXP('Advanced Entry'!Z167),'Advanced Entry'!Z167)))-'Advanced Entry'!Z$6)/('Advanced Entry'!Z$7-'Advanced Entry'!Z$6),10*((IF('Advanced Entry'!Z$5="Logarithm",LN(0.001+'Advanced Entry'!Z167),IF('Advanced Entry'!Z$5="Exponential",EXP('Advanced Entry'!Z167),'Advanced Entry'!Z167)))-'Advanced Entry'!Z$6)/('Advanced Entry'!Z$7-'Advanced Entry'!Z$6)),1))),"No data"))</f>
        <v/>
      </c>
      <c r="AA167" s="17">
        <f>IF('Advanced Entry'!AA167="","",IFERROR(MAX(0,MIN(10,ROUND(IF('Advanced Entry'!AA$8="Decrease Risk",10-10*((IF('Advanced Entry'!AA$5="Logarithm",LN(0.001+'Advanced Entry'!AA167),IF('Advanced Entry'!AA$5="Exponential",EXP('Advanced Entry'!AA167),'Advanced Entry'!AA167)))-'Advanced Entry'!AA$6)/('Advanced Entry'!AA$7-'Advanced Entry'!AA$6),10*((IF('Advanced Entry'!AA$5="Logarithm",LN(0.001+'Advanced Entry'!AA167),IF('Advanced Entry'!AA$5="Exponential",EXP('Advanced Entry'!AA167),'Advanced Entry'!AA167)))-'Advanced Entry'!AA$6)/('Advanced Entry'!AA$7-'Advanced Entry'!AA$6)),1))),"No data"))</f>
        <v/>
      </c>
      <c r="AB167" s="17">
        <f>IF('Advanced Entry'!AB167="","",IFERROR(MAX(0,MIN(10,ROUND(IF('Advanced Entry'!AB$8="Decrease Risk",10-10*((IF('Advanced Entry'!AB$5="Logarithm",LN(0.001+'Advanced Entry'!AB167),IF('Advanced Entry'!AB$5="Exponential",EXP('Advanced Entry'!AB167),'Advanced Entry'!AB167)))-'Advanced Entry'!AB$6)/('Advanced Entry'!AB$7-'Advanced Entry'!AB$6),10*((IF('Advanced Entry'!AB$5="Logarithm",LN(0.001+'Advanced Entry'!AB167),IF('Advanced Entry'!AB$5="Exponential",EXP('Advanced Entry'!AB167),'Advanced Entry'!AB167)))-'Advanced Entry'!AB$6)/('Advanced Entry'!AB$7-'Advanced Entry'!AB$6)),1))),"No data"))</f>
        <v/>
      </c>
    </row>
    <row r="168">
      <c r="A168" t="inlineStr">
        <is>
          <t>Shinyanga</t>
        </is>
      </c>
      <c r="B168" t="inlineStr">
        <is>
          <t>Ushetu District</t>
        </is>
      </c>
      <c r="C168" t="inlineStr">
        <is>
          <t>C119</t>
        </is>
      </c>
      <c r="D168" s="17">
        <f>IF('Advanced Entry'!D168="","",IFERROR(MAX(0,MIN(10,ROUND(IF('Advanced Entry'!D$8="Decrease Risk",10-10*((IF('Advanced Entry'!D$5="Logarithm",LN(0.001+'Advanced Entry'!D168),IF('Advanced Entry'!D$5="Exponential",EXP('Advanced Entry'!D168),'Advanced Entry'!D168)))-'Advanced Entry'!D$6)/('Advanced Entry'!D$7-'Advanced Entry'!D$6),10*((IF('Advanced Entry'!D$5="Logarithm",LN(0.001+'Advanced Entry'!D168),IF('Advanced Entry'!D$5="Exponential",EXP('Advanced Entry'!D168),'Advanced Entry'!D168)))-'Advanced Entry'!D$6)/('Advanced Entry'!D$7-'Advanced Entry'!D$6)),1))),"No data"))</f>
        <v/>
      </c>
      <c r="E168" s="17">
        <f>IF('Advanced Entry'!E168="","",IFERROR(MAX(0,MIN(10,ROUND(IF('Advanced Entry'!E$8="Decrease Risk",10-10*((IF('Advanced Entry'!E$5="Logarithm",LN(0.001+'Advanced Entry'!E168),IF('Advanced Entry'!E$5="Exponential",EXP('Advanced Entry'!E168),'Advanced Entry'!E168)))-'Advanced Entry'!E$6)/('Advanced Entry'!E$7-'Advanced Entry'!E$6),10*((IF('Advanced Entry'!E$5="Logarithm",LN(0.001+'Advanced Entry'!E168),IF('Advanced Entry'!E$5="Exponential",EXP('Advanced Entry'!E168),'Advanced Entry'!E168)))-'Advanced Entry'!E$6)/('Advanced Entry'!E$7-'Advanced Entry'!E$6)),1))),"No data"))</f>
        <v/>
      </c>
      <c r="F168" s="17">
        <f>IF('Advanced Entry'!F168="","",IFERROR(MAX(0,MIN(10,ROUND(IF('Advanced Entry'!F$8="Decrease Risk",10-10*((IF('Advanced Entry'!F$5="Logarithm",LN(0.001+'Advanced Entry'!F168),IF('Advanced Entry'!F$5="Exponential",EXP('Advanced Entry'!F168),'Advanced Entry'!F168)))-'Advanced Entry'!F$6)/('Advanced Entry'!F$7-'Advanced Entry'!F$6),10*((IF('Advanced Entry'!F$5="Logarithm",LN(0.001+'Advanced Entry'!F168),IF('Advanced Entry'!F$5="Exponential",EXP('Advanced Entry'!F168),'Advanced Entry'!F168)))-'Advanced Entry'!F$6)/('Advanced Entry'!F$7-'Advanced Entry'!F$6)),1))),"No data"))</f>
        <v/>
      </c>
      <c r="G168" s="17">
        <f>IF('Advanced Entry'!G168="","",IFERROR(MAX(0,MIN(10,ROUND(IF('Advanced Entry'!G$8="Decrease Risk",10-10*((IF('Advanced Entry'!G$5="Logarithm",LN(0.001+'Advanced Entry'!G168),IF('Advanced Entry'!G$5="Exponential",EXP('Advanced Entry'!G168),'Advanced Entry'!G168)))-'Advanced Entry'!G$6)/('Advanced Entry'!G$7-'Advanced Entry'!G$6),10*((IF('Advanced Entry'!G$5="Logarithm",LN(0.001+'Advanced Entry'!G168),IF('Advanced Entry'!G$5="Exponential",EXP('Advanced Entry'!G168),'Advanced Entry'!G168)))-'Advanced Entry'!G$6)/('Advanced Entry'!G$7-'Advanced Entry'!G$6)),1))),"No data"))</f>
        <v/>
      </c>
      <c r="H168" s="17">
        <f>IF('Advanced Entry'!H168="","",IFERROR(MAX(0,MIN(10,ROUND(IF('Advanced Entry'!H$8="Decrease Risk",10-10*((IF('Advanced Entry'!H$5="Logarithm",LN(0.001+'Advanced Entry'!H168),IF('Advanced Entry'!H$5="Exponential",EXP('Advanced Entry'!H168),'Advanced Entry'!H168)))-'Advanced Entry'!H$6)/('Advanced Entry'!H$7-'Advanced Entry'!H$6),10*((IF('Advanced Entry'!H$5="Logarithm",LN(0.001+'Advanced Entry'!H168),IF('Advanced Entry'!H$5="Exponential",EXP('Advanced Entry'!H168),'Advanced Entry'!H168)))-'Advanced Entry'!H$6)/('Advanced Entry'!H$7-'Advanced Entry'!H$6)),1))),"No data"))</f>
        <v/>
      </c>
      <c r="I168" s="17">
        <f>IF('Advanced Entry'!I168="","",IFERROR(MAX(0,MIN(10,ROUND(IF('Advanced Entry'!I$8="Decrease Risk",10-10*((IF('Advanced Entry'!I$5="Logarithm",LN(0.001+'Advanced Entry'!I168),IF('Advanced Entry'!I$5="Exponential",EXP('Advanced Entry'!I168),'Advanced Entry'!I168)))-'Advanced Entry'!I$6)/('Advanced Entry'!I$7-'Advanced Entry'!I$6),10*((IF('Advanced Entry'!I$5="Logarithm",LN(0.001+'Advanced Entry'!I168),IF('Advanced Entry'!I$5="Exponential",EXP('Advanced Entry'!I168),'Advanced Entry'!I168)))-'Advanced Entry'!I$6)/('Advanced Entry'!I$7-'Advanced Entry'!I$6)),1))),"No data"))</f>
        <v/>
      </c>
      <c r="J168" s="17">
        <f>IF('Advanced Entry'!J168="","",IFERROR(MAX(0,MIN(10,ROUND(IF('Advanced Entry'!J$8="Decrease Risk",10-10*((IF('Advanced Entry'!J$5="Logarithm",LN(0.001+'Advanced Entry'!J168),IF('Advanced Entry'!J$5="Exponential",EXP('Advanced Entry'!J168),'Advanced Entry'!J168)))-'Advanced Entry'!J$6)/('Advanced Entry'!J$7-'Advanced Entry'!J$6),10*((IF('Advanced Entry'!J$5="Logarithm",LN(0.001+'Advanced Entry'!J168),IF('Advanced Entry'!J$5="Exponential",EXP('Advanced Entry'!J168),'Advanced Entry'!J168)))-'Advanced Entry'!J$6)/('Advanced Entry'!J$7-'Advanced Entry'!J$6)),1))),"No data"))</f>
        <v/>
      </c>
      <c r="K168" s="17">
        <f>IF('Advanced Entry'!K168="","",IFERROR(MAX(0,MIN(10,ROUND(IF('Advanced Entry'!K$8="Decrease Risk",10-10*((IF('Advanced Entry'!K$5="Logarithm",LN(0.001+'Advanced Entry'!K168),IF('Advanced Entry'!K$5="Exponential",EXP('Advanced Entry'!K168),'Advanced Entry'!K168)))-'Advanced Entry'!K$6)/('Advanced Entry'!K$7-'Advanced Entry'!K$6),10*((IF('Advanced Entry'!K$5="Logarithm",LN(0.001+'Advanced Entry'!K168),IF('Advanced Entry'!K$5="Exponential",EXP('Advanced Entry'!K168),'Advanced Entry'!K168)))-'Advanced Entry'!K$6)/('Advanced Entry'!K$7-'Advanced Entry'!K$6)),1))),"No data"))</f>
        <v/>
      </c>
      <c r="L168" s="17">
        <f>IF('Advanced Entry'!L168="","",IFERROR(MAX(0,MIN(10,ROUND(IF('Advanced Entry'!L$8="Decrease Risk",10-10*((IF('Advanced Entry'!L$5="Logarithm",LN(0.001+'Advanced Entry'!L168),IF('Advanced Entry'!L$5="Exponential",EXP('Advanced Entry'!L168),'Advanced Entry'!L168)))-'Advanced Entry'!L$6)/('Advanced Entry'!L$7-'Advanced Entry'!L$6),10*((IF('Advanced Entry'!L$5="Logarithm",LN(0.001+'Advanced Entry'!L168),IF('Advanced Entry'!L$5="Exponential",EXP('Advanced Entry'!L168),'Advanced Entry'!L168)))-'Advanced Entry'!L$6)/('Advanced Entry'!L$7-'Advanced Entry'!L$6)),1))),"No data"))</f>
        <v/>
      </c>
      <c r="M168" s="17">
        <f>IF('Advanced Entry'!M168="","",IFERROR(MAX(0,MIN(10,ROUND(IF('Advanced Entry'!M$8="Decrease Risk",10-10*((IF('Advanced Entry'!M$5="Logarithm",LN(0.001+'Advanced Entry'!M168),IF('Advanced Entry'!M$5="Exponential",EXP('Advanced Entry'!M168),'Advanced Entry'!M168)))-'Advanced Entry'!M$6)/('Advanced Entry'!M$7-'Advanced Entry'!M$6),10*((IF('Advanced Entry'!M$5="Logarithm",LN(0.001+'Advanced Entry'!M168),IF('Advanced Entry'!M$5="Exponential",EXP('Advanced Entry'!M168),'Advanced Entry'!M168)))-'Advanced Entry'!M$6)/('Advanced Entry'!M$7-'Advanced Entry'!M$6)),1))),"No data"))</f>
        <v/>
      </c>
      <c r="N168" s="17">
        <f>IF('Advanced Entry'!N168="","",IFERROR(MAX(0,MIN(10,ROUND(IF('Advanced Entry'!N$8="Decrease Risk",10-10*((IF('Advanced Entry'!N$5="Logarithm",LN(0.001+'Advanced Entry'!N168),IF('Advanced Entry'!N$5="Exponential",EXP('Advanced Entry'!N168),'Advanced Entry'!N168)))-'Advanced Entry'!N$6)/('Advanced Entry'!N$7-'Advanced Entry'!N$6),10*((IF('Advanced Entry'!N$5="Logarithm",LN(0.001+'Advanced Entry'!N168),IF('Advanced Entry'!N$5="Exponential",EXP('Advanced Entry'!N168),'Advanced Entry'!N168)))-'Advanced Entry'!N$6)/('Advanced Entry'!N$7-'Advanced Entry'!N$6)),1))),"No data"))</f>
        <v/>
      </c>
      <c r="O168" s="17">
        <f>IF('Advanced Entry'!O168="","",IFERROR(MAX(0,MIN(10,ROUND(IF('Advanced Entry'!O$8="Decrease Risk",10-10*((IF('Advanced Entry'!O$5="Logarithm",LN(0.001+'Advanced Entry'!O168),IF('Advanced Entry'!O$5="Exponential",EXP('Advanced Entry'!O168),'Advanced Entry'!O168)))-'Advanced Entry'!O$6)/('Advanced Entry'!O$7-'Advanced Entry'!O$6),10*((IF('Advanced Entry'!O$5="Logarithm",LN(0.001+'Advanced Entry'!O168),IF('Advanced Entry'!O$5="Exponential",EXP('Advanced Entry'!O168),'Advanced Entry'!O168)))-'Advanced Entry'!O$6)/('Advanced Entry'!O$7-'Advanced Entry'!O$6)),1))),"No data"))</f>
        <v/>
      </c>
      <c r="P168" s="17">
        <f>IF('Advanced Entry'!P168="","",IFERROR(MAX(0,MIN(10,ROUND(IF('Advanced Entry'!P$8="Decrease Risk",10-10*((IF('Advanced Entry'!P$5="Logarithm",LN(0.001+'Advanced Entry'!P168),IF('Advanced Entry'!P$5="Exponential",EXP('Advanced Entry'!P168),'Advanced Entry'!P168)))-'Advanced Entry'!P$6)/('Advanced Entry'!P$7-'Advanced Entry'!P$6),10*((IF('Advanced Entry'!P$5="Logarithm",LN(0.001+'Advanced Entry'!P168),IF('Advanced Entry'!P$5="Exponential",EXP('Advanced Entry'!P168),'Advanced Entry'!P168)))-'Advanced Entry'!P$6)/('Advanced Entry'!P$7-'Advanced Entry'!P$6)),1))),"No data"))</f>
        <v/>
      </c>
      <c r="Q168" s="17">
        <f>IF('Advanced Entry'!Q168="","",IFERROR(MAX(0,MIN(10,ROUND(IF('Advanced Entry'!Q$8="Decrease Risk",10-10*((IF('Advanced Entry'!Q$5="Logarithm",LN(0.001+'Advanced Entry'!Q168),IF('Advanced Entry'!Q$5="Exponential",EXP('Advanced Entry'!Q168),'Advanced Entry'!Q168)))-'Advanced Entry'!Q$6)/('Advanced Entry'!Q$7-'Advanced Entry'!Q$6),10*((IF('Advanced Entry'!Q$5="Logarithm",LN(0.001+'Advanced Entry'!Q168),IF('Advanced Entry'!Q$5="Exponential",EXP('Advanced Entry'!Q168),'Advanced Entry'!Q168)))-'Advanced Entry'!Q$6)/('Advanced Entry'!Q$7-'Advanced Entry'!Q$6)),1))),"No data"))</f>
        <v/>
      </c>
      <c r="R168" s="17">
        <f>IF('Advanced Entry'!R168="","",IFERROR(MAX(0,MIN(10,ROUND(IF('Advanced Entry'!R$8="Decrease Risk",10-10*((IF('Advanced Entry'!R$5="Logarithm",LN(0.001+'Advanced Entry'!R168),IF('Advanced Entry'!R$5="Exponential",EXP('Advanced Entry'!R168),'Advanced Entry'!R168)))-'Advanced Entry'!R$6)/('Advanced Entry'!R$7-'Advanced Entry'!R$6),10*((IF('Advanced Entry'!R$5="Logarithm",LN(0.001+'Advanced Entry'!R168),IF('Advanced Entry'!R$5="Exponential",EXP('Advanced Entry'!R168),'Advanced Entry'!R168)))-'Advanced Entry'!R$6)/('Advanced Entry'!R$7-'Advanced Entry'!R$6)),1))),"No data"))</f>
        <v/>
      </c>
      <c r="S168" s="17">
        <f>IF('Advanced Entry'!S168="","",IFERROR(MAX(0,MIN(10,ROUND(IF('Advanced Entry'!S$8="Decrease Risk",10-10*((IF('Advanced Entry'!S$5="Logarithm",LN(0.001+'Advanced Entry'!S168),IF('Advanced Entry'!S$5="Exponential",EXP('Advanced Entry'!S168),'Advanced Entry'!S168)))-'Advanced Entry'!S$6)/('Advanced Entry'!S$7-'Advanced Entry'!S$6),10*((IF('Advanced Entry'!S$5="Logarithm",LN(0.001+'Advanced Entry'!S168),IF('Advanced Entry'!S$5="Exponential",EXP('Advanced Entry'!S168),'Advanced Entry'!S168)))-'Advanced Entry'!S$6)/('Advanced Entry'!S$7-'Advanced Entry'!S$6)),1))),"No data"))</f>
        <v/>
      </c>
      <c r="T168" s="17">
        <f>IF('Advanced Entry'!T168="","",IFERROR(MAX(0,MIN(10,ROUND(IF('Advanced Entry'!T$8="Decrease Risk",10-10*((IF('Advanced Entry'!T$5="Logarithm",LN(0.001+'Advanced Entry'!T168),IF('Advanced Entry'!T$5="Exponential",EXP('Advanced Entry'!T168),'Advanced Entry'!T168)))-'Advanced Entry'!T$6)/('Advanced Entry'!T$7-'Advanced Entry'!T$6),10*((IF('Advanced Entry'!T$5="Logarithm",LN(0.001+'Advanced Entry'!T168),IF('Advanced Entry'!T$5="Exponential",EXP('Advanced Entry'!T168),'Advanced Entry'!T168)))-'Advanced Entry'!T$6)/('Advanced Entry'!T$7-'Advanced Entry'!T$6)),1))),"No data"))</f>
        <v/>
      </c>
      <c r="U168" s="17">
        <f>IF('Advanced Entry'!U168="","",IFERROR(MAX(0,MIN(10,ROUND(IF('Advanced Entry'!U$8="Decrease Risk",10-10*((IF('Advanced Entry'!U$5="Logarithm",LN(0.001+'Advanced Entry'!U168),IF('Advanced Entry'!U$5="Exponential",EXP('Advanced Entry'!U168),'Advanced Entry'!U168)))-'Advanced Entry'!U$6)/('Advanced Entry'!U$7-'Advanced Entry'!U$6),10*((IF('Advanced Entry'!U$5="Logarithm",LN(0.001+'Advanced Entry'!U168),IF('Advanced Entry'!U$5="Exponential",EXP('Advanced Entry'!U168),'Advanced Entry'!U168)))-'Advanced Entry'!U$6)/('Advanced Entry'!U$7-'Advanced Entry'!U$6)),1))),"No data"))</f>
        <v/>
      </c>
      <c r="V168" s="17">
        <f>IF('Advanced Entry'!V168="","",IFERROR(MAX(0,MIN(10,ROUND(IF('Advanced Entry'!V$8="Decrease Risk",10-10*((IF('Advanced Entry'!V$5="Logarithm",LN(0.001+'Advanced Entry'!V168),IF('Advanced Entry'!V$5="Exponential",EXP('Advanced Entry'!V168),'Advanced Entry'!V168)))-'Advanced Entry'!V$6)/('Advanced Entry'!V$7-'Advanced Entry'!V$6),10*((IF('Advanced Entry'!V$5="Logarithm",LN(0.001+'Advanced Entry'!V168),IF('Advanced Entry'!V$5="Exponential",EXP('Advanced Entry'!V168),'Advanced Entry'!V168)))-'Advanced Entry'!V$6)/('Advanced Entry'!V$7-'Advanced Entry'!V$6)),1))),"No data"))</f>
        <v/>
      </c>
      <c r="W168" s="17">
        <f>IF('Advanced Entry'!W168="","",IFERROR(MAX(0,MIN(10,ROUND(IF('Advanced Entry'!W$8="Decrease Risk",10-10*((IF('Advanced Entry'!W$5="Logarithm",LN(0.001+'Advanced Entry'!W168),IF('Advanced Entry'!W$5="Exponential",EXP('Advanced Entry'!W168),'Advanced Entry'!W168)))-'Advanced Entry'!W$6)/('Advanced Entry'!W$7-'Advanced Entry'!W$6),10*((IF('Advanced Entry'!W$5="Logarithm",LN(0.001+'Advanced Entry'!W168),IF('Advanced Entry'!W$5="Exponential",EXP('Advanced Entry'!W168),'Advanced Entry'!W168)))-'Advanced Entry'!W$6)/('Advanced Entry'!W$7-'Advanced Entry'!W$6)),1))),"No data"))</f>
        <v/>
      </c>
      <c r="X168" s="17">
        <f>IF('Advanced Entry'!X168="","",IFERROR(MAX(0,MIN(10,ROUND(IF('Advanced Entry'!X$8="Decrease Risk",10-10*((IF('Advanced Entry'!X$5="Logarithm",LN(0.001+'Advanced Entry'!X168),IF('Advanced Entry'!X$5="Exponential",EXP('Advanced Entry'!X168),'Advanced Entry'!X168)))-'Advanced Entry'!X$6)/('Advanced Entry'!X$7-'Advanced Entry'!X$6),10*((IF('Advanced Entry'!X$5="Logarithm",LN(0.001+'Advanced Entry'!X168),IF('Advanced Entry'!X$5="Exponential",EXP('Advanced Entry'!X168),'Advanced Entry'!X168)))-'Advanced Entry'!X$6)/('Advanced Entry'!X$7-'Advanced Entry'!X$6)),1))),"No data"))</f>
        <v/>
      </c>
      <c r="Y168" s="17">
        <f>IF('Advanced Entry'!Y168="","",IFERROR(MAX(0,MIN(10,ROUND(IF('Advanced Entry'!Y$8="Decrease Risk",10-10*((IF('Advanced Entry'!Y$5="Logarithm",LN(0.001+'Advanced Entry'!Y168),IF('Advanced Entry'!Y$5="Exponential",EXP('Advanced Entry'!Y168),'Advanced Entry'!Y168)))-'Advanced Entry'!Y$6)/('Advanced Entry'!Y$7-'Advanced Entry'!Y$6),10*((IF('Advanced Entry'!Y$5="Logarithm",LN(0.001+'Advanced Entry'!Y168),IF('Advanced Entry'!Y$5="Exponential",EXP('Advanced Entry'!Y168),'Advanced Entry'!Y168)))-'Advanced Entry'!Y$6)/('Advanced Entry'!Y$7-'Advanced Entry'!Y$6)),1))),"No data"))</f>
        <v/>
      </c>
      <c r="Z168" s="17">
        <f>IF('Advanced Entry'!Z168="","",IFERROR(MAX(0,MIN(10,ROUND(IF('Advanced Entry'!Z$8="Decrease Risk",10-10*((IF('Advanced Entry'!Z$5="Logarithm",LN(0.001+'Advanced Entry'!Z168),IF('Advanced Entry'!Z$5="Exponential",EXP('Advanced Entry'!Z168),'Advanced Entry'!Z168)))-'Advanced Entry'!Z$6)/('Advanced Entry'!Z$7-'Advanced Entry'!Z$6),10*((IF('Advanced Entry'!Z$5="Logarithm",LN(0.001+'Advanced Entry'!Z168),IF('Advanced Entry'!Z$5="Exponential",EXP('Advanced Entry'!Z168),'Advanced Entry'!Z168)))-'Advanced Entry'!Z$6)/('Advanced Entry'!Z$7-'Advanced Entry'!Z$6)),1))),"No data"))</f>
        <v/>
      </c>
      <c r="AA168" s="17">
        <f>IF('Advanced Entry'!AA168="","",IFERROR(MAX(0,MIN(10,ROUND(IF('Advanced Entry'!AA$8="Decrease Risk",10-10*((IF('Advanced Entry'!AA$5="Logarithm",LN(0.001+'Advanced Entry'!AA168),IF('Advanced Entry'!AA$5="Exponential",EXP('Advanced Entry'!AA168),'Advanced Entry'!AA168)))-'Advanced Entry'!AA$6)/('Advanced Entry'!AA$7-'Advanced Entry'!AA$6),10*((IF('Advanced Entry'!AA$5="Logarithm",LN(0.001+'Advanced Entry'!AA168),IF('Advanced Entry'!AA$5="Exponential",EXP('Advanced Entry'!AA168),'Advanced Entry'!AA168)))-'Advanced Entry'!AA$6)/('Advanced Entry'!AA$7-'Advanced Entry'!AA$6)),1))),"No data"))</f>
        <v/>
      </c>
      <c r="AB168" s="17">
        <f>IF('Advanced Entry'!AB168="","",IFERROR(MAX(0,MIN(10,ROUND(IF('Advanced Entry'!AB$8="Decrease Risk",10-10*((IF('Advanced Entry'!AB$5="Logarithm",LN(0.001+'Advanced Entry'!AB168),IF('Advanced Entry'!AB$5="Exponential",EXP('Advanced Entry'!AB168),'Advanced Entry'!AB168)))-'Advanced Entry'!AB$6)/('Advanced Entry'!AB$7-'Advanced Entry'!AB$6),10*((IF('Advanced Entry'!AB$5="Logarithm",LN(0.001+'Advanced Entry'!AB168),IF('Advanced Entry'!AB$5="Exponential",EXP('Advanced Entry'!AB168),'Advanced Entry'!AB168)))-'Advanced Entry'!AB$6)/('Advanced Entry'!AB$7-'Advanced Entry'!AB$6)),1))),"No data"))</f>
        <v/>
      </c>
    </row>
    <row r="169">
      <c r="A169" t="inlineStr">
        <is>
          <t>Simiyu</t>
        </is>
      </c>
      <c r="B169" t="inlineStr">
        <is>
          <t>Bariadi District</t>
        </is>
      </c>
      <c r="C169" t="inlineStr">
        <is>
          <t>C168</t>
        </is>
      </c>
      <c r="D169" s="17">
        <f>IF('Advanced Entry'!D169="","",IFERROR(MAX(0,MIN(10,ROUND(IF('Advanced Entry'!D$8="Decrease Risk",10-10*((IF('Advanced Entry'!D$5="Logarithm",LN(0.001+'Advanced Entry'!D169),IF('Advanced Entry'!D$5="Exponential",EXP('Advanced Entry'!D169),'Advanced Entry'!D169)))-'Advanced Entry'!D$6)/('Advanced Entry'!D$7-'Advanced Entry'!D$6),10*((IF('Advanced Entry'!D$5="Logarithm",LN(0.001+'Advanced Entry'!D169),IF('Advanced Entry'!D$5="Exponential",EXP('Advanced Entry'!D169),'Advanced Entry'!D169)))-'Advanced Entry'!D$6)/('Advanced Entry'!D$7-'Advanced Entry'!D$6)),1))),"No data"))</f>
        <v/>
      </c>
      <c r="E169" s="17">
        <f>IF('Advanced Entry'!E169="","",IFERROR(MAX(0,MIN(10,ROUND(IF('Advanced Entry'!E$8="Decrease Risk",10-10*((IF('Advanced Entry'!E$5="Logarithm",LN(0.001+'Advanced Entry'!E169),IF('Advanced Entry'!E$5="Exponential",EXP('Advanced Entry'!E169),'Advanced Entry'!E169)))-'Advanced Entry'!E$6)/('Advanced Entry'!E$7-'Advanced Entry'!E$6),10*((IF('Advanced Entry'!E$5="Logarithm",LN(0.001+'Advanced Entry'!E169),IF('Advanced Entry'!E$5="Exponential",EXP('Advanced Entry'!E169),'Advanced Entry'!E169)))-'Advanced Entry'!E$6)/('Advanced Entry'!E$7-'Advanced Entry'!E$6)),1))),"No data"))</f>
        <v/>
      </c>
      <c r="F169" s="17">
        <f>IF('Advanced Entry'!F169="","",IFERROR(MAX(0,MIN(10,ROUND(IF('Advanced Entry'!F$8="Decrease Risk",10-10*((IF('Advanced Entry'!F$5="Logarithm",LN(0.001+'Advanced Entry'!F169),IF('Advanced Entry'!F$5="Exponential",EXP('Advanced Entry'!F169),'Advanced Entry'!F169)))-'Advanced Entry'!F$6)/('Advanced Entry'!F$7-'Advanced Entry'!F$6),10*((IF('Advanced Entry'!F$5="Logarithm",LN(0.001+'Advanced Entry'!F169),IF('Advanced Entry'!F$5="Exponential",EXP('Advanced Entry'!F169),'Advanced Entry'!F169)))-'Advanced Entry'!F$6)/('Advanced Entry'!F$7-'Advanced Entry'!F$6)),1))),"No data"))</f>
        <v/>
      </c>
      <c r="G169" s="17">
        <f>IF('Advanced Entry'!G169="","",IFERROR(MAX(0,MIN(10,ROUND(IF('Advanced Entry'!G$8="Decrease Risk",10-10*((IF('Advanced Entry'!G$5="Logarithm",LN(0.001+'Advanced Entry'!G169),IF('Advanced Entry'!G$5="Exponential",EXP('Advanced Entry'!G169),'Advanced Entry'!G169)))-'Advanced Entry'!G$6)/('Advanced Entry'!G$7-'Advanced Entry'!G$6),10*((IF('Advanced Entry'!G$5="Logarithm",LN(0.001+'Advanced Entry'!G169),IF('Advanced Entry'!G$5="Exponential",EXP('Advanced Entry'!G169),'Advanced Entry'!G169)))-'Advanced Entry'!G$6)/('Advanced Entry'!G$7-'Advanced Entry'!G$6)),1))),"No data"))</f>
        <v/>
      </c>
      <c r="H169" s="17">
        <f>IF('Advanced Entry'!H169="","",IFERROR(MAX(0,MIN(10,ROUND(IF('Advanced Entry'!H$8="Decrease Risk",10-10*((IF('Advanced Entry'!H$5="Logarithm",LN(0.001+'Advanced Entry'!H169),IF('Advanced Entry'!H$5="Exponential",EXP('Advanced Entry'!H169),'Advanced Entry'!H169)))-'Advanced Entry'!H$6)/('Advanced Entry'!H$7-'Advanced Entry'!H$6),10*((IF('Advanced Entry'!H$5="Logarithm",LN(0.001+'Advanced Entry'!H169),IF('Advanced Entry'!H$5="Exponential",EXP('Advanced Entry'!H169),'Advanced Entry'!H169)))-'Advanced Entry'!H$6)/('Advanced Entry'!H$7-'Advanced Entry'!H$6)),1))),"No data"))</f>
        <v/>
      </c>
      <c r="I169" s="17">
        <f>IF('Advanced Entry'!I169="","",IFERROR(MAX(0,MIN(10,ROUND(IF('Advanced Entry'!I$8="Decrease Risk",10-10*((IF('Advanced Entry'!I$5="Logarithm",LN(0.001+'Advanced Entry'!I169),IF('Advanced Entry'!I$5="Exponential",EXP('Advanced Entry'!I169),'Advanced Entry'!I169)))-'Advanced Entry'!I$6)/('Advanced Entry'!I$7-'Advanced Entry'!I$6),10*((IF('Advanced Entry'!I$5="Logarithm",LN(0.001+'Advanced Entry'!I169),IF('Advanced Entry'!I$5="Exponential",EXP('Advanced Entry'!I169),'Advanced Entry'!I169)))-'Advanced Entry'!I$6)/('Advanced Entry'!I$7-'Advanced Entry'!I$6)),1))),"No data"))</f>
        <v/>
      </c>
      <c r="J169" s="17">
        <f>IF('Advanced Entry'!J169="","",IFERROR(MAX(0,MIN(10,ROUND(IF('Advanced Entry'!J$8="Decrease Risk",10-10*((IF('Advanced Entry'!J$5="Logarithm",LN(0.001+'Advanced Entry'!J169),IF('Advanced Entry'!J$5="Exponential",EXP('Advanced Entry'!J169),'Advanced Entry'!J169)))-'Advanced Entry'!J$6)/('Advanced Entry'!J$7-'Advanced Entry'!J$6),10*((IF('Advanced Entry'!J$5="Logarithm",LN(0.001+'Advanced Entry'!J169),IF('Advanced Entry'!J$5="Exponential",EXP('Advanced Entry'!J169),'Advanced Entry'!J169)))-'Advanced Entry'!J$6)/('Advanced Entry'!J$7-'Advanced Entry'!J$6)),1))),"No data"))</f>
        <v/>
      </c>
      <c r="K169" s="17">
        <f>IF('Advanced Entry'!K169="","",IFERROR(MAX(0,MIN(10,ROUND(IF('Advanced Entry'!K$8="Decrease Risk",10-10*((IF('Advanced Entry'!K$5="Logarithm",LN(0.001+'Advanced Entry'!K169),IF('Advanced Entry'!K$5="Exponential",EXP('Advanced Entry'!K169),'Advanced Entry'!K169)))-'Advanced Entry'!K$6)/('Advanced Entry'!K$7-'Advanced Entry'!K$6),10*((IF('Advanced Entry'!K$5="Logarithm",LN(0.001+'Advanced Entry'!K169),IF('Advanced Entry'!K$5="Exponential",EXP('Advanced Entry'!K169),'Advanced Entry'!K169)))-'Advanced Entry'!K$6)/('Advanced Entry'!K$7-'Advanced Entry'!K$6)),1))),"No data"))</f>
        <v/>
      </c>
      <c r="L169" s="17">
        <f>IF('Advanced Entry'!L169="","",IFERROR(MAX(0,MIN(10,ROUND(IF('Advanced Entry'!L$8="Decrease Risk",10-10*((IF('Advanced Entry'!L$5="Logarithm",LN(0.001+'Advanced Entry'!L169),IF('Advanced Entry'!L$5="Exponential",EXP('Advanced Entry'!L169),'Advanced Entry'!L169)))-'Advanced Entry'!L$6)/('Advanced Entry'!L$7-'Advanced Entry'!L$6),10*((IF('Advanced Entry'!L$5="Logarithm",LN(0.001+'Advanced Entry'!L169),IF('Advanced Entry'!L$5="Exponential",EXP('Advanced Entry'!L169),'Advanced Entry'!L169)))-'Advanced Entry'!L$6)/('Advanced Entry'!L$7-'Advanced Entry'!L$6)),1))),"No data"))</f>
        <v/>
      </c>
      <c r="M169" s="17">
        <f>IF('Advanced Entry'!M169="","",IFERROR(MAX(0,MIN(10,ROUND(IF('Advanced Entry'!M$8="Decrease Risk",10-10*((IF('Advanced Entry'!M$5="Logarithm",LN(0.001+'Advanced Entry'!M169),IF('Advanced Entry'!M$5="Exponential",EXP('Advanced Entry'!M169),'Advanced Entry'!M169)))-'Advanced Entry'!M$6)/('Advanced Entry'!M$7-'Advanced Entry'!M$6),10*((IF('Advanced Entry'!M$5="Logarithm",LN(0.001+'Advanced Entry'!M169),IF('Advanced Entry'!M$5="Exponential",EXP('Advanced Entry'!M169),'Advanced Entry'!M169)))-'Advanced Entry'!M$6)/('Advanced Entry'!M$7-'Advanced Entry'!M$6)),1))),"No data"))</f>
        <v/>
      </c>
      <c r="N169" s="17">
        <f>IF('Advanced Entry'!N169="","",IFERROR(MAX(0,MIN(10,ROUND(IF('Advanced Entry'!N$8="Decrease Risk",10-10*((IF('Advanced Entry'!N$5="Logarithm",LN(0.001+'Advanced Entry'!N169),IF('Advanced Entry'!N$5="Exponential",EXP('Advanced Entry'!N169),'Advanced Entry'!N169)))-'Advanced Entry'!N$6)/('Advanced Entry'!N$7-'Advanced Entry'!N$6),10*((IF('Advanced Entry'!N$5="Logarithm",LN(0.001+'Advanced Entry'!N169),IF('Advanced Entry'!N$5="Exponential",EXP('Advanced Entry'!N169),'Advanced Entry'!N169)))-'Advanced Entry'!N$6)/('Advanced Entry'!N$7-'Advanced Entry'!N$6)),1))),"No data"))</f>
        <v/>
      </c>
      <c r="O169" s="17">
        <f>IF('Advanced Entry'!O169="","",IFERROR(MAX(0,MIN(10,ROUND(IF('Advanced Entry'!O$8="Decrease Risk",10-10*((IF('Advanced Entry'!O$5="Logarithm",LN(0.001+'Advanced Entry'!O169),IF('Advanced Entry'!O$5="Exponential",EXP('Advanced Entry'!O169),'Advanced Entry'!O169)))-'Advanced Entry'!O$6)/('Advanced Entry'!O$7-'Advanced Entry'!O$6),10*((IF('Advanced Entry'!O$5="Logarithm",LN(0.001+'Advanced Entry'!O169),IF('Advanced Entry'!O$5="Exponential",EXP('Advanced Entry'!O169),'Advanced Entry'!O169)))-'Advanced Entry'!O$6)/('Advanced Entry'!O$7-'Advanced Entry'!O$6)),1))),"No data"))</f>
        <v/>
      </c>
      <c r="P169" s="17">
        <f>IF('Advanced Entry'!P169="","",IFERROR(MAX(0,MIN(10,ROUND(IF('Advanced Entry'!P$8="Decrease Risk",10-10*((IF('Advanced Entry'!P$5="Logarithm",LN(0.001+'Advanced Entry'!P169),IF('Advanced Entry'!P$5="Exponential",EXP('Advanced Entry'!P169),'Advanced Entry'!P169)))-'Advanced Entry'!P$6)/('Advanced Entry'!P$7-'Advanced Entry'!P$6),10*((IF('Advanced Entry'!P$5="Logarithm",LN(0.001+'Advanced Entry'!P169),IF('Advanced Entry'!P$5="Exponential",EXP('Advanced Entry'!P169),'Advanced Entry'!P169)))-'Advanced Entry'!P$6)/('Advanced Entry'!P$7-'Advanced Entry'!P$6)),1))),"No data"))</f>
        <v/>
      </c>
      <c r="Q169" s="17">
        <f>IF('Advanced Entry'!Q169="","",IFERROR(MAX(0,MIN(10,ROUND(IF('Advanced Entry'!Q$8="Decrease Risk",10-10*((IF('Advanced Entry'!Q$5="Logarithm",LN(0.001+'Advanced Entry'!Q169),IF('Advanced Entry'!Q$5="Exponential",EXP('Advanced Entry'!Q169),'Advanced Entry'!Q169)))-'Advanced Entry'!Q$6)/('Advanced Entry'!Q$7-'Advanced Entry'!Q$6),10*((IF('Advanced Entry'!Q$5="Logarithm",LN(0.001+'Advanced Entry'!Q169),IF('Advanced Entry'!Q$5="Exponential",EXP('Advanced Entry'!Q169),'Advanced Entry'!Q169)))-'Advanced Entry'!Q$6)/('Advanced Entry'!Q$7-'Advanced Entry'!Q$6)),1))),"No data"))</f>
        <v/>
      </c>
      <c r="R169" s="17">
        <f>IF('Advanced Entry'!R169="","",IFERROR(MAX(0,MIN(10,ROUND(IF('Advanced Entry'!R$8="Decrease Risk",10-10*((IF('Advanced Entry'!R$5="Logarithm",LN(0.001+'Advanced Entry'!R169),IF('Advanced Entry'!R$5="Exponential",EXP('Advanced Entry'!R169),'Advanced Entry'!R169)))-'Advanced Entry'!R$6)/('Advanced Entry'!R$7-'Advanced Entry'!R$6),10*((IF('Advanced Entry'!R$5="Logarithm",LN(0.001+'Advanced Entry'!R169),IF('Advanced Entry'!R$5="Exponential",EXP('Advanced Entry'!R169),'Advanced Entry'!R169)))-'Advanced Entry'!R$6)/('Advanced Entry'!R$7-'Advanced Entry'!R$6)),1))),"No data"))</f>
        <v/>
      </c>
      <c r="S169" s="17">
        <f>IF('Advanced Entry'!S169="","",IFERROR(MAX(0,MIN(10,ROUND(IF('Advanced Entry'!S$8="Decrease Risk",10-10*((IF('Advanced Entry'!S$5="Logarithm",LN(0.001+'Advanced Entry'!S169),IF('Advanced Entry'!S$5="Exponential",EXP('Advanced Entry'!S169),'Advanced Entry'!S169)))-'Advanced Entry'!S$6)/('Advanced Entry'!S$7-'Advanced Entry'!S$6),10*((IF('Advanced Entry'!S$5="Logarithm",LN(0.001+'Advanced Entry'!S169),IF('Advanced Entry'!S$5="Exponential",EXP('Advanced Entry'!S169),'Advanced Entry'!S169)))-'Advanced Entry'!S$6)/('Advanced Entry'!S$7-'Advanced Entry'!S$6)),1))),"No data"))</f>
        <v/>
      </c>
      <c r="T169" s="17">
        <f>IF('Advanced Entry'!T169="","",IFERROR(MAX(0,MIN(10,ROUND(IF('Advanced Entry'!T$8="Decrease Risk",10-10*((IF('Advanced Entry'!T$5="Logarithm",LN(0.001+'Advanced Entry'!T169),IF('Advanced Entry'!T$5="Exponential",EXP('Advanced Entry'!T169),'Advanced Entry'!T169)))-'Advanced Entry'!T$6)/('Advanced Entry'!T$7-'Advanced Entry'!T$6),10*((IF('Advanced Entry'!T$5="Logarithm",LN(0.001+'Advanced Entry'!T169),IF('Advanced Entry'!T$5="Exponential",EXP('Advanced Entry'!T169),'Advanced Entry'!T169)))-'Advanced Entry'!T$6)/('Advanced Entry'!T$7-'Advanced Entry'!T$6)),1))),"No data"))</f>
        <v/>
      </c>
      <c r="U169" s="17">
        <f>IF('Advanced Entry'!U169="","",IFERROR(MAX(0,MIN(10,ROUND(IF('Advanced Entry'!U$8="Decrease Risk",10-10*((IF('Advanced Entry'!U$5="Logarithm",LN(0.001+'Advanced Entry'!U169),IF('Advanced Entry'!U$5="Exponential",EXP('Advanced Entry'!U169),'Advanced Entry'!U169)))-'Advanced Entry'!U$6)/('Advanced Entry'!U$7-'Advanced Entry'!U$6),10*((IF('Advanced Entry'!U$5="Logarithm",LN(0.001+'Advanced Entry'!U169),IF('Advanced Entry'!U$5="Exponential",EXP('Advanced Entry'!U169),'Advanced Entry'!U169)))-'Advanced Entry'!U$6)/('Advanced Entry'!U$7-'Advanced Entry'!U$6)),1))),"No data"))</f>
        <v/>
      </c>
      <c r="V169" s="17">
        <f>IF('Advanced Entry'!V169="","",IFERROR(MAX(0,MIN(10,ROUND(IF('Advanced Entry'!V$8="Decrease Risk",10-10*((IF('Advanced Entry'!V$5="Logarithm",LN(0.001+'Advanced Entry'!V169),IF('Advanced Entry'!V$5="Exponential",EXP('Advanced Entry'!V169),'Advanced Entry'!V169)))-'Advanced Entry'!V$6)/('Advanced Entry'!V$7-'Advanced Entry'!V$6),10*((IF('Advanced Entry'!V$5="Logarithm",LN(0.001+'Advanced Entry'!V169),IF('Advanced Entry'!V$5="Exponential",EXP('Advanced Entry'!V169),'Advanced Entry'!V169)))-'Advanced Entry'!V$6)/('Advanced Entry'!V$7-'Advanced Entry'!V$6)),1))),"No data"))</f>
        <v/>
      </c>
      <c r="W169" s="17">
        <f>IF('Advanced Entry'!W169="","",IFERROR(MAX(0,MIN(10,ROUND(IF('Advanced Entry'!W$8="Decrease Risk",10-10*((IF('Advanced Entry'!W$5="Logarithm",LN(0.001+'Advanced Entry'!W169),IF('Advanced Entry'!W$5="Exponential",EXP('Advanced Entry'!W169),'Advanced Entry'!W169)))-'Advanced Entry'!W$6)/('Advanced Entry'!W$7-'Advanced Entry'!W$6),10*((IF('Advanced Entry'!W$5="Logarithm",LN(0.001+'Advanced Entry'!W169),IF('Advanced Entry'!W$5="Exponential",EXP('Advanced Entry'!W169),'Advanced Entry'!W169)))-'Advanced Entry'!W$6)/('Advanced Entry'!W$7-'Advanced Entry'!W$6)),1))),"No data"))</f>
        <v/>
      </c>
      <c r="X169" s="17">
        <f>IF('Advanced Entry'!X169="","",IFERROR(MAX(0,MIN(10,ROUND(IF('Advanced Entry'!X$8="Decrease Risk",10-10*((IF('Advanced Entry'!X$5="Logarithm",LN(0.001+'Advanced Entry'!X169),IF('Advanced Entry'!X$5="Exponential",EXP('Advanced Entry'!X169),'Advanced Entry'!X169)))-'Advanced Entry'!X$6)/('Advanced Entry'!X$7-'Advanced Entry'!X$6),10*((IF('Advanced Entry'!X$5="Logarithm",LN(0.001+'Advanced Entry'!X169),IF('Advanced Entry'!X$5="Exponential",EXP('Advanced Entry'!X169),'Advanced Entry'!X169)))-'Advanced Entry'!X$6)/('Advanced Entry'!X$7-'Advanced Entry'!X$6)),1))),"No data"))</f>
        <v/>
      </c>
      <c r="Y169" s="17">
        <f>IF('Advanced Entry'!Y169="","",IFERROR(MAX(0,MIN(10,ROUND(IF('Advanced Entry'!Y$8="Decrease Risk",10-10*((IF('Advanced Entry'!Y$5="Logarithm",LN(0.001+'Advanced Entry'!Y169),IF('Advanced Entry'!Y$5="Exponential",EXP('Advanced Entry'!Y169),'Advanced Entry'!Y169)))-'Advanced Entry'!Y$6)/('Advanced Entry'!Y$7-'Advanced Entry'!Y$6),10*((IF('Advanced Entry'!Y$5="Logarithm",LN(0.001+'Advanced Entry'!Y169),IF('Advanced Entry'!Y$5="Exponential",EXP('Advanced Entry'!Y169),'Advanced Entry'!Y169)))-'Advanced Entry'!Y$6)/('Advanced Entry'!Y$7-'Advanced Entry'!Y$6)),1))),"No data"))</f>
        <v/>
      </c>
      <c r="Z169" s="17">
        <f>IF('Advanced Entry'!Z169="","",IFERROR(MAX(0,MIN(10,ROUND(IF('Advanced Entry'!Z$8="Decrease Risk",10-10*((IF('Advanced Entry'!Z$5="Logarithm",LN(0.001+'Advanced Entry'!Z169),IF('Advanced Entry'!Z$5="Exponential",EXP('Advanced Entry'!Z169),'Advanced Entry'!Z169)))-'Advanced Entry'!Z$6)/('Advanced Entry'!Z$7-'Advanced Entry'!Z$6),10*((IF('Advanced Entry'!Z$5="Logarithm",LN(0.001+'Advanced Entry'!Z169),IF('Advanced Entry'!Z$5="Exponential",EXP('Advanced Entry'!Z169),'Advanced Entry'!Z169)))-'Advanced Entry'!Z$6)/('Advanced Entry'!Z$7-'Advanced Entry'!Z$6)),1))),"No data"))</f>
        <v/>
      </c>
      <c r="AA169" s="17">
        <f>IF('Advanced Entry'!AA169="","",IFERROR(MAX(0,MIN(10,ROUND(IF('Advanced Entry'!AA$8="Decrease Risk",10-10*((IF('Advanced Entry'!AA$5="Logarithm",LN(0.001+'Advanced Entry'!AA169),IF('Advanced Entry'!AA$5="Exponential",EXP('Advanced Entry'!AA169),'Advanced Entry'!AA169)))-'Advanced Entry'!AA$6)/('Advanced Entry'!AA$7-'Advanced Entry'!AA$6),10*((IF('Advanced Entry'!AA$5="Logarithm",LN(0.001+'Advanced Entry'!AA169),IF('Advanced Entry'!AA$5="Exponential",EXP('Advanced Entry'!AA169),'Advanced Entry'!AA169)))-'Advanced Entry'!AA$6)/('Advanced Entry'!AA$7-'Advanced Entry'!AA$6)),1))),"No data"))</f>
        <v/>
      </c>
      <c r="AB169" s="17">
        <f>IF('Advanced Entry'!AB169="","",IFERROR(MAX(0,MIN(10,ROUND(IF('Advanced Entry'!AB$8="Decrease Risk",10-10*((IF('Advanced Entry'!AB$5="Logarithm",LN(0.001+'Advanced Entry'!AB169),IF('Advanced Entry'!AB$5="Exponential",EXP('Advanced Entry'!AB169),'Advanced Entry'!AB169)))-'Advanced Entry'!AB$6)/('Advanced Entry'!AB$7-'Advanced Entry'!AB$6),10*((IF('Advanced Entry'!AB$5="Logarithm",LN(0.001+'Advanced Entry'!AB169),IF('Advanced Entry'!AB$5="Exponential",EXP('Advanced Entry'!AB169),'Advanced Entry'!AB169)))-'Advanced Entry'!AB$6)/('Advanced Entry'!AB$7-'Advanced Entry'!AB$6)),1))),"No data"))</f>
        <v/>
      </c>
    </row>
    <row r="170">
      <c r="A170" t="inlineStr">
        <is>
          <t>Simiyu</t>
        </is>
      </c>
      <c r="B170" t="inlineStr">
        <is>
          <t>Bariadi Town</t>
        </is>
      </c>
      <c r="C170" t="inlineStr">
        <is>
          <t>C169</t>
        </is>
      </c>
      <c r="D170" s="17">
        <f>IF('Advanced Entry'!D170="","",IFERROR(MAX(0,MIN(10,ROUND(IF('Advanced Entry'!D$8="Decrease Risk",10-10*((IF('Advanced Entry'!D$5="Logarithm",LN(0.001+'Advanced Entry'!D170),IF('Advanced Entry'!D$5="Exponential",EXP('Advanced Entry'!D170),'Advanced Entry'!D170)))-'Advanced Entry'!D$6)/('Advanced Entry'!D$7-'Advanced Entry'!D$6),10*((IF('Advanced Entry'!D$5="Logarithm",LN(0.001+'Advanced Entry'!D170),IF('Advanced Entry'!D$5="Exponential",EXP('Advanced Entry'!D170),'Advanced Entry'!D170)))-'Advanced Entry'!D$6)/('Advanced Entry'!D$7-'Advanced Entry'!D$6)),1))),"No data"))</f>
        <v/>
      </c>
      <c r="E170" s="17">
        <f>IF('Advanced Entry'!E170="","",IFERROR(MAX(0,MIN(10,ROUND(IF('Advanced Entry'!E$8="Decrease Risk",10-10*((IF('Advanced Entry'!E$5="Logarithm",LN(0.001+'Advanced Entry'!E170),IF('Advanced Entry'!E$5="Exponential",EXP('Advanced Entry'!E170),'Advanced Entry'!E170)))-'Advanced Entry'!E$6)/('Advanced Entry'!E$7-'Advanced Entry'!E$6),10*((IF('Advanced Entry'!E$5="Logarithm",LN(0.001+'Advanced Entry'!E170),IF('Advanced Entry'!E$5="Exponential",EXP('Advanced Entry'!E170),'Advanced Entry'!E170)))-'Advanced Entry'!E$6)/('Advanced Entry'!E$7-'Advanced Entry'!E$6)),1))),"No data"))</f>
        <v/>
      </c>
      <c r="F170" s="17">
        <f>IF('Advanced Entry'!F170="","",IFERROR(MAX(0,MIN(10,ROUND(IF('Advanced Entry'!F$8="Decrease Risk",10-10*((IF('Advanced Entry'!F$5="Logarithm",LN(0.001+'Advanced Entry'!F170),IF('Advanced Entry'!F$5="Exponential",EXP('Advanced Entry'!F170),'Advanced Entry'!F170)))-'Advanced Entry'!F$6)/('Advanced Entry'!F$7-'Advanced Entry'!F$6),10*((IF('Advanced Entry'!F$5="Logarithm",LN(0.001+'Advanced Entry'!F170),IF('Advanced Entry'!F$5="Exponential",EXP('Advanced Entry'!F170),'Advanced Entry'!F170)))-'Advanced Entry'!F$6)/('Advanced Entry'!F$7-'Advanced Entry'!F$6)),1))),"No data"))</f>
        <v/>
      </c>
      <c r="G170" s="17">
        <f>IF('Advanced Entry'!G170="","",IFERROR(MAX(0,MIN(10,ROUND(IF('Advanced Entry'!G$8="Decrease Risk",10-10*((IF('Advanced Entry'!G$5="Logarithm",LN(0.001+'Advanced Entry'!G170),IF('Advanced Entry'!G$5="Exponential",EXP('Advanced Entry'!G170),'Advanced Entry'!G170)))-'Advanced Entry'!G$6)/('Advanced Entry'!G$7-'Advanced Entry'!G$6),10*((IF('Advanced Entry'!G$5="Logarithm",LN(0.001+'Advanced Entry'!G170),IF('Advanced Entry'!G$5="Exponential",EXP('Advanced Entry'!G170),'Advanced Entry'!G170)))-'Advanced Entry'!G$6)/('Advanced Entry'!G$7-'Advanced Entry'!G$6)),1))),"No data"))</f>
        <v/>
      </c>
      <c r="H170" s="17">
        <f>IF('Advanced Entry'!H170="","",IFERROR(MAX(0,MIN(10,ROUND(IF('Advanced Entry'!H$8="Decrease Risk",10-10*((IF('Advanced Entry'!H$5="Logarithm",LN(0.001+'Advanced Entry'!H170),IF('Advanced Entry'!H$5="Exponential",EXP('Advanced Entry'!H170),'Advanced Entry'!H170)))-'Advanced Entry'!H$6)/('Advanced Entry'!H$7-'Advanced Entry'!H$6),10*((IF('Advanced Entry'!H$5="Logarithm",LN(0.001+'Advanced Entry'!H170),IF('Advanced Entry'!H$5="Exponential",EXP('Advanced Entry'!H170),'Advanced Entry'!H170)))-'Advanced Entry'!H$6)/('Advanced Entry'!H$7-'Advanced Entry'!H$6)),1))),"No data"))</f>
        <v/>
      </c>
      <c r="I170" s="17">
        <f>IF('Advanced Entry'!I170="","",IFERROR(MAX(0,MIN(10,ROUND(IF('Advanced Entry'!I$8="Decrease Risk",10-10*((IF('Advanced Entry'!I$5="Logarithm",LN(0.001+'Advanced Entry'!I170),IF('Advanced Entry'!I$5="Exponential",EXP('Advanced Entry'!I170),'Advanced Entry'!I170)))-'Advanced Entry'!I$6)/('Advanced Entry'!I$7-'Advanced Entry'!I$6),10*((IF('Advanced Entry'!I$5="Logarithm",LN(0.001+'Advanced Entry'!I170),IF('Advanced Entry'!I$5="Exponential",EXP('Advanced Entry'!I170),'Advanced Entry'!I170)))-'Advanced Entry'!I$6)/('Advanced Entry'!I$7-'Advanced Entry'!I$6)),1))),"No data"))</f>
        <v/>
      </c>
      <c r="J170" s="17">
        <f>IF('Advanced Entry'!J170="","",IFERROR(MAX(0,MIN(10,ROUND(IF('Advanced Entry'!J$8="Decrease Risk",10-10*((IF('Advanced Entry'!J$5="Logarithm",LN(0.001+'Advanced Entry'!J170),IF('Advanced Entry'!J$5="Exponential",EXP('Advanced Entry'!J170),'Advanced Entry'!J170)))-'Advanced Entry'!J$6)/('Advanced Entry'!J$7-'Advanced Entry'!J$6),10*((IF('Advanced Entry'!J$5="Logarithm",LN(0.001+'Advanced Entry'!J170),IF('Advanced Entry'!J$5="Exponential",EXP('Advanced Entry'!J170),'Advanced Entry'!J170)))-'Advanced Entry'!J$6)/('Advanced Entry'!J$7-'Advanced Entry'!J$6)),1))),"No data"))</f>
        <v/>
      </c>
      <c r="K170" s="17">
        <f>IF('Advanced Entry'!K170="","",IFERROR(MAX(0,MIN(10,ROUND(IF('Advanced Entry'!K$8="Decrease Risk",10-10*((IF('Advanced Entry'!K$5="Logarithm",LN(0.001+'Advanced Entry'!K170),IF('Advanced Entry'!K$5="Exponential",EXP('Advanced Entry'!K170),'Advanced Entry'!K170)))-'Advanced Entry'!K$6)/('Advanced Entry'!K$7-'Advanced Entry'!K$6),10*((IF('Advanced Entry'!K$5="Logarithm",LN(0.001+'Advanced Entry'!K170),IF('Advanced Entry'!K$5="Exponential",EXP('Advanced Entry'!K170),'Advanced Entry'!K170)))-'Advanced Entry'!K$6)/('Advanced Entry'!K$7-'Advanced Entry'!K$6)),1))),"No data"))</f>
        <v/>
      </c>
      <c r="L170" s="17">
        <f>IF('Advanced Entry'!L170="","",IFERROR(MAX(0,MIN(10,ROUND(IF('Advanced Entry'!L$8="Decrease Risk",10-10*((IF('Advanced Entry'!L$5="Logarithm",LN(0.001+'Advanced Entry'!L170),IF('Advanced Entry'!L$5="Exponential",EXP('Advanced Entry'!L170),'Advanced Entry'!L170)))-'Advanced Entry'!L$6)/('Advanced Entry'!L$7-'Advanced Entry'!L$6),10*((IF('Advanced Entry'!L$5="Logarithm",LN(0.001+'Advanced Entry'!L170),IF('Advanced Entry'!L$5="Exponential",EXP('Advanced Entry'!L170),'Advanced Entry'!L170)))-'Advanced Entry'!L$6)/('Advanced Entry'!L$7-'Advanced Entry'!L$6)),1))),"No data"))</f>
        <v/>
      </c>
      <c r="M170" s="17">
        <f>IF('Advanced Entry'!M170="","",IFERROR(MAX(0,MIN(10,ROUND(IF('Advanced Entry'!M$8="Decrease Risk",10-10*((IF('Advanced Entry'!M$5="Logarithm",LN(0.001+'Advanced Entry'!M170),IF('Advanced Entry'!M$5="Exponential",EXP('Advanced Entry'!M170),'Advanced Entry'!M170)))-'Advanced Entry'!M$6)/('Advanced Entry'!M$7-'Advanced Entry'!M$6),10*((IF('Advanced Entry'!M$5="Logarithm",LN(0.001+'Advanced Entry'!M170),IF('Advanced Entry'!M$5="Exponential",EXP('Advanced Entry'!M170),'Advanced Entry'!M170)))-'Advanced Entry'!M$6)/('Advanced Entry'!M$7-'Advanced Entry'!M$6)),1))),"No data"))</f>
        <v/>
      </c>
      <c r="N170" s="17">
        <f>IF('Advanced Entry'!N170="","",IFERROR(MAX(0,MIN(10,ROUND(IF('Advanced Entry'!N$8="Decrease Risk",10-10*((IF('Advanced Entry'!N$5="Logarithm",LN(0.001+'Advanced Entry'!N170),IF('Advanced Entry'!N$5="Exponential",EXP('Advanced Entry'!N170),'Advanced Entry'!N170)))-'Advanced Entry'!N$6)/('Advanced Entry'!N$7-'Advanced Entry'!N$6),10*((IF('Advanced Entry'!N$5="Logarithm",LN(0.001+'Advanced Entry'!N170),IF('Advanced Entry'!N$5="Exponential",EXP('Advanced Entry'!N170),'Advanced Entry'!N170)))-'Advanced Entry'!N$6)/('Advanced Entry'!N$7-'Advanced Entry'!N$6)),1))),"No data"))</f>
        <v/>
      </c>
      <c r="O170" s="17">
        <f>IF('Advanced Entry'!O170="","",IFERROR(MAX(0,MIN(10,ROUND(IF('Advanced Entry'!O$8="Decrease Risk",10-10*((IF('Advanced Entry'!O$5="Logarithm",LN(0.001+'Advanced Entry'!O170),IF('Advanced Entry'!O$5="Exponential",EXP('Advanced Entry'!O170),'Advanced Entry'!O170)))-'Advanced Entry'!O$6)/('Advanced Entry'!O$7-'Advanced Entry'!O$6),10*((IF('Advanced Entry'!O$5="Logarithm",LN(0.001+'Advanced Entry'!O170),IF('Advanced Entry'!O$5="Exponential",EXP('Advanced Entry'!O170),'Advanced Entry'!O170)))-'Advanced Entry'!O$6)/('Advanced Entry'!O$7-'Advanced Entry'!O$6)),1))),"No data"))</f>
        <v/>
      </c>
      <c r="P170" s="17">
        <f>IF('Advanced Entry'!P170="","",IFERROR(MAX(0,MIN(10,ROUND(IF('Advanced Entry'!P$8="Decrease Risk",10-10*((IF('Advanced Entry'!P$5="Logarithm",LN(0.001+'Advanced Entry'!P170),IF('Advanced Entry'!P$5="Exponential",EXP('Advanced Entry'!P170),'Advanced Entry'!P170)))-'Advanced Entry'!P$6)/('Advanced Entry'!P$7-'Advanced Entry'!P$6),10*((IF('Advanced Entry'!P$5="Logarithm",LN(0.001+'Advanced Entry'!P170),IF('Advanced Entry'!P$5="Exponential",EXP('Advanced Entry'!P170),'Advanced Entry'!P170)))-'Advanced Entry'!P$6)/('Advanced Entry'!P$7-'Advanced Entry'!P$6)),1))),"No data"))</f>
        <v/>
      </c>
      <c r="Q170" s="17">
        <f>IF('Advanced Entry'!Q170="","",IFERROR(MAX(0,MIN(10,ROUND(IF('Advanced Entry'!Q$8="Decrease Risk",10-10*((IF('Advanced Entry'!Q$5="Logarithm",LN(0.001+'Advanced Entry'!Q170),IF('Advanced Entry'!Q$5="Exponential",EXP('Advanced Entry'!Q170),'Advanced Entry'!Q170)))-'Advanced Entry'!Q$6)/('Advanced Entry'!Q$7-'Advanced Entry'!Q$6),10*((IF('Advanced Entry'!Q$5="Logarithm",LN(0.001+'Advanced Entry'!Q170),IF('Advanced Entry'!Q$5="Exponential",EXP('Advanced Entry'!Q170),'Advanced Entry'!Q170)))-'Advanced Entry'!Q$6)/('Advanced Entry'!Q$7-'Advanced Entry'!Q$6)),1))),"No data"))</f>
        <v/>
      </c>
      <c r="R170" s="17">
        <f>IF('Advanced Entry'!R170="","",IFERROR(MAX(0,MIN(10,ROUND(IF('Advanced Entry'!R$8="Decrease Risk",10-10*((IF('Advanced Entry'!R$5="Logarithm",LN(0.001+'Advanced Entry'!R170),IF('Advanced Entry'!R$5="Exponential",EXP('Advanced Entry'!R170),'Advanced Entry'!R170)))-'Advanced Entry'!R$6)/('Advanced Entry'!R$7-'Advanced Entry'!R$6),10*((IF('Advanced Entry'!R$5="Logarithm",LN(0.001+'Advanced Entry'!R170),IF('Advanced Entry'!R$5="Exponential",EXP('Advanced Entry'!R170),'Advanced Entry'!R170)))-'Advanced Entry'!R$6)/('Advanced Entry'!R$7-'Advanced Entry'!R$6)),1))),"No data"))</f>
        <v/>
      </c>
      <c r="S170" s="17">
        <f>IF('Advanced Entry'!S170="","",IFERROR(MAX(0,MIN(10,ROUND(IF('Advanced Entry'!S$8="Decrease Risk",10-10*((IF('Advanced Entry'!S$5="Logarithm",LN(0.001+'Advanced Entry'!S170),IF('Advanced Entry'!S$5="Exponential",EXP('Advanced Entry'!S170),'Advanced Entry'!S170)))-'Advanced Entry'!S$6)/('Advanced Entry'!S$7-'Advanced Entry'!S$6),10*((IF('Advanced Entry'!S$5="Logarithm",LN(0.001+'Advanced Entry'!S170),IF('Advanced Entry'!S$5="Exponential",EXP('Advanced Entry'!S170),'Advanced Entry'!S170)))-'Advanced Entry'!S$6)/('Advanced Entry'!S$7-'Advanced Entry'!S$6)),1))),"No data"))</f>
        <v/>
      </c>
      <c r="T170" s="17">
        <f>IF('Advanced Entry'!T170="","",IFERROR(MAX(0,MIN(10,ROUND(IF('Advanced Entry'!T$8="Decrease Risk",10-10*((IF('Advanced Entry'!T$5="Logarithm",LN(0.001+'Advanced Entry'!T170),IF('Advanced Entry'!T$5="Exponential",EXP('Advanced Entry'!T170),'Advanced Entry'!T170)))-'Advanced Entry'!T$6)/('Advanced Entry'!T$7-'Advanced Entry'!T$6),10*((IF('Advanced Entry'!T$5="Logarithm",LN(0.001+'Advanced Entry'!T170),IF('Advanced Entry'!T$5="Exponential",EXP('Advanced Entry'!T170),'Advanced Entry'!T170)))-'Advanced Entry'!T$6)/('Advanced Entry'!T$7-'Advanced Entry'!T$6)),1))),"No data"))</f>
        <v/>
      </c>
      <c r="U170" s="17">
        <f>IF('Advanced Entry'!U170="","",IFERROR(MAX(0,MIN(10,ROUND(IF('Advanced Entry'!U$8="Decrease Risk",10-10*((IF('Advanced Entry'!U$5="Logarithm",LN(0.001+'Advanced Entry'!U170),IF('Advanced Entry'!U$5="Exponential",EXP('Advanced Entry'!U170),'Advanced Entry'!U170)))-'Advanced Entry'!U$6)/('Advanced Entry'!U$7-'Advanced Entry'!U$6),10*((IF('Advanced Entry'!U$5="Logarithm",LN(0.001+'Advanced Entry'!U170),IF('Advanced Entry'!U$5="Exponential",EXP('Advanced Entry'!U170),'Advanced Entry'!U170)))-'Advanced Entry'!U$6)/('Advanced Entry'!U$7-'Advanced Entry'!U$6)),1))),"No data"))</f>
        <v/>
      </c>
      <c r="V170" s="17">
        <f>IF('Advanced Entry'!V170="","",IFERROR(MAX(0,MIN(10,ROUND(IF('Advanced Entry'!V$8="Decrease Risk",10-10*((IF('Advanced Entry'!V$5="Logarithm",LN(0.001+'Advanced Entry'!V170),IF('Advanced Entry'!V$5="Exponential",EXP('Advanced Entry'!V170),'Advanced Entry'!V170)))-'Advanced Entry'!V$6)/('Advanced Entry'!V$7-'Advanced Entry'!V$6),10*((IF('Advanced Entry'!V$5="Logarithm",LN(0.001+'Advanced Entry'!V170),IF('Advanced Entry'!V$5="Exponential",EXP('Advanced Entry'!V170),'Advanced Entry'!V170)))-'Advanced Entry'!V$6)/('Advanced Entry'!V$7-'Advanced Entry'!V$6)),1))),"No data"))</f>
        <v/>
      </c>
      <c r="W170" s="17">
        <f>IF('Advanced Entry'!W170="","",IFERROR(MAX(0,MIN(10,ROUND(IF('Advanced Entry'!W$8="Decrease Risk",10-10*((IF('Advanced Entry'!W$5="Logarithm",LN(0.001+'Advanced Entry'!W170),IF('Advanced Entry'!W$5="Exponential",EXP('Advanced Entry'!W170),'Advanced Entry'!W170)))-'Advanced Entry'!W$6)/('Advanced Entry'!W$7-'Advanced Entry'!W$6),10*((IF('Advanced Entry'!W$5="Logarithm",LN(0.001+'Advanced Entry'!W170),IF('Advanced Entry'!W$5="Exponential",EXP('Advanced Entry'!W170),'Advanced Entry'!W170)))-'Advanced Entry'!W$6)/('Advanced Entry'!W$7-'Advanced Entry'!W$6)),1))),"No data"))</f>
        <v/>
      </c>
      <c r="X170" s="17">
        <f>IF('Advanced Entry'!X170="","",IFERROR(MAX(0,MIN(10,ROUND(IF('Advanced Entry'!X$8="Decrease Risk",10-10*((IF('Advanced Entry'!X$5="Logarithm",LN(0.001+'Advanced Entry'!X170),IF('Advanced Entry'!X$5="Exponential",EXP('Advanced Entry'!X170),'Advanced Entry'!X170)))-'Advanced Entry'!X$6)/('Advanced Entry'!X$7-'Advanced Entry'!X$6),10*((IF('Advanced Entry'!X$5="Logarithm",LN(0.001+'Advanced Entry'!X170),IF('Advanced Entry'!X$5="Exponential",EXP('Advanced Entry'!X170),'Advanced Entry'!X170)))-'Advanced Entry'!X$6)/('Advanced Entry'!X$7-'Advanced Entry'!X$6)),1))),"No data"))</f>
        <v/>
      </c>
      <c r="Y170" s="17">
        <f>IF('Advanced Entry'!Y170="","",IFERROR(MAX(0,MIN(10,ROUND(IF('Advanced Entry'!Y$8="Decrease Risk",10-10*((IF('Advanced Entry'!Y$5="Logarithm",LN(0.001+'Advanced Entry'!Y170),IF('Advanced Entry'!Y$5="Exponential",EXP('Advanced Entry'!Y170),'Advanced Entry'!Y170)))-'Advanced Entry'!Y$6)/('Advanced Entry'!Y$7-'Advanced Entry'!Y$6),10*((IF('Advanced Entry'!Y$5="Logarithm",LN(0.001+'Advanced Entry'!Y170),IF('Advanced Entry'!Y$5="Exponential",EXP('Advanced Entry'!Y170),'Advanced Entry'!Y170)))-'Advanced Entry'!Y$6)/('Advanced Entry'!Y$7-'Advanced Entry'!Y$6)),1))),"No data"))</f>
        <v/>
      </c>
      <c r="Z170" s="17">
        <f>IF('Advanced Entry'!Z170="","",IFERROR(MAX(0,MIN(10,ROUND(IF('Advanced Entry'!Z$8="Decrease Risk",10-10*((IF('Advanced Entry'!Z$5="Logarithm",LN(0.001+'Advanced Entry'!Z170),IF('Advanced Entry'!Z$5="Exponential",EXP('Advanced Entry'!Z170),'Advanced Entry'!Z170)))-'Advanced Entry'!Z$6)/('Advanced Entry'!Z$7-'Advanced Entry'!Z$6),10*((IF('Advanced Entry'!Z$5="Logarithm",LN(0.001+'Advanced Entry'!Z170),IF('Advanced Entry'!Z$5="Exponential",EXP('Advanced Entry'!Z170),'Advanced Entry'!Z170)))-'Advanced Entry'!Z$6)/('Advanced Entry'!Z$7-'Advanced Entry'!Z$6)),1))),"No data"))</f>
        <v/>
      </c>
      <c r="AA170" s="17">
        <f>IF('Advanced Entry'!AA170="","",IFERROR(MAX(0,MIN(10,ROUND(IF('Advanced Entry'!AA$8="Decrease Risk",10-10*((IF('Advanced Entry'!AA$5="Logarithm",LN(0.001+'Advanced Entry'!AA170),IF('Advanced Entry'!AA$5="Exponential",EXP('Advanced Entry'!AA170),'Advanced Entry'!AA170)))-'Advanced Entry'!AA$6)/('Advanced Entry'!AA$7-'Advanced Entry'!AA$6),10*((IF('Advanced Entry'!AA$5="Logarithm",LN(0.001+'Advanced Entry'!AA170),IF('Advanced Entry'!AA$5="Exponential",EXP('Advanced Entry'!AA170),'Advanced Entry'!AA170)))-'Advanced Entry'!AA$6)/('Advanced Entry'!AA$7-'Advanced Entry'!AA$6)),1))),"No data"))</f>
        <v/>
      </c>
      <c r="AB170" s="17">
        <f>IF('Advanced Entry'!AB170="","",IFERROR(MAX(0,MIN(10,ROUND(IF('Advanced Entry'!AB$8="Decrease Risk",10-10*((IF('Advanced Entry'!AB$5="Logarithm",LN(0.001+'Advanced Entry'!AB170),IF('Advanced Entry'!AB$5="Exponential",EXP('Advanced Entry'!AB170),'Advanced Entry'!AB170)))-'Advanced Entry'!AB$6)/('Advanced Entry'!AB$7-'Advanced Entry'!AB$6),10*((IF('Advanced Entry'!AB$5="Logarithm",LN(0.001+'Advanced Entry'!AB170),IF('Advanced Entry'!AB$5="Exponential",EXP('Advanced Entry'!AB170),'Advanced Entry'!AB170)))-'Advanced Entry'!AB$6)/('Advanced Entry'!AB$7-'Advanced Entry'!AB$6)),1))),"No data"))</f>
        <v/>
      </c>
    </row>
    <row r="171">
      <c r="A171" t="inlineStr">
        <is>
          <t>Simiyu</t>
        </is>
      </c>
      <c r="B171" t="inlineStr">
        <is>
          <t>Busega District</t>
        </is>
      </c>
      <c r="C171" t="inlineStr">
        <is>
          <t>C173</t>
        </is>
      </c>
      <c r="D171" s="17">
        <f>IF('Advanced Entry'!D171="","",IFERROR(MAX(0,MIN(10,ROUND(IF('Advanced Entry'!D$8="Decrease Risk",10-10*((IF('Advanced Entry'!D$5="Logarithm",LN(0.001+'Advanced Entry'!D171),IF('Advanced Entry'!D$5="Exponential",EXP('Advanced Entry'!D171),'Advanced Entry'!D171)))-'Advanced Entry'!D$6)/('Advanced Entry'!D$7-'Advanced Entry'!D$6),10*((IF('Advanced Entry'!D$5="Logarithm",LN(0.001+'Advanced Entry'!D171),IF('Advanced Entry'!D$5="Exponential",EXP('Advanced Entry'!D171),'Advanced Entry'!D171)))-'Advanced Entry'!D$6)/('Advanced Entry'!D$7-'Advanced Entry'!D$6)),1))),"No data"))</f>
        <v/>
      </c>
      <c r="E171" s="17">
        <f>IF('Advanced Entry'!E171="","",IFERROR(MAX(0,MIN(10,ROUND(IF('Advanced Entry'!E$8="Decrease Risk",10-10*((IF('Advanced Entry'!E$5="Logarithm",LN(0.001+'Advanced Entry'!E171),IF('Advanced Entry'!E$5="Exponential",EXP('Advanced Entry'!E171),'Advanced Entry'!E171)))-'Advanced Entry'!E$6)/('Advanced Entry'!E$7-'Advanced Entry'!E$6),10*((IF('Advanced Entry'!E$5="Logarithm",LN(0.001+'Advanced Entry'!E171),IF('Advanced Entry'!E$5="Exponential",EXP('Advanced Entry'!E171),'Advanced Entry'!E171)))-'Advanced Entry'!E$6)/('Advanced Entry'!E$7-'Advanced Entry'!E$6)),1))),"No data"))</f>
        <v/>
      </c>
      <c r="F171" s="17">
        <f>IF('Advanced Entry'!F171="","",IFERROR(MAX(0,MIN(10,ROUND(IF('Advanced Entry'!F$8="Decrease Risk",10-10*((IF('Advanced Entry'!F$5="Logarithm",LN(0.001+'Advanced Entry'!F171),IF('Advanced Entry'!F$5="Exponential",EXP('Advanced Entry'!F171),'Advanced Entry'!F171)))-'Advanced Entry'!F$6)/('Advanced Entry'!F$7-'Advanced Entry'!F$6),10*((IF('Advanced Entry'!F$5="Logarithm",LN(0.001+'Advanced Entry'!F171),IF('Advanced Entry'!F$5="Exponential",EXP('Advanced Entry'!F171),'Advanced Entry'!F171)))-'Advanced Entry'!F$6)/('Advanced Entry'!F$7-'Advanced Entry'!F$6)),1))),"No data"))</f>
        <v/>
      </c>
      <c r="G171" s="17">
        <f>IF('Advanced Entry'!G171="","",IFERROR(MAX(0,MIN(10,ROUND(IF('Advanced Entry'!G$8="Decrease Risk",10-10*((IF('Advanced Entry'!G$5="Logarithm",LN(0.001+'Advanced Entry'!G171),IF('Advanced Entry'!G$5="Exponential",EXP('Advanced Entry'!G171),'Advanced Entry'!G171)))-'Advanced Entry'!G$6)/('Advanced Entry'!G$7-'Advanced Entry'!G$6),10*((IF('Advanced Entry'!G$5="Logarithm",LN(0.001+'Advanced Entry'!G171),IF('Advanced Entry'!G$5="Exponential",EXP('Advanced Entry'!G171),'Advanced Entry'!G171)))-'Advanced Entry'!G$6)/('Advanced Entry'!G$7-'Advanced Entry'!G$6)),1))),"No data"))</f>
        <v/>
      </c>
      <c r="H171" s="17">
        <f>IF('Advanced Entry'!H171="","",IFERROR(MAX(0,MIN(10,ROUND(IF('Advanced Entry'!H$8="Decrease Risk",10-10*((IF('Advanced Entry'!H$5="Logarithm",LN(0.001+'Advanced Entry'!H171),IF('Advanced Entry'!H$5="Exponential",EXP('Advanced Entry'!H171),'Advanced Entry'!H171)))-'Advanced Entry'!H$6)/('Advanced Entry'!H$7-'Advanced Entry'!H$6),10*((IF('Advanced Entry'!H$5="Logarithm",LN(0.001+'Advanced Entry'!H171),IF('Advanced Entry'!H$5="Exponential",EXP('Advanced Entry'!H171),'Advanced Entry'!H171)))-'Advanced Entry'!H$6)/('Advanced Entry'!H$7-'Advanced Entry'!H$6)),1))),"No data"))</f>
        <v/>
      </c>
      <c r="I171" s="17">
        <f>IF('Advanced Entry'!I171="","",IFERROR(MAX(0,MIN(10,ROUND(IF('Advanced Entry'!I$8="Decrease Risk",10-10*((IF('Advanced Entry'!I$5="Logarithm",LN(0.001+'Advanced Entry'!I171),IF('Advanced Entry'!I$5="Exponential",EXP('Advanced Entry'!I171),'Advanced Entry'!I171)))-'Advanced Entry'!I$6)/('Advanced Entry'!I$7-'Advanced Entry'!I$6),10*((IF('Advanced Entry'!I$5="Logarithm",LN(0.001+'Advanced Entry'!I171),IF('Advanced Entry'!I$5="Exponential",EXP('Advanced Entry'!I171),'Advanced Entry'!I171)))-'Advanced Entry'!I$6)/('Advanced Entry'!I$7-'Advanced Entry'!I$6)),1))),"No data"))</f>
        <v/>
      </c>
      <c r="J171" s="17">
        <f>IF('Advanced Entry'!J171="","",IFERROR(MAX(0,MIN(10,ROUND(IF('Advanced Entry'!J$8="Decrease Risk",10-10*((IF('Advanced Entry'!J$5="Logarithm",LN(0.001+'Advanced Entry'!J171),IF('Advanced Entry'!J$5="Exponential",EXP('Advanced Entry'!J171),'Advanced Entry'!J171)))-'Advanced Entry'!J$6)/('Advanced Entry'!J$7-'Advanced Entry'!J$6),10*((IF('Advanced Entry'!J$5="Logarithm",LN(0.001+'Advanced Entry'!J171),IF('Advanced Entry'!J$5="Exponential",EXP('Advanced Entry'!J171),'Advanced Entry'!J171)))-'Advanced Entry'!J$6)/('Advanced Entry'!J$7-'Advanced Entry'!J$6)),1))),"No data"))</f>
        <v/>
      </c>
      <c r="K171" s="17">
        <f>IF('Advanced Entry'!K171="","",IFERROR(MAX(0,MIN(10,ROUND(IF('Advanced Entry'!K$8="Decrease Risk",10-10*((IF('Advanced Entry'!K$5="Logarithm",LN(0.001+'Advanced Entry'!K171),IF('Advanced Entry'!K$5="Exponential",EXP('Advanced Entry'!K171),'Advanced Entry'!K171)))-'Advanced Entry'!K$6)/('Advanced Entry'!K$7-'Advanced Entry'!K$6),10*((IF('Advanced Entry'!K$5="Logarithm",LN(0.001+'Advanced Entry'!K171),IF('Advanced Entry'!K$5="Exponential",EXP('Advanced Entry'!K171),'Advanced Entry'!K171)))-'Advanced Entry'!K$6)/('Advanced Entry'!K$7-'Advanced Entry'!K$6)),1))),"No data"))</f>
        <v/>
      </c>
      <c r="L171" s="17">
        <f>IF('Advanced Entry'!L171="","",IFERROR(MAX(0,MIN(10,ROUND(IF('Advanced Entry'!L$8="Decrease Risk",10-10*((IF('Advanced Entry'!L$5="Logarithm",LN(0.001+'Advanced Entry'!L171),IF('Advanced Entry'!L$5="Exponential",EXP('Advanced Entry'!L171),'Advanced Entry'!L171)))-'Advanced Entry'!L$6)/('Advanced Entry'!L$7-'Advanced Entry'!L$6),10*((IF('Advanced Entry'!L$5="Logarithm",LN(0.001+'Advanced Entry'!L171),IF('Advanced Entry'!L$5="Exponential",EXP('Advanced Entry'!L171),'Advanced Entry'!L171)))-'Advanced Entry'!L$6)/('Advanced Entry'!L$7-'Advanced Entry'!L$6)),1))),"No data"))</f>
        <v/>
      </c>
      <c r="M171" s="17">
        <f>IF('Advanced Entry'!M171="","",IFERROR(MAX(0,MIN(10,ROUND(IF('Advanced Entry'!M$8="Decrease Risk",10-10*((IF('Advanced Entry'!M$5="Logarithm",LN(0.001+'Advanced Entry'!M171),IF('Advanced Entry'!M$5="Exponential",EXP('Advanced Entry'!M171),'Advanced Entry'!M171)))-'Advanced Entry'!M$6)/('Advanced Entry'!M$7-'Advanced Entry'!M$6),10*((IF('Advanced Entry'!M$5="Logarithm",LN(0.001+'Advanced Entry'!M171),IF('Advanced Entry'!M$5="Exponential",EXP('Advanced Entry'!M171),'Advanced Entry'!M171)))-'Advanced Entry'!M$6)/('Advanced Entry'!M$7-'Advanced Entry'!M$6)),1))),"No data"))</f>
        <v/>
      </c>
      <c r="N171" s="17">
        <f>IF('Advanced Entry'!N171="","",IFERROR(MAX(0,MIN(10,ROUND(IF('Advanced Entry'!N$8="Decrease Risk",10-10*((IF('Advanced Entry'!N$5="Logarithm",LN(0.001+'Advanced Entry'!N171),IF('Advanced Entry'!N$5="Exponential",EXP('Advanced Entry'!N171),'Advanced Entry'!N171)))-'Advanced Entry'!N$6)/('Advanced Entry'!N$7-'Advanced Entry'!N$6),10*((IF('Advanced Entry'!N$5="Logarithm",LN(0.001+'Advanced Entry'!N171),IF('Advanced Entry'!N$5="Exponential",EXP('Advanced Entry'!N171),'Advanced Entry'!N171)))-'Advanced Entry'!N$6)/('Advanced Entry'!N$7-'Advanced Entry'!N$6)),1))),"No data"))</f>
        <v/>
      </c>
      <c r="O171" s="17">
        <f>IF('Advanced Entry'!O171="","",IFERROR(MAX(0,MIN(10,ROUND(IF('Advanced Entry'!O$8="Decrease Risk",10-10*((IF('Advanced Entry'!O$5="Logarithm",LN(0.001+'Advanced Entry'!O171),IF('Advanced Entry'!O$5="Exponential",EXP('Advanced Entry'!O171),'Advanced Entry'!O171)))-'Advanced Entry'!O$6)/('Advanced Entry'!O$7-'Advanced Entry'!O$6),10*((IF('Advanced Entry'!O$5="Logarithm",LN(0.001+'Advanced Entry'!O171),IF('Advanced Entry'!O$5="Exponential",EXP('Advanced Entry'!O171),'Advanced Entry'!O171)))-'Advanced Entry'!O$6)/('Advanced Entry'!O$7-'Advanced Entry'!O$6)),1))),"No data"))</f>
        <v/>
      </c>
      <c r="P171" s="17">
        <f>IF('Advanced Entry'!P171="","",IFERROR(MAX(0,MIN(10,ROUND(IF('Advanced Entry'!P$8="Decrease Risk",10-10*((IF('Advanced Entry'!P$5="Logarithm",LN(0.001+'Advanced Entry'!P171),IF('Advanced Entry'!P$5="Exponential",EXP('Advanced Entry'!P171),'Advanced Entry'!P171)))-'Advanced Entry'!P$6)/('Advanced Entry'!P$7-'Advanced Entry'!P$6),10*((IF('Advanced Entry'!P$5="Logarithm",LN(0.001+'Advanced Entry'!P171),IF('Advanced Entry'!P$5="Exponential",EXP('Advanced Entry'!P171),'Advanced Entry'!P171)))-'Advanced Entry'!P$6)/('Advanced Entry'!P$7-'Advanced Entry'!P$6)),1))),"No data"))</f>
        <v/>
      </c>
      <c r="Q171" s="17">
        <f>IF('Advanced Entry'!Q171="","",IFERROR(MAX(0,MIN(10,ROUND(IF('Advanced Entry'!Q$8="Decrease Risk",10-10*((IF('Advanced Entry'!Q$5="Logarithm",LN(0.001+'Advanced Entry'!Q171),IF('Advanced Entry'!Q$5="Exponential",EXP('Advanced Entry'!Q171),'Advanced Entry'!Q171)))-'Advanced Entry'!Q$6)/('Advanced Entry'!Q$7-'Advanced Entry'!Q$6),10*((IF('Advanced Entry'!Q$5="Logarithm",LN(0.001+'Advanced Entry'!Q171),IF('Advanced Entry'!Q$5="Exponential",EXP('Advanced Entry'!Q171),'Advanced Entry'!Q171)))-'Advanced Entry'!Q$6)/('Advanced Entry'!Q$7-'Advanced Entry'!Q$6)),1))),"No data"))</f>
        <v/>
      </c>
      <c r="R171" s="17">
        <f>IF('Advanced Entry'!R171="","",IFERROR(MAX(0,MIN(10,ROUND(IF('Advanced Entry'!R$8="Decrease Risk",10-10*((IF('Advanced Entry'!R$5="Logarithm",LN(0.001+'Advanced Entry'!R171),IF('Advanced Entry'!R$5="Exponential",EXP('Advanced Entry'!R171),'Advanced Entry'!R171)))-'Advanced Entry'!R$6)/('Advanced Entry'!R$7-'Advanced Entry'!R$6),10*((IF('Advanced Entry'!R$5="Logarithm",LN(0.001+'Advanced Entry'!R171),IF('Advanced Entry'!R$5="Exponential",EXP('Advanced Entry'!R171),'Advanced Entry'!R171)))-'Advanced Entry'!R$6)/('Advanced Entry'!R$7-'Advanced Entry'!R$6)),1))),"No data"))</f>
        <v/>
      </c>
      <c r="S171" s="17">
        <f>IF('Advanced Entry'!S171="","",IFERROR(MAX(0,MIN(10,ROUND(IF('Advanced Entry'!S$8="Decrease Risk",10-10*((IF('Advanced Entry'!S$5="Logarithm",LN(0.001+'Advanced Entry'!S171),IF('Advanced Entry'!S$5="Exponential",EXP('Advanced Entry'!S171),'Advanced Entry'!S171)))-'Advanced Entry'!S$6)/('Advanced Entry'!S$7-'Advanced Entry'!S$6),10*((IF('Advanced Entry'!S$5="Logarithm",LN(0.001+'Advanced Entry'!S171),IF('Advanced Entry'!S$5="Exponential",EXP('Advanced Entry'!S171),'Advanced Entry'!S171)))-'Advanced Entry'!S$6)/('Advanced Entry'!S$7-'Advanced Entry'!S$6)),1))),"No data"))</f>
        <v/>
      </c>
      <c r="T171" s="17">
        <f>IF('Advanced Entry'!T171="","",IFERROR(MAX(0,MIN(10,ROUND(IF('Advanced Entry'!T$8="Decrease Risk",10-10*((IF('Advanced Entry'!T$5="Logarithm",LN(0.001+'Advanced Entry'!T171),IF('Advanced Entry'!T$5="Exponential",EXP('Advanced Entry'!T171),'Advanced Entry'!T171)))-'Advanced Entry'!T$6)/('Advanced Entry'!T$7-'Advanced Entry'!T$6),10*((IF('Advanced Entry'!T$5="Logarithm",LN(0.001+'Advanced Entry'!T171),IF('Advanced Entry'!T$5="Exponential",EXP('Advanced Entry'!T171),'Advanced Entry'!T171)))-'Advanced Entry'!T$6)/('Advanced Entry'!T$7-'Advanced Entry'!T$6)),1))),"No data"))</f>
        <v/>
      </c>
      <c r="U171" s="17">
        <f>IF('Advanced Entry'!U171="","",IFERROR(MAX(0,MIN(10,ROUND(IF('Advanced Entry'!U$8="Decrease Risk",10-10*((IF('Advanced Entry'!U$5="Logarithm",LN(0.001+'Advanced Entry'!U171),IF('Advanced Entry'!U$5="Exponential",EXP('Advanced Entry'!U171),'Advanced Entry'!U171)))-'Advanced Entry'!U$6)/('Advanced Entry'!U$7-'Advanced Entry'!U$6),10*((IF('Advanced Entry'!U$5="Logarithm",LN(0.001+'Advanced Entry'!U171),IF('Advanced Entry'!U$5="Exponential",EXP('Advanced Entry'!U171),'Advanced Entry'!U171)))-'Advanced Entry'!U$6)/('Advanced Entry'!U$7-'Advanced Entry'!U$6)),1))),"No data"))</f>
        <v/>
      </c>
      <c r="V171" s="17">
        <f>IF('Advanced Entry'!V171="","",IFERROR(MAX(0,MIN(10,ROUND(IF('Advanced Entry'!V$8="Decrease Risk",10-10*((IF('Advanced Entry'!V$5="Logarithm",LN(0.001+'Advanced Entry'!V171),IF('Advanced Entry'!V$5="Exponential",EXP('Advanced Entry'!V171),'Advanced Entry'!V171)))-'Advanced Entry'!V$6)/('Advanced Entry'!V$7-'Advanced Entry'!V$6),10*((IF('Advanced Entry'!V$5="Logarithm",LN(0.001+'Advanced Entry'!V171),IF('Advanced Entry'!V$5="Exponential",EXP('Advanced Entry'!V171),'Advanced Entry'!V171)))-'Advanced Entry'!V$6)/('Advanced Entry'!V$7-'Advanced Entry'!V$6)),1))),"No data"))</f>
        <v/>
      </c>
      <c r="W171" s="17">
        <f>IF('Advanced Entry'!W171="","",IFERROR(MAX(0,MIN(10,ROUND(IF('Advanced Entry'!W$8="Decrease Risk",10-10*((IF('Advanced Entry'!W$5="Logarithm",LN(0.001+'Advanced Entry'!W171),IF('Advanced Entry'!W$5="Exponential",EXP('Advanced Entry'!W171),'Advanced Entry'!W171)))-'Advanced Entry'!W$6)/('Advanced Entry'!W$7-'Advanced Entry'!W$6),10*((IF('Advanced Entry'!W$5="Logarithm",LN(0.001+'Advanced Entry'!W171),IF('Advanced Entry'!W$5="Exponential",EXP('Advanced Entry'!W171),'Advanced Entry'!W171)))-'Advanced Entry'!W$6)/('Advanced Entry'!W$7-'Advanced Entry'!W$6)),1))),"No data"))</f>
        <v/>
      </c>
      <c r="X171" s="17">
        <f>IF('Advanced Entry'!X171="","",IFERROR(MAX(0,MIN(10,ROUND(IF('Advanced Entry'!X$8="Decrease Risk",10-10*((IF('Advanced Entry'!X$5="Logarithm",LN(0.001+'Advanced Entry'!X171),IF('Advanced Entry'!X$5="Exponential",EXP('Advanced Entry'!X171),'Advanced Entry'!X171)))-'Advanced Entry'!X$6)/('Advanced Entry'!X$7-'Advanced Entry'!X$6),10*((IF('Advanced Entry'!X$5="Logarithm",LN(0.001+'Advanced Entry'!X171),IF('Advanced Entry'!X$5="Exponential",EXP('Advanced Entry'!X171),'Advanced Entry'!X171)))-'Advanced Entry'!X$6)/('Advanced Entry'!X$7-'Advanced Entry'!X$6)),1))),"No data"))</f>
        <v/>
      </c>
      <c r="Y171" s="17">
        <f>IF('Advanced Entry'!Y171="","",IFERROR(MAX(0,MIN(10,ROUND(IF('Advanced Entry'!Y$8="Decrease Risk",10-10*((IF('Advanced Entry'!Y$5="Logarithm",LN(0.001+'Advanced Entry'!Y171),IF('Advanced Entry'!Y$5="Exponential",EXP('Advanced Entry'!Y171),'Advanced Entry'!Y171)))-'Advanced Entry'!Y$6)/('Advanced Entry'!Y$7-'Advanced Entry'!Y$6),10*((IF('Advanced Entry'!Y$5="Logarithm",LN(0.001+'Advanced Entry'!Y171),IF('Advanced Entry'!Y$5="Exponential",EXP('Advanced Entry'!Y171),'Advanced Entry'!Y171)))-'Advanced Entry'!Y$6)/('Advanced Entry'!Y$7-'Advanced Entry'!Y$6)),1))),"No data"))</f>
        <v/>
      </c>
      <c r="Z171" s="17">
        <f>IF('Advanced Entry'!Z171="","",IFERROR(MAX(0,MIN(10,ROUND(IF('Advanced Entry'!Z$8="Decrease Risk",10-10*((IF('Advanced Entry'!Z$5="Logarithm",LN(0.001+'Advanced Entry'!Z171),IF('Advanced Entry'!Z$5="Exponential",EXP('Advanced Entry'!Z171),'Advanced Entry'!Z171)))-'Advanced Entry'!Z$6)/('Advanced Entry'!Z$7-'Advanced Entry'!Z$6),10*((IF('Advanced Entry'!Z$5="Logarithm",LN(0.001+'Advanced Entry'!Z171),IF('Advanced Entry'!Z$5="Exponential",EXP('Advanced Entry'!Z171),'Advanced Entry'!Z171)))-'Advanced Entry'!Z$6)/('Advanced Entry'!Z$7-'Advanced Entry'!Z$6)),1))),"No data"))</f>
        <v/>
      </c>
      <c r="AA171" s="17">
        <f>IF('Advanced Entry'!AA171="","",IFERROR(MAX(0,MIN(10,ROUND(IF('Advanced Entry'!AA$8="Decrease Risk",10-10*((IF('Advanced Entry'!AA$5="Logarithm",LN(0.001+'Advanced Entry'!AA171),IF('Advanced Entry'!AA$5="Exponential",EXP('Advanced Entry'!AA171),'Advanced Entry'!AA171)))-'Advanced Entry'!AA$6)/('Advanced Entry'!AA$7-'Advanced Entry'!AA$6),10*((IF('Advanced Entry'!AA$5="Logarithm",LN(0.001+'Advanced Entry'!AA171),IF('Advanced Entry'!AA$5="Exponential",EXP('Advanced Entry'!AA171),'Advanced Entry'!AA171)))-'Advanced Entry'!AA$6)/('Advanced Entry'!AA$7-'Advanced Entry'!AA$6)),1))),"No data"))</f>
        <v/>
      </c>
      <c r="AB171" s="17">
        <f>IF('Advanced Entry'!AB171="","",IFERROR(MAX(0,MIN(10,ROUND(IF('Advanced Entry'!AB$8="Decrease Risk",10-10*((IF('Advanced Entry'!AB$5="Logarithm",LN(0.001+'Advanced Entry'!AB171),IF('Advanced Entry'!AB$5="Exponential",EXP('Advanced Entry'!AB171),'Advanced Entry'!AB171)))-'Advanced Entry'!AB$6)/('Advanced Entry'!AB$7-'Advanced Entry'!AB$6),10*((IF('Advanced Entry'!AB$5="Logarithm",LN(0.001+'Advanced Entry'!AB171),IF('Advanced Entry'!AB$5="Exponential",EXP('Advanced Entry'!AB171),'Advanced Entry'!AB171)))-'Advanced Entry'!AB$6)/('Advanced Entry'!AB$7-'Advanced Entry'!AB$6)),1))),"No data"))</f>
        <v/>
      </c>
    </row>
    <row r="172">
      <c r="A172" t="inlineStr">
        <is>
          <t>Simiyu</t>
        </is>
      </c>
      <c r="B172" t="inlineStr">
        <is>
          <t>Itilima District</t>
        </is>
      </c>
      <c r="C172" t="inlineStr">
        <is>
          <t>C170</t>
        </is>
      </c>
      <c r="D172" s="17">
        <f>IF('Advanced Entry'!D172="","",IFERROR(MAX(0,MIN(10,ROUND(IF('Advanced Entry'!D$8="Decrease Risk",10-10*((IF('Advanced Entry'!D$5="Logarithm",LN(0.001+'Advanced Entry'!D172),IF('Advanced Entry'!D$5="Exponential",EXP('Advanced Entry'!D172),'Advanced Entry'!D172)))-'Advanced Entry'!D$6)/('Advanced Entry'!D$7-'Advanced Entry'!D$6),10*((IF('Advanced Entry'!D$5="Logarithm",LN(0.001+'Advanced Entry'!D172),IF('Advanced Entry'!D$5="Exponential",EXP('Advanced Entry'!D172),'Advanced Entry'!D172)))-'Advanced Entry'!D$6)/('Advanced Entry'!D$7-'Advanced Entry'!D$6)),1))),"No data"))</f>
        <v/>
      </c>
      <c r="E172" s="17">
        <f>IF('Advanced Entry'!E172="","",IFERROR(MAX(0,MIN(10,ROUND(IF('Advanced Entry'!E$8="Decrease Risk",10-10*((IF('Advanced Entry'!E$5="Logarithm",LN(0.001+'Advanced Entry'!E172),IF('Advanced Entry'!E$5="Exponential",EXP('Advanced Entry'!E172),'Advanced Entry'!E172)))-'Advanced Entry'!E$6)/('Advanced Entry'!E$7-'Advanced Entry'!E$6),10*((IF('Advanced Entry'!E$5="Logarithm",LN(0.001+'Advanced Entry'!E172),IF('Advanced Entry'!E$5="Exponential",EXP('Advanced Entry'!E172),'Advanced Entry'!E172)))-'Advanced Entry'!E$6)/('Advanced Entry'!E$7-'Advanced Entry'!E$6)),1))),"No data"))</f>
        <v/>
      </c>
      <c r="F172" s="17">
        <f>IF('Advanced Entry'!F172="","",IFERROR(MAX(0,MIN(10,ROUND(IF('Advanced Entry'!F$8="Decrease Risk",10-10*((IF('Advanced Entry'!F$5="Logarithm",LN(0.001+'Advanced Entry'!F172),IF('Advanced Entry'!F$5="Exponential",EXP('Advanced Entry'!F172),'Advanced Entry'!F172)))-'Advanced Entry'!F$6)/('Advanced Entry'!F$7-'Advanced Entry'!F$6),10*((IF('Advanced Entry'!F$5="Logarithm",LN(0.001+'Advanced Entry'!F172),IF('Advanced Entry'!F$5="Exponential",EXP('Advanced Entry'!F172),'Advanced Entry'!F172)))-'Advanced Entry'!F$6)/('Advanced Entry'!F$7-'Advanced Entry'!F$6)),1))),"No data"))</f>
        <v/>
      </c>
      <c r="G172" s="17">
        <f>IF('Advanced Entry'!G172="","",IFERROR(MAX(0,MIN(10,ROUND(IF('Advanced Entry'!G$8="Decrease Risk",10-10*((IF('Advanced Entry'!G$5="Logarithm",LN(0.001+'Advanced Entry'!G172),IF('Advanced Entry'!G$5="Exponential",EXP('Advanced Entry'!G172),'Advanced Entry'!G172)))-'Advanced Entry'!G$6)/('Advanced Entry'!G$7-'Advanced Entry'!G$6),10*((IF('Advanced Entry'!G$5="Logarithm",LN(0.001+'Advanced Entry'!G172),IF('Advanced Entry'!G$5="Exponential",EXP('Advanced Entry'!G172),'Advanced Entry'!G172)))-'Advanced Entry'!G$6)/('Advanced Entry'!G$7-'Advanced Entry'!G$6)),1))),"No data"))</f>
        <v/>
      </c>
      <c r="H172" s="17">
        <f>IF('Advanced Entry'!H172="","",IFERROR(MAX(0,MIN(10,ROUND(IF('Advanced Entry'!H$8="Decrease Risk",10-10*((IF('Advanced Entry'!H$5="Logarithm",LN(0.001+'Advanced Entry'!H172),IF('Advanced Entry'!H$5="Exponential",EXP('Advanced Entry'!H172),'Advanced Entry'!H172)))-'Advanced Entry'!H$6)/('Advanced Entry'!H$7-'Advanced Entry'!H$6),10*((IF('Advanced Entry'!H$5="Logarithm",LN(0.001+'Advanced Entry'!H172),IF('Advanced Entry'!H$5="Exponential",EXP('Advanced Entry'!H172),'Advanced Entry'!H172)))-'Advanced Entry'!H$6)/('Advanced Entry'!H$7-'Advanced Entry'!H$6)),1))),"No data"))</f>
        <v/>
      </c>
      <c r="I172" s="17">
        <f>IF('Advanced Entry'!I172="","",IFERROR(MAX(0,MIN(10,ROUND(IF('Advanced Entry'!I$8="Decrease Risk",10-10*((IF('Advanced Entry'!I$5="Logarithm",LN(0.001+'Advanced Entry'!I172),IF('Advanced Entry'!I$5="Exponential",EXP('Advanced Entry'!I172),'Advanced Entry'!I172)))-'Advanced Entry'!I$6)/('Advanced Entry'!I$7-'Advanced Entry'!I$6),10*((IF('Advanced Entry'!I$5="Logarithm",LN(0.001+'Advanced Entry'!I172),IF('Advanced Entry'!I$5="Exponential",EXP('Advanced Entry'!I172),'Advanced Entry'!I172)))-'Advanced Entry'!I$6)/('Advanced Entry'!I$7-'Advanced Entry'!I$6)),1))),"No data"))</f>
        <v/>
      </c>
      <c r="J172" s="17">
        <f>IF('Advanced Entry'!J172="","",IFERROR(MAX(0,MIN(10,ROUND(IF('Advanced Entry'!J$8="Decrease Risk",10-10*((IF('Advanced Entry'!J$5="Logarithm",LN(0.001+'Advanced Entry'!J172),IF('Advanced Entry'!J$5="Exponential",EXP('Advanced Entry'!J172),'Advanced Entry'!J172)))-'Advanced Entry'!J$6)/('Advanced Entry'!J$7-'Advanced Entry'!J$6),10*((IF('Advanced Entry'!J$5="Logarithm",LN(0.001+'Advanced Entry'!J172),IF('Advanced Entry'!J$5="Exponential",EXP('Advanced Entry'!J172),'Advanced Entry'!J172)))-'Advanced Entry'!J$6)/('Advanced Entry'!J$7-'Advanced Entry'!J$6)),1))),"No data"))</f>
        <v/>
      </c>
      <c r="K172" s="17">
        <f>IF('Advanced Entry'!K172="","",IFERROR(MAX(0,MIN(10,ROUND(IF('Advanced Entry'!K$8="Decrease Risk",10-10*((IF('Advanced Entry'!K$5="Logarithm",LN(0.001+'Advanced Entry'!K172),IF('Advanced Entry'!K$5="Exponential",EXP('Advanced Entry'!K172),'Advanced Entry'!K172)))-'Advanced Entry'!K$6)/('Advanced Entry'!K$7-'Advanced Entry'!K$6),10*((IF('Advanced Entry'!K$5="Logarithm",LN(0.001+'Advanced Entry'!K172),IF('Advanced Entry'!K$5="Exponential",EXP('Advanced Entry'!K172),'Advanced Entry'!K172)))-'Advanced Entry'!K$6)/('Advanced Entry'!K$7-'Advanced Entry'!K$6)),1))),"No data"))</f>
        <v/>
      </c>
      <c r="L172" s="17">
        <f>IF('Advanced Entry'!L172="","",IFERROR(MAX(0,MIN(10,ROUND(IF('Advanced Entry'!L$8="Decrease Risk",10-10*((IF('Advanced Entry'!L$5="Logarithm",LN(0.001+'Advanced Entry'!L172),IF('Advanced Entry'!L$5="Exponential",EXP('Advanced Entry'!L172),'Advanced Entry'!L172)))-'Advanced Entry'!L$6)/('Advanced Entry'!L$7-'Advanced Entry'!L$6),10*((IF('Advanced Entry'!L$5="Logarithm",LN(0.001+'Advanced Entry'!L172),IF('Advanced Entry'!L$5="Exponential",EXP('Advanced Entry'!L172),'Advanced Entry'!L172)))-'Advanced Entry'!L$6)/('Advanced Entry'!L$7-'Advanced Entry'!L$6)),1))),"No data"))</f>
        <v/>
      </c>
      <c r="M172" s="17">
        <f>IF('Advanced Entry'!M172="","",IFERROR(MAX(0,MIN(10,ROUND(IF('Advanced Entry'!M$8="Decrease Risk",10-10*((IF('Advanced Entry'!M$5="Logarithm",LN(0.001+'Advanced Entry'!M172),IF('Advanced Entry'!M$5="Exponential",EXP('Advanced Entry'!M172),'Advanced Entry'!M172)))-'Advanced Entry'!M$6)/('Advanced Entry'!M$7-'Advanced Entry'!M$6),10*((IF('Advanced Entry'!M$5="Logarithm",LN(0.001+'Advanced Entry'!M172),IF('Advanced Entry'!M$5="Exponential",EXP('Advanced Entry'!M172),'Advanced Entry'!M172)))-'Advanced Entry'!M$6)/('Advanced Entry'!M$7-'Advanced Entry'!M$6)),1))),"No data"))</f>
        <v/>
      </c>
      <c r="N172" s="17">
        <f>IF('Advanced Entry'!N172="","",IFERROR(MAX(0,MIN(10,ROUND(IF('Advanced Entry'!N$8="Decrease Risk",10-10*((IF('Advanced Entry'!N$5="Logarithm",LN(0.001+'Advanced Entry'!N172),IF('Advanced Entry'!N$5="Exponential",EXP('Advanced Entry'!N172),'Advanced Entry'!N172)))-'Advanced Entry'!N$6)/('Advanced Entry'!N$7-'Advanced Entry'!N$6),10*((IF('Advanced Entry'!N$5="Logarithm",LN(0.001+'Advanced Entry'!N172),IF('Advanced Entry'!N$5="Exponential",EXP('Advanced Entry'!N172),'Advanced Entry'!N172)))-'Advanced Entry'!N$6)/('Advanced Entry'!N$7-'Advanced Entry'!N$6)),1))),"No data"))</f>
        <v/>
      </c>
      <c r="O172" s="17">
        <f>IF('Advanced Entry'!O172="","",IFERROR(MAX(0,MIN(10,ROUND(IF('Advanced Entry'!O$8="Decrease Risk",10-10*((IF('Advanced Entry'!O$5="Logarithm",LN(0.001+'Advanced Entry'!O172),IF('Advanced Entry'!O$5="Exponential",EXP('Advanced Entry'!O172),'Advanced Entry'!O172)))-'Advanced Entry'!O$6)/('Advanced Entry'!O$7-'Advanced Entry'!O$6),10*((IF('Advanced Entry'!O$5="Logarithm",LN(0.001+'Advanced Entry'!O172),IF('Advanced Entry'!O$5="Exponential",EXP('Advanced Entry'!O172),'Advanced Entry'!O172)))-'Advanced Entry'!O$6)/('Advanced Entry'!O$7-'Advanced Entry'!O$6)),1))),"No data"))</f>
        <v/>
      </c>
      <c r="P172" s="17">
        <f>IF('Advanced Entry'!P172="","",IFERROR(MAX(0,MIN(10,ROUND(IF('Advanced Entry'!P$8="Decrease Risk",10-10*((IF('Advanced Entry'!P$5="Logarithm",LN(0.001+'Advanced Entry'!P172),IF('Advanced Entry'!P$5="Exponential",EXP('Advanced Entry'!P172),'Advanced Entry'!P172)))-'Advanced Entry'!P$6)/('Advanced Entry'!P$7-'Advanced Entry'!P$6),10*((IF('Advanced Entry'!P$5="Logarithm",LN(0.001+'Advanced Entry'!P172),IF('Advanced Entry'!P$5="Exponential",EXP('Advanced Entry'!P172),'Advanced Entry'!P172)))-'Advanced Entry'!P$6)/('Advanced Entry'!P$7-'Advanced Entry'!P$6)),1))),"No data"))</f>
        <v/>
      </c>
      <c r="Q172" s="17">
        <f>IF('Advanced Entry'!Q172="","",IFERROR(MAX(0,MIN(10,ROUND(IF('Advanced Entry'!Q$8="Decrease Risk",10-10*((IF('Advanced Entry'!Q$5="Logarithm",LN(0.001+'Advanced Entry'!Q172),IF('Advanced Entry'!Q$5="Exponential",EXP('Advanced Entry'!Q172),'Advanced Entry'!Q172)))-'Advanced Entry'!Q$6)/('Advanced Entry'!Q$7-'Advanced Entry'!Q$6),10*((IF('Advanced Entry'!Q$5="Logarithm",LN(0.001+'Advanced Entry'!Q172),IF('Advanced Entry'!Q$5="Exponential",EXP('Advanced Entry'!Q172),'Advanced Entry'!Q172)))-'Advanced Entry'!Q$6)/('Advanced Entry'!Q$7-'Advanced Entry'!Q$6)),1))),"No data"))</f>
        <v/>
      </c>
      <c r="R172" s="17">
        <f>IF('Advanced Entry'!R172="","",IFERROR(MAX(0,MIN(10,ROUND(IF('Advanced Entry'!R$8="Decrease Risk",10-10*((IF('Advanced Entry'!R$5="Logarithm",LN(0.001+'Advanced Entry'!R172),IF('Advanced Entry'!R$5="Exponential",EXP('Advanced Entry'!R172),'Advanced Entry'!R172)))-'Advanced Entry'!R$6)/('Advanced Entry'!R$7-'Advanced Entry'!R$6),10*((IF('Advanced Entry'!R$5="Logarithm",LN(0.001+'Advanced Entry'!R172),IF('Advanced Entry'!R$5="Exponential",EXP('Advanced Entry'!R172),'Advanced Entry'!R172)))-'Advanced Entry'!R$6)/('Advanced Entry'!R$7-'Advanced Entry'!R$6)),1))),"No data"))</f>
        <v/>
      </c>
      <c r="S172" s="17">
        <f>IF('Advanced Entry'!S172="","",IFERROR(MAX(0,MIN(10,ROUND(IF('Advanced Entry'!S$8="Decrease Risk",10-10*((IF('Advanced Entry'!S$5="Logarithm",LN(0.001+'Advanced Entry'!S172),IF('Advanced Entry'!S$5="Exponential",EXP('Advanced Entry'!S172),'Advanced Entry'!S172)))-'Advanced Entry'!S$6)/('Advanced Entry'!S$7-'Advanced Entry'!S$6),10*((IF('Advanced Entry'!S$5="Logarithm",LN(0.001+'Advanced Entry'!S172),IF('Advanced Entry'!S$5="Exponential",EXP('Advanced Entry'!S172),'Advanced Entry'!S172)))-'Advanced Entry'!S$6)/('Advanced Entry'!S$7-'Advanced Entry'!S$6)),1))),"No data"))</f>
        <v/>
      </c>
      <c r="T172" s="17">
        <f>IF('Advanced Entry'!T172="","",IFERROR(MAX(0,MIN(10,ROUND(IF('Advanced Entry'!T$8="Decrease Risk",10-10*((IF('Advanced Entry'!T$5="Logarithm",LN(0.001+'Advanced Entry'!T172),IF('Advanced Entry'!T$5="Exponential",EXP('Advanced Entry'!T172),'Advanced Entry'!T172)))-'Advanced Entry'!T$6)/('Advanced Entry'!T$7-'Advanced Entry'!T$6),10*((IF('Advanced Entry'!T$5="Logarithm",LN(0.001+'Advanced Entry'!T172),IF('Advanced Entry'!T$5="Exponential",EXP('Advanced Entry'!T172),'Advanced Entry'!T172)))-'Advanced Entry'!T$6)/('Advanced Entry'!T$7-'Advanced Entry'!T$6)),1))),"No data"))</f>
        <v/>
      </c>
      <c r="U172" s="17">
        <f>IF('Advanced Entry'!U172="","",IFERROR(MAX(0,MIN(10,ROUND(IF('Advanced Entry'!U$8="Decrease Risk",10-10*((IF('Advanced Entry'!U$5="Logarithm",LN(0.001+'Advanced Entry'!U172),IF('Advanced Entry'!U$5="Exponential",EXP('Advanced Entry'!U172),'Advanced Entry'!U172)))-'Advanced Entry'!U$6)/('Advanced Entry'!U$7-'Advanced Entry'!U$6),10*((IF('Advanced Entry'!U$5="Logarithm",LN(0.001+'Advanced Entry'!U172),IF('Advanced Entry'!U$5="Exponential",EXP('Advanced Entry'!U172),'Advanced Entry'!U172)))-'Advanced Entry'!U$6)/('Advanced Entry'!U$7-'Advanced Entry'!U$6)),1))),"No data"))</f>
        <v/>
      </c>
      <c r="V172" s="17">
        <f>IF('Advanced Entry'!V172="","",IFERROR(MAX(0,MIN(10,ROUND(IF('Advanced Entry'!V$8="Decrease Risk",10-10*((IF('Advanced Entry'!V$5="Logarithm",LN(0.001+'Advanced Entry'!V172),IF('Advanced Entry'!V$5="Exponential",EXP('Advanced Entry'!V172),'Advanced Entry'!V172)))-'Advanced Entry'!V$6)/('Advanced Entry'!V$7-'Advanced Entry'!V$6),10*((IF('Advanced Entry'!V$5="Logarithm",LN(0.001+'Advanced Entry'!V172),IF('Advanced Entry'!V$5="Exponential",EXP('Advanced Entry'!V172),'Advanced Entry'!V172)))-'Advanced Entry'!V$6)/('Advanced Entry'!V$7-'Advanced Entry'!V$6)),1))),"No data"))</f>
        <v/>
      </c>
      <c r="W172" s="17">
        <f>IF('Advanced Entry'!W172="","",IFERROR(MAX(0,MIN(10,ROUND(IF('Advanced Entry'!W$8="Decrease Risk",10-10*((IF('Advanced Entry'!W$5="Logarithm",LN(0.001+'Advanced Entry'!W172),IF('Advanced Entry'!W$5="Exponential",EXP('Advanced Entry'!W172),'Advanced Entry'!W172)))-'Advanced Entry'!W$6)/('Advanced Entry'!W$7-'Advanced Entry'!W$6),10*((IF('Advanced Entry'!W$5="Logarithm",LN(0.001+'Advanced Entry'!W172),IF('Advanced Entry'!W$5="Exponential",EXP('Advanced Entry'!W172),'Advanced Entry'!W172)))-'Advanced Entry'!W$6)/('Advanced Entry'!W$7-'Advanced Entry'!W$6)),1))),"No data"))</f>
        <v/>
      </c>
      <c r="X172" s="17">
        <f>IF('Advanced Entry'!X172="","",IFERROR(MAX(0,MIN(10,ROUND(IF('Advanced Entry'!X$8="Decrease Risk",10-10*((IF('Advanced Entry'!X$5="Logarithm",LN(0.001+'Advanced Entry'!X172),IF('Advanced Entry'!X$5="Exponential",EXP('Advanced Entry'!X172),'Advanced Entry'!X172)))-'Advanced Entry'!X$6)/('Advanced Entry'!X$7-'Advanced Entry'!X$6),10*((IF('Advanced Entry'!X$5="Logarithm",LN(0.001+'Advanced Entry'!X172),IF('Advanced Entry'!X$5="Exponential",EXP('Advanced Entry'!X172),'Advanced Entry'!X172)))-'Advanced Entry'!X$6)/('Advanced Entry'!X$7-'Advanced Entry'!X$6)),1))),"No data"))</f>
        <v/>
      </c>
      <c r="Y172" s="17">
        <f>IF('Advanced Entry'!Y172="","",IFERROR(MAX(0,MIN(10,ROUND(IF('Advanced Entry'!Y$8="Decrease Risk",10-10*((IF('Advanced Entry'!Y$5="Logarithm",LN(0.001+'Advanced Entry'!Y172),IF('Advanced Entry'!Y$5="Exponential",EXP('Advanced Entry'!Y172),'Advanced Entry'!Y172)))-'Advanced Entry'!Y$6)/('Advanced Entry'!Y$7-'Advanced Entry'!Y$6),10*((IF('Advanced Entry'!Y$5="Logarithm",LN(0.001+'Advanced Entry'!Y172),IF('Advanced Entry'!Y$5="Exponential",EXP('Advanced Entry'!Y172),'Advanced Entry'!Y172)))-'Advanced Entry'!Y$6)/('Advanced Entry'!Y$7-'Advanced Entry'!Y$6)),1))),"No data"))</f>
        <v/>
      </c>
      <c r="Z172" s="17">
        <f>IF('Advanced Entry'!Z172="","",IFERROR(MAX(0,MIN(10,ROUND(IF('Advanced Entry'!Z$8="Decrease Risk",10-10*((IF('Advanced Entry'!Z$5="Logarithm",LN(0.001+'Advanced Entry'!Z172),IF('Advanced Entry'!Z$5="Exponential",EXP('Advanced Entry'!Z172),'Advanced Entry'!Z172)))-'Advanced Entry'!Z$6)/('Advanced Entry'!Z$7-'Advanced Entry'!Z$6),10*((IF('Advanced Entry'!Z$5="Logarithm",LN(0.001+'Advanced Entry'!Z172),IF('Advanced Entry'!Z$5="Exponential",EXP('Advanced Entry'!Z172),'Advanced Entry'!Z172)))-'Advanced Entry'!Z$6)/('Advanced Entry'!Z$7-'Advanced Entry'!Z$6)),1))),"No data"))</f>
        <v/>
      </c>
      <c r="AA172" s="17">
        <f>IF('Advanced Entry'!AA172="","",IFERROR(MAX(0,MIN(10,ROUND(IF('Advanced Entry'!AA$8="Decrease Risk",10-10*((IF('Advanced Entry'!AA$5="Logarithm",LN(0.001+'Advanced Entry'!AA172),IF('Advanced Entry'!AA$5="Exponential",EXP('Advanced Entry'!AA172),'Advanced Entry'!AA172)))-'Advanced Entry'!AA$6)/('Advanced Entry'!AA$7-'Advanced Entry'!AA$6),10*((IF('Advanced Entry'!AA$5="Logarithm",LN(0.001+'Advanced Entry'!AA172),IF('Advanced Entry'!AA$5="Exponential",EXP('Advanced Entry'!AA172),'Advanced Entry'!AA172)))-'Advanced Entry'!AA$6)/('Advanced Entry'!AA$7-'Advanced Entry'!AA$6)),1))),"No data"))</f>
        <v/>
      </c>
      <c r="AB172" s="17">
        <f>IF('Advanced Entry'!AB172="","",IFERROR(MAX(0,MIN(10,ROUND(IF('Advanced Entry'!AB$8="Decrease Risk",10-10*((IF('Advanced Entry'!AB$5="Logarithm",LN(0.001+'Advanced Entry'!AB172),IF('Advanced Entry'!AB$5="Exponential",EXP('Advanced Entry'!AB172),'Advanced Entry'!AB172)))-'Advanced Entry'!AB$6)/('Advanced Entry'!AB$7-'Advanced Entry'!AB$6),10*((IF('Advanced Entry'!AB$5="Logarithm",LN(0.001+'Advanced Entry'!AB172),IF('Advanced Entry'!AB$5="Exponential",EXP('Advanced Entry'!AB172),'Advanced Entry'!AB172)))-'Advanced Entry'!AB$6)/('Advanced Entry'!AB$7-'Advanced Entry'!AB$6)),1))),"No data"))</f>
        <v/>
      </c>
    </row>
    <row r="173">
      <c r="A173" t="inlineStr">
        <is>
          <t>Simiyu</t>
        </is>
      </c>
      <c r="B173" t="inlineStr">
        <is>
          <t>Maswa District</t>
        </is>
      </c>
      <c r="C173" t="inlineStr">
        <is>
          <t>C172</t>
        </is>
      </c>
      <c r="D173" s="17">
        <f>IF('Advanced Entry'!D173="","",IFERROR(MAX(0,MIN(10,ROUND(IF('Advanced Entry'!D$8="Decrease Risk",10-10*((IF('Advanced Entry'!D$5="Logarithm",LN(0.001+'Advanced Entry'!D173),IF('Advanced Entry'!D$5="Exponential",EXP('Advanced Entry'!D173),'Advanced Entry'!D173)))-'Advanced Entry'!D$6)/('Advanced Entry'!D$7-'Advanced Entry'!D$6),10*((IF('Advanced Entry'!D$5="Logarithm",LN(0.001+'Advanced Entry'!D173),IF('Advanced Entry'!D$5="Exponential",EXP('Advanced Entry'!D173),'Advanced Entry'!D173)))-'Advanced Entry'!D$6)/('Advanced Entry'!D$7-'Advanced Entry'!D$6)),1))),"No data"))</f>
        <v/>
      </c>
      <c r="E173" s="17">
        <f>IF('Advanced Entry'!E173="","",IFERROR(MAX(0,MIN(10,ROUND(IF('Advanced Entry'!E$8="Decrease Risk",10-10*((IF('Advanced Entry'!E$5="Logarithm",LN(0.001+'Advanced Entry'!E173),IF('Advanced Entry'!E$5="Exponential",EXP('Advanced Entry'!E173),'Advanced Entry'!E173)))-'Advanced Entry'!E$6)/('Advanced Entry'!E$7-'Advanced Entry'!E$6),10*((IF('Advanced Entry'!E$5="Logarithm",LN(0.001+'Advanced Entry'!E173),IF('Advanced Entry'!E$5="Exponential",EXP('Advanced Entry'!E173),'Advanced Entry'!E173)))-'Advanced Entry'!E$6)/('Advanced Entry'!E$7-'Advanced Entry'!E$6)),1))),"No data"))</f>
        <v/>
      </c>
      <c r="F173" s="17">
        <f>IF('Advanced Entry'!F173="","",IFERROR(MAX(0,MIN(10,ROUND(IF('Advanced Entry'!F$8="Decrease Risk",10-10*((IF('Advanced Entry'!F$5="Logarithm",LN(0.001+'Advanced Entry'!F173),IF('Advanced Entry'!F$5="Exponential",EXP('Advanced Entry'!F173),'Advanced Entry'!F173)))-'Advanced Entry'!F$6)/('Advanced Entry'!F$7-'Advanced Entry'!F$6),10*((IF('Advanced Entry'!F$5="Logarithm",LN(0.001+'Advanced Entry'!F173),IF('Advanced Entry'!F$5="Exponential",EXP('Advanced Entry'!F173),'Advanced Entry'!F173)))-'Advanced Entry'!F$6)/('Advanced Entry'!F$7-'Advanced Entry'!F$6)),1))),"No data"))</f>
        <v/>
      </c>
      <c r="G173" s="17">
        <f>IF('Advanced Entry'!G173="","",IFERROR(MAX(0,MIN(10,ROUND(IF('Advanced Entry'!G$8="Decrease Risk",10-10*((IF('Advanced Entry'!G$5="Logarithm",LN(0.001+'Advanced Entry'!G173),IF('Advanced Entry'!G$5="Exponential",EXP('Advanced Entry'!G173),'Advanced Entry'!G173)))-'Advanced Entry'!G$6)/('Advanced Entry'!G$7-'Advanced Entry'!G$6),10*((IF('Advanced Entry'!G$5="Logarithm",LN(0.001+'Advanced Entry'!G173),IF('Advanced Entry'!G$5="Exponential",EXP('Advanced Entry'!G173),'Advanced Entry'!G173)))-'Advanced Entry'!G$6)/('Advanced Entry'!G$7-'Advanced Entry'!G$6)),1))),"No data"))</f>
        <v/>
      </c>
      <c r="H173" s="17">
        <f>IF('Advanced Entry'!H173="","",IFERROR(MAX(0,MIN(10,ROUND(IF('Advanced Entry'!H$8="Decrease Risk",10-10*((IF('Advanced Entry'!H$5="Logarithm",LN(0.001+'Advanced Entry'!H173),IF('Advanced Entry'!H$5="Exponential",EXP('Advanced Entry'!H173),'Advanced Entry'!H173)))-'Advanced Entry'!H$6)/('Advanced Entry'!H$7-'Advanced Entry'!H$6),10*((IF('Advanced Entry'!H$5="Logarithm",LN(0.001+'Advanced Entry'!H173),IF('Advanced Entry'!H$5="Exponential",EXP('Advanced Entry'!H173),'Advanced Entry'!H173)))-'Advanced Entry'!H$6)/('Advanced Entry'!H$7-'Advanced Entry'!H$6)),1))),"No data"))</f>
        <v/>
      </c>
      <c r="I173" s="17">
        <f>IF('Advanced Entry'!I173="","",IFERROR(MAX(0,MIN(10,ROUND(IF('Advanced Entry'!I$8="Decrease Risk",10-10*((IF('Advanced Entry'!I$5="Logarithm",LN(0.001+'Advanced Entry'!I173),IF('Advanced Entry'!I$5="Exponential",EXP('Advanced Entry'!I173),'Advanced Entry'!I173)))-'Advanced Entry'!I$6)/('Advanced Entry'!I$7-'Advanced Entry'!I$6),10*((IF('Advanced Entry'!I$5="Logarithm",LN(0.001+'Advanced Entry'!I173),IF('Advanced Entry'!I$5="Exponential",EXP('Advanced Entry'!I173),'Advanced Entry'!I173)))-'Advanced Entry'!I$6)/('Advanced Entry'!I$7-'Advanced Entry'!I$6)),1))),"No data"))</f>
        <v/>
      </c>
      <c r="J173" s="17">
        <f>IF('Advanced Entry'!J173="","",IFERROR(MAX(0,MIN(10,ROUND(IF('Advanced Entry'!J$8="Decrease Risk",10-10*((IF('Advanced Entry'!J$5="Logarithm",LN(0.001+'Advanced Entry'!J173),IF('Advanced Entry'!J$5="Exponential",EXP('Advanced Entry'!J173),'Advanced Entry'!J173)))-'Advanced Entry'!J$6)/('Advanced Entry'!J$7-'Advanced Entry'!J$6),10*((IF('Advanced Entry'!J$5="Logarithm",LN(0.001+'Advanced Entry'!J173),IF('Advanced Entry'!J$5="Exponential",EXP('Advanced Entry'!J173),'Advanced Entry'!J173)))-'Advanced Entry'!J$6)/('Advanced Entry'!J$7-'Advanced Entry'!J$6)),1))),"No data"))</f>
        <v/>
      </c>
      <c r="K173" s="17">
        <f>IF('Advanced Entry'!K173="","",IFERROR(MAX(0,MIN(10,ROUND(IF('Advanced Entry'!K$8="Decrease Risk",10-10*((IF('Advanced Entry'!K$5="Logarithm",LN(0.001+'Advanced Entry'!K173),IF('Advanced Entry'!K$5="Exponential",EXP('Advanced Entry'!K173),'Advanced Entry'!K173)))-'Advanced Entry'!K$6)/('Advanced Entry'!K$7-'Advanced Entry'!K$6),10*((IF('Advanced Entry'!K$5="Logarithm",LN(0.001+'Advanced Entry'!K173),IF('Advanced Entry'!K$5="Exponential",EXP('Advanced Entry'!K173),'Advanced Entry'!K173)))-'Advanced Entry'!K$6)/('Advanced Entry'!K$7-'Advanced Entry'!K$6)),1))),"No data"))</f>
        <v/>
      </c>
      <c r="L173" s="17">
        <f>IF('Advanced Entry'!L173="","",IFERROR(MAX(0,MIN(10,ROUND(IF('Advanced Entry'!L$8="Decrease Risk",10-10*((IF('Advanced Entry'!L$5="Logarithm",LN(0.001+'Advanced Entry'!L173),IF('Advanced Entry'!L$5="Exponential",EXP('Advanced Entry'!L173),'Advanced Entry'!L173)))-'Advanced Entry'!L$6)/('Advanced Entry'!L$7-'Advanced Entry'!L$6),10*((IF('Advanced Entry'!L$5="Logarithm",LN(0.001+'Advanced Entry'!L173),IF('Advanced Entry'!L$5="Exponential",EXP('Advanced Entry'!L173),'Advanced Entry'!L173)))-'Advanced Entry'!L$6)/('Advanced Entry'!L$7-'Advanced Entry'!L$6)),1))),"No data"))</f>
        <v/>
      </c>
      <c r="M173" s="17">
        <f>IF('Advanced Entry'!M173="","",IFERROR(MAX(0,MIN(10,ROUND(IF('Advanced Entry'!M$8="Decrease Risk",10-10*((IF('Advanced Entry'!M$5="Logarithm",LN(0.001+'Advanced Entry'!M173),IF('Advanced Entry'!M$5="Exponential",EXP('Advanced Entry'!M173),'Advanced Entry'!M173)))-'Advanced Entry'!M$6)/('Advanced Entry'!M$7-'Advanced Entry'!M$6),10*((IF('Advanced Entry'!M$5="Logarithm",LN(0.001+'Advanced Entry'!M173),IF('Advanced Entry'!M$5="Exponential",EXP('Advanced Entry'!M173),'Advanced Entry'!M173)))-'Advanced Entry'!M$6)/('Advanced Entry'!M$7-'Advanced Entry'!M$6)),1))),"No data"))</f>
        <v/>
      </c>
      <c r="N173" s="17">
        <f>IF('Advanced Entry'!N173="","",IFERROR(MAX(0,MIN(10,ROUND(IF('Advanced Entry'!N$8="Decrease Risk",10-10*((IF('Advanced Entry'!N$5="Logarithm",LN(0.001+'Advanced Entry'!N173),IF('Advanced Entry'!N$5="Exponential",EXP('Advanced Entry'!N173),'Advanced Entry'!N173)))-'Advanced Entry'!N$6)/('Advanced Entry'!N$7-'Advanced Entry'!N$6),10*((IF('Advanced Entry'!N$5="Logarithm",LN(0.001+'Advanced Entry'!N173),IF('Advanced Entry'!N$5="Exponential",EXP('Advanced Entry'!N173),'Advanced Entry'!N173)))-'Advanced Entry'!N$6)/('Advanced Entry'!N$7-'Advanced Entry'!N$6)),1))),"No data"))</f>
        <v/>
      </c>
      <c r="O173" s="17">
        <f>IF('Advanced Entry'!O173="","",IFERROR(MAX(0,MIN(10,ROUND(IF('Advanced Entry'!O$8="Decrease Risk",10-10*((IF('Advanced Entry'!O$5="Logarithm",LN(0.001+'Advanced Entry'!O173),IF('Advanced Entry'!O$5="Exponential",EXP('Advanced Entry'!O173),'Advanced Entry'!O173)))-'Advanced Entry'!O$6)/('Advanced Entry'!O$7-'Advanced Entry'!O$6),10*((IF('Advanced Entry'!O$5="Logarithm",LN(0.001+'Advanced Entry'!O173),IF('Advanced Entry'!O$5="Exponential",EXP('Advanced Entry'!O173),'Advanced Entry'!O173)))-'Advanced Entry'!O$6)/('Advanced Entry'!O$7-'Advanced Entry'!O$6)),1))),"No data"))</f>
        <v/>
      </c>
      <c r="P173" s="17">
        <f>IF('Advanced Entry'!P173="","",IFERROR(MAX(0,MIN(10,ROUND(IF('Advanced Entry'!P$8="Decrease Risk",10-10*((IF('Advanced Entry'!P$5="Logarithm",LN(0.001+'Advanced Entry'!P173),IF('Advanced Entry'!P$5="Exponential",EXP('Advanced Entry'!P173),'Advanced Entry'!P173)))-'Advanced Entry'!P$6)/('Advanced Entry'!P$7-'Advanced Entry'!P$6),10*((IF('Advanced Entry'!P$5="Logarithm",LN(0.001+'Advanced Entry'!P173),IF('Advanced Entry'!P$5="Exponential",EXP('Advanced Entry'!P173),'Advanced Entry'!P173)))-'Advanced Entry'!P$6)/('Advanced Entry'!P$7-'Advanced Entry'!P$6)),1))),"No data"))</f>
        <v/>
      </c>
      <c r="Q173" s="17">
        <f>IF('Advanced Entry'!Q173="","",IFERROR(MAX(0,MIN(10,ROUND(IF('Advanced Entry'!Q$8="Decrease Risk",10-10*((IF('Advanced Entry'!Q$5="Logarithm",LN(0.001+'Advanced Entry'!Q173),IF('Advanced Entry'!Q$5="Exponential",EXP('Advanced Entry'!Q173),'Advanced Entry'!Q173)))-'Advanced Entry'!Q$6)/('Advanced Entry'!Q$7-'Advanced Entry'!Q$6),10*((IF('Advanced Entry'!Q$5="Logarithm",LN(0.001+'Advanced Entry'!Q173),IF('Advanced Entry'!Q$5="Exponential",EXP('Advanced Entry'!Q173),'Advanced Entry'!Q173)))-'Advanced Entry'!Q$6)/('Advanced Entry'!Q$7-'Advanced Entry'!Q$6)),1))),"No data"))</f>
        <v/>
      </c>
      <c r="R173" s="17">
        <f>IF('Advanced Entry'!R173="","",IFERROR(MAX(0,MIN(10,ROUND(IF('Advanced Entry'!R$8="Decrease Risk",10-10*((IF('Advanced Entry'!R$5="Logarithm",LN(0.001+'Advanced Entry'!R173),IF('Advanced Entry'!R$5="Exponential",EXP('Advanced Entry'!R173),'Advanced Entry'!R173)))-'Advanced Entry'!R$6)/('Advanced Entry'!R$7-'Advanced Entry'!R$6),10*((IF('Advanced Entry'!R$5="Logarithm",LN(0.001+'Advanced Entry'!R173),IF('Advanced Entry'!R$5="Exponential",EXP('Advanced Entry'!R173),'Advanced Entry'!R173)))-'Advanced Entry'!R$6)/('Advanced Entry'!R$7-'Advanced Entry'!R$6)),1))),"No data"))</f>
        <v/>
      </c>
      <c r="S173" s="17">
        <f>IF('Advanced Entry'!S173="","",IFERROR(MAX(0,MIN(10,ROUND(IF('Advanced Entry'!S$8="Decrease Risk",10-10*((IF('Advanced Entry'!S$5="Logarithm",LN(0.001+'Advanced Entry'!S173),IF('Advanced Entry'!S$5="Exponential",EXP('Advanced Entry'!S173),'Advanced Entry'!S173)))-'Advanced Entry'!S$6)/('Advanced Entry'!S$7-'Advanced Entry'!S$6),10*((IF('Advanced Entry'!S$5="Logarithm",LN(0.001+'Advanced Entry'!S173),IF('Advanced Entry'!S$5="Exponential",EXP('Advanced Entry'!S173),'Advanced Entry'!S173)))-'Advanced Entry'!S$6)/('Advanced Entry'!S$7-'Advanced Entry'!S$6)),1))),"No data"))</f>
        <v/>
      </c>
      <c r="T173" s="17">
        <f>IF('Advanced Entry'!T173="","",IFERROR(MAX(0,MIN(10,ROUND(IF('Advanced Entry'!T$8="Decrease Risk",10-10*((IF('Advanced Entry'!T$5="Logarithm",LN(0.001+'Advanced Entry'!T173),IF('Advanced Entry'!T$5="Exponential",EXP('Advanced Entry'!T173),'Advanced Entry'!T173)))-'Advanced Entry'!T$6)/('Advanced Entry'!T$7-'Advanced Entry'!T$6),10*((IF('Advanced Entry'!T$5="Logarithm",LN(0.001+'Advanced Entry'!T173),IF('Advanced Entry'!T$5="Exponential",EXP('Advanced Entry'!T173),'Advanced Entry'!T173)))-'Advanced Entry'!T$6)/('Advanced Entry'!T$7-'Advanced Entry'!T$6)),1))),"No data"))</f>
        <v/>
      </c>
      <c r="U173" s="17">
        <f>IF('Advanced Entry'!U173="","",IFERROR(MAX(0,MIN(10,ROUND(IF('Advanced Entry'!U$8="Decrease Risk",10-10*((IF('Advanced Entry'!U$5="Logarithm",LN(0.001+'Advanced Entry'!U173),IF('Advanced Entry'!U$5="Exponential",EXP('Advanced Entry'!U173),'Advanced Entry'!U173)))-'Advanced Entry'!U$6)/('Advanced Entry'!U$7-'Advanced Entry'!U$6),10*((IF('Advanced Entry'!U$5="Logarithm",LN(0.001+'Advanced Entry'!U173),IF('Advanced Entry'!U$5="Exponential",EXP('Advanced Entry'!U173),'Advanced Entry'!U173)))-'Advanced Entry'!U$6)/('Advanced Entry'!U$7-'Advanced Entry'!U$6)),1))),"No data"))</f>
        <v/>
      </c>
      <c r="V173" s="17">
        <f>IF('Advanced Entry'!V173="","",IFERROR(MAX(0,MIN(10,ROUND(IF('Advanced Entry'!V$8="Decrease Risk",10-10*((IF('Advanced Entry'!V$5="Logarithm",LN(0.001+'Advanced Entry'!V173),IF('Advanced Entry'!V$5="Exponential",EXP('Advanced Entry'!V173),'Advanced Entry'!V173)))-'Advanced Entry'!V$6)/('Advanced Entry'!V$7-'Advanced Entry'!V$6),10*((IF('Advanced Entry'!V$5="Logarithm",LN(0.001+'Advanced Entry'!V173),IF('Advanced Entry'!V$5="Exponential",EXP('Advanced Entry'!V173),'Advanced Entry'!V173)))-'Advanced Entry'!V$6)/('Advanced Entry'!V$7-'Advanced Entry'!V$6)),1))),"No data"))</f>
        <v/>
      </c>
      <c r="W173" s="17">
        <f>IF('Advanced Entry'!W173="","",IFERROR(MAX(0,MIN(10,ROUND(IF('Advanced Entry'!W$8="Decrease Risk",10-10*((IF('Advanced Entry'!W$5="Logarithm",LN(0.001+'Advanced Entry'!W173),IF('Advanced Entry'!W$5="Exponential",EXP('Advanced Entry'!W173),'Advanced Entry'!W173)))-'Advanced Entry'!W$6)/('Advanced Entry'!W$7-'Advanced Entry'!W$6),10*((IF('Advanced Entry'!W$5="Logarithm",LN(0.001+'Advanced Entry'!W173),IF('Advanced Entry'!W$5="Exponential",EXP('Advanced Entry'!W173),'Advanced Entry'!W173)))-'Advanced Entry'!W$6)/('Advanced Entry'!W$7-'Advanced Entry'!W$6)),1))),"No data"))</f>
        <v/>
      </c>
      <c r="X173" s="17">
        <f>IF('Advanced Entry'!X173="","",IFERROR(MAX(0,MIN(10,ROUND(IF('Advanced Entry'!X$8="Decrease Risk",10-10*((IF('Advanced Entry'!X$5="Logarithm",LN(0.001+'Advanced Entry'!X173),IF('Advanced Entry'!X$5="Exponential",EXP('Advanced Entry'!X173),'Advanced Entry'!X173)))-'Advanced Entry'!X$6)/('Advanced Entry'!X$7-'Advanced Entry'!X$6),10*((IF('Advanced Entry'!X$5="Logarithm",LN(0.001+'Advanced Entry'!X173),IF('Advanced Entry'!X$5="Exponential",EXP('Advanced Entry'!X173),'Advanced Entry'!X173)))-'Advanced Entry'!X$6)/('Advanced Entry'!X$7-'Advanced Entry'!X$6)),1))),"No data"))</f>
        <v/>
      </c>
      <c r="Y173" s="17">
        <f>IF('Advanced Entry'!Y173="","",IFERROR(MAX(0,MIN(10,ROUND(IF('Advanced Entry'!Y$8="Decrease Risk",10-10*((IF('Advanced Entry'!Y$5="Logarithm",LN(0.001+'Advanced Entry'!Y173),IF('Advanced Entry'!Y$5="Exponential",EXP('Advanced Entry'!Y173),'Advanced Entry'!Y173)))-'Advanced Entry'!Y$6)/('Advanced Entry'!Y$7-'Advanced Entry'!Y$6),10*((IF('Advanced Entry'!Y$5="Logarithm",LN(0.001+'Advanced Entry'!Y173),IF('Advanced Entry'!Y$5="Exponential",EXP('Advanced Entry'!Y173),'Advanced Entry'!Y173)))-'Advanced Entry'!Y$6)/('Advanced Entry'!Y$7-'Advanced Entry'!Y$6)),1))),"No data"))</f>
        <v/>
      </c>
      <c r="Z173" s="17">
        <f>IF('Advanced Entry'!Z173="","",IFERROR(MAX(0,MIN(10,ROUND(IF('Advanced Entry'!Z$8="Decrease Risk",10-10*((IF('Advanced Entry'!Z$5="Logarithm",LN(0.001+'Advanced Entry'!Z173),IF('Advanced Entry'!Z$5="Exponential",EXP('Advanced Entry'!Z173),'Advanced Entry'!Z173)))-'Advanced Entry'!Z$6)/('Advanced Entry'!Z$7-'Advanced Entry'!Z$6),10*((IF('Advanced Entry'!Z$5="Logarithm",LN(0.001+'Advanced Entry'!Z173),IF('Advanced Entry'!Z$5="Exponential",EXP('Advanced Entry'!Z173),'Advanced Entry'!Z173)))-'Advanced Entry'!Z$6)/('Advanced Entry'!Z$7-'Advanced Entry'!Z$6)),1))),"No data"))</f>
        <v/>
      </c>
      <c r="AA173" s="17">
        <f>IF('Advanced Entry'!AA173="","",IFERROR(MAX(0,MIN(10,ROUND(IF('Advanced Entry'!AA$8="Decrease Risk",10-10*((IF('Advanced Entry'!AA$5="Logarithm",LN(0.001+'Advanced Entry'!AA173),IF('Advanced Entry'!AA$5="Exponential",EXP('Advanced Entry'!AA173),'Advanced Entry'!AA173)))-'Advanced Entry'!AA$6)/('Advanced Entry'!AA$7-'Advanced Entry'!AA$6),10*((IF('Advanced Entry'!AA$5="Logarithm",LN(0.001+'Advanced Entry'!AA173),IF('Advanced Entry'!AA$5="Exponential",EXP('Advanced Entry'!AA173),'Advanced Entry'!AA173)))-'Advanced Entry'!AA$6)/('Advanced Entry'!AA$7-'Advanced Entry'!AA$6)),1))),"No data"))</f>
        <v/>
      </c>
      <c r="AB173" s="17">
        <f>IF('Advanced Entry'!AB173="","",IFERROR(MAX(0,MIN(10,ROUND(IF('Advanced Entry'!AB$8="Decrease Risk",10-10*((IF('Advanced Entry'!AB$5="Logarithm",LN(0.001+'Advanced Entry'!AB173),IF('Advanced Entry'!AB$5="Exponential",EXP('Advanced Entry'!AB173),'Advanced Entry'!AB173)))-'Advanced Entry'!AB$6)/('Advanced Entry'!AB$7-'Advanced Entry'!AB$6),10*((IF('Advanced Entry'!AB$5="Logarithm",LN(0.001+'Advanced Entry'!AB173),IF('Advanced Entry'!AB$5="Exponential",EXP('Advanced Entry'!AB173),'Advanced Entry'!AB173)))-'Advanced Entry'!AB$6)/('Advanced Entry'!AB$7-'Advanced Entry'!AB$6)),1))),"No data"))</f>
        <v/>
      </c>
    </row>
    <row r="174">
      <c r="A174" t="inlineStr">
        <is>
          <t>Simiyu</t>
        </is>
      </c>
      <c r="B174" t="inlineStr">
        <is>
          <t>Meatu District</t>
        </is>
      </c>
      <c r="C174" t="inlineStr">
        <is>
          <t>C171</t>
        </is>
      </c>
      <c r="D174" s="17">
        <f>IF('Advanced Entry'!D174="","",IFERROR(MAX(0,MIN(10,ROUND(IF('Advanced Entry'!D$8="Decrease Risk",10-10*((IF('Advanced Entry'!D$5="Logarithm",LN(0.001+'Advanced Entry'!D174),IF('Advanced Entry'!D$5="Exponential",EXP('Advanced Entry'!D174),'Advanced Entry'!D174)))-'Advanced Entry'!D$6)/('Advanced Entry'!D$7-'Advanced Entry'!D$6),10*((IF('Advanced Entry'!D$5="Logarithm",LN(0.001+'Advanced Entry'!D174),IF('Advanced Entry'!D$5="Exponential",EXP('Advanced Entry'!D174),'Advanced Entry'!D174)))-'Advanced Entry'!D$6)/('Advanced Entry'!D$7-'Advanced Entry'!D$6)),1))),"No data"))</f>
        <v/>
      </c>
      <c r="E174" s="17">
        <f>IF('Advanced Entry'!E174="","",IFERROR(MAX(0,MIN(10,ROUND(IF('Advanced Entry'!E$8="Decrease Risk",10-10*((IF('Advanced Entry'!E$5="Logarithm",LN(0.001+'Advanced Entry'!E174),IF('Advanced Entry'!E$5="Exponential",EXP('Advanced Entry'!E174),'Advanced Entry'!E174)))-'Advanced Entry'!E$6)/('Advanced Entry'!E$7-'Advanced Entry'!E$6),10*((IF('Advanced Entry'!E$5="Logarithm",LN(0.001+'Advanced Entry'!E174),IF('Advanced Entry'!E$5="Exponential",EXP('Advanced Entry'!E174),'Advanced Entry'!E174)))-'Advanced Entry'!E$6)/('Advanced Entry'!E$7-'Advanced Entry'!E$6)),1))),"No data"))</f>
        <v/>
      </c>
      <c r="F174" s="17">
        <f>IF('Advanced Entry'!F174="","",IFERROR(MAX(0,MIN(10,ROUND(IF('Advanced Entry'!F$8="Decrease Risk",10-10*((IF('Advanced Entry'!F$5="Logarithm",LN(0.001+'Advanced Entry'!F174),IF('Advanced Entry'!F$5="Exponential",EXP('Advanced Entry'!F174),'Advanced Entry'!F174)))-'Advanced Entry'!F$6)/('Advanced Entry'!F$7-'Advanced Entry'!F$6),10*((IF('Advanced Entry'!F$5="Logarithm",LN(0.001+'Advanced Entry'!F174),IF('Advanced Entry'!F$5="Exponential",EXP('Advanced Entry'!F174),'Advanced Entry'!F174)))-'Advanced Entry'!F$6)/('Advanced Entry'!F$7-'Advanced Entry'!F$6)),1))),"No data"))</f>
        <v/>
      </c>
      <c r="G174" s="17">
        <f>IF('Advanced Entry'!G174="","",IFERROR(MAX(0,MIN(10,ROUND(IF('Advanced Entry'!G$8="Decrease Risk",10-10*((IF('Advanced Entry'!G$5="Logarithm",LN(0.001+'Advanced Entry'!G174),IF('Advanced Entry'!G$5="Exponential",EXP('Advanced Entry'!G174),'Advanced Entry'!G174)))-'Advanced Entry'!G$6)/('Advanced Entry'!G$7-'Advanced Entry'!G$6),10*((IF('Advanced Entry'!G$5="Logarithm",LN(0.001+'Advanced Entry'!G174),IF('Advanced Entry'!G$5="Exponential",EXP('Advanced Entry'!G174),'Advanced Entry'!G174)))-'Advanced Entry'!G$6)/('Advanced Entry'!G$7-'Advanced Entry'!G$6)),1))),"No data"))</f>
        <v/>
      </c>
      <c r="H174" s="17">
        <f>IF('Advanced Entry'!H174="","",IFERROR(MAX(0,MIN(10,ROUND(IF('Advanced Entry'!H$8="Decrease Risk",10-10*((IF('Advanced Entry'!H$5="Logarithm",LN(0.001+'Advanced Entry'!H174),IF('Advanced Entry'!H$5="Exponential",EXP('Advanced Entry'!H174),'Advanced Entry'!H174)))-'Advanced Entry'!H$6)/('Advanced Entry'!H$7-'Advanced Entry'!H$6),10*((IF('Advanced Entry'!H$5="Logarithm",LN(0.001+'Advanced Entry'!H174),IF('Advanced Entry'!H$5="Exponential",EXP('Advanced Entry'!H174),'Advanced Entry'!H174)))-'Advanced Entry'!H$6)/('Advanced Entry'!H$7-'Advanced Entry'!H$6)),1))),"No data"))</f>
        <v/>
      </c>
      <c r="I174" s="17">
        <f>IF('Advanced Entry'!I174="","",IFERROR(MAX(0,MIN(10,ROUND(IF('Advanced Entry'!I$8="Decrease Risk",10-10*((IF('Advanced Entry'!I$5="Logarithm",LN(0.001+'Advanced Entry'!I174),IF('Advanced Entry'!I$5="Exponential",EXP('Advanced Entry'!I174),'Advanced Entry'!I174)))-'Advanced Entry'!I$6)/('Advanced Entry'!I$7-'Advanced Entry'!I$6),10*((IF('Advanced Entry'!I$5="Logarithm",LN(0.001+'Advanced Entry'!I174),IF('Advanced Entry'!I$5="Exponential",EXP('Advanced Entry'!I174),'Advanced Entry'!I174)))-'Advanced Entry'!I$6)/('Advanced Entry'!I$7-'Advanced Entry'!I$6)),1))),"No data"))</f>
        <v/>
      </c>
      <c r="J174" s="17">
        <f>IF('Advanced Entry'!J174="","",IFERROR(MAX(0,MIN(10,ROUND(IF('Advanced Entry'!J$8="Decrease Risk",10-10*((IF('Advanced Entry'!J$5="Logarithm",LN(0.001+'Advanced Entry'!J174),IF('Advanced Entry'!J$5="Exponential",EXP('Advanced Entry'!J174),'Advanced Entry'!J174)))-'Advanced Entry'!J$6)/('Advanced Entry'!J$7-'Advanced Entry'!J$6),10*((IF('Advanced Entry'!J$5="Logarithm",LN(0.001+'Advanced Entry'!J174),IF('Advanced Entry'!J$5="Exponential",EXP('Advanced Entry'!J174),'Advanced Entry'!J174)))-'Advanced Entry'!J$6)/('Advanced Entry'!J$7-'Advanced Entry'!J$6)),1))),"No data"))</f>
        <v/>
      </c>
      <c r="K174" s="17">
        <f>IF('Advanced Entry'!K174="","",IFERROR(MAX(0,MIN(10,ROUND(IF('Advanced Entry'!K$8="Decrease Risk",10-10*((IF('Advanced Entry'!K$5="Logarithm",LN(0.001+'Advanced Entry'!K174),IF('Advanced Entry'!K$5="Exponential",EXP('Advanced Entry'!K174),'Advanced Entry'!K174)))-'Advanced Entry'!K$6)/('Advanced Entry'!K$7-'Advanced Entry'!K$6),10*((IF('Advanced Entry'!K$5="Logarithm",LN(0.001+'Advanced Entry'!K174),IF('Advanced Entry'!K$5="Exponential",EXP('Advanced Entry'!K174),'Advanced Entry'!K174)))-'Advanced Entry'!K$6)/('Advanced Entry'!K$7-'Advanced Entry'!K$6)),1))),"No data"))</f>
        <v/>
      </c>
      <c r="L174" s="17">
        <f>IF('Advanced Entry'!L174="","",IFERROR(MAX(0,MIN(10,ROUND(IF('Advanced Entry'!L$8="Decrease Risk",10-10*((IF('Advanced Entry'!L$5="Logarithm",LN(0.001+'Advanced Entry'!L174),IF('Advanced Entry'!L$5="Exponential",EXP('Advanced Entry'!L174),'Advanced Entry'!L174)))-'Advanced Entry'!L$6)/('Advanced Entry'!L$7-'Advanced Entry'!L$6),10*((IF('Advanced Entry'!L$5="Logarithm",LN(0.001+'Advanced Entry'!L174),IF('Advanced Entry'!L$5="Exponential",EXP('Advanced Entry'!L174),'Advanced Entry'!L174)))-'Advanced Entry'!L$6)/('Advanced Entry'!L$7-'Advanced Entry'!L$6)),1))),"No data"))</f>
        <v/>
      </c>
      <c r="M174" s="17">
        <f>IF('Advanced Entry'!M174="","",IFERROR(MAX(0,MIN(10,ROUND(IF('Advanced Entry'!M$8="Decrease Risk",10-10*((IF('Advanced Entry'!M$5="Logarithm",LN(0.001+'Advanced Entry'!M174),IF('Advanced Entry'!M$5="Exponential",EXP('Advanced Entry'!M174),'Advanced Entry'!M174)))-'Advanced Entry'!M$6)/('Advanced Entry'!M$7-'Advanced Entry'!M$6),10*((IF('Advanced Entry'!M$5="Logarithm",LN(0.001+'Advanced Entry'!M174),IF('Advanced Entry'!M$5="Exponential",EXP('Advanced Entry'!M174),'Advanced Entry'!M174)))-'Advanced Entry'!M$6)/('Advanced Entry'!M$7-'Advanced Entry'!M$6)),1))),"No data"))</f>
        <v/>
      </c>
      <c r="N174" s="17">
        <f>IF('Advanced Entry'!N174="","",IFERROR(MAX(0,MIN(10,ROUND(IF('Advanced Entry'!N$8="Decrease Risk",10-10*((IF('Advanced Entry'!N$5="Logarithm",LN(0.001+'Advanced Entry'!N174),IF('Advanced Entry'!N$5="Exponential",EXP('Advanced Entry'!N174),'Advanced Entry'!N174)))-'Advanced Entry'!N$6)/('Advanced Entry'!N$7-'Advanced Entry'!N$6),10*((IF('Advanced Entry'!N$5="Logarithm",LN(0.001+'Advanced Entry'!N174),IF('Advanced Entry'!N$5="Exponential",EXP('Advanced Entry'!N174),'Advanced Entry'!N174)))-'Advanced Entry'!N$6)/('Advanced Entry'!N$7-'Advanced Entry'!N$6)),1))),"No data"))</f>
        <v/>
      </c>
      <c r="O174" s="17">
        <f>IF('Advanced Entry'!O174="","",IFERROR(MAX(0,MIN(10,ROUND(IF('Advanced Entry'!O$8="Decrease Risk",10-10*((IF('Advanced Entry'!O$5="Logarithm",LN(0.001+'Advanced Entry'!O174),IF('Advanced Entry'!O$5="Exponential",EXP('Advanced Entry'!O174),'Advanced Entry'!O174)))-'Advanced Entry'!O$6)/('Advanced Entry'!O$7-'Advanced Entry'!O$6),10*((IF('Advanced Entry'!O$5="Logarithm",LN(0.001+'Advanced Entry'!O174),IF('Advanced Entry'!O$5="Exponential",EXP('Advanced Entry'!O174),'Advanced Entry'!O174)))-'Advanced Entry'!O$6)/('Advanced Entry'!O$7-'Advanced Entry'!O$6)),1))),"No data"))</f>
        <v/>
      </c>
      <c r="P174" s="17">
        <f>IF('Advanced Entry'!P174="","",IFERROR(MAX(0,MIN(10,ROUND(IF('Advanced Entry'!P$8="Decrease Risk",10-10*((IF('Advanced Entry'!P$5="Logarithm",LN(0.001+'Advanced Entry'!P174),IF('Advanced Entry'!P$5="Exponential",EXP('Advanced Entry'!P174),'Advanced Entry'!P174)))-'Advanced Entry'!P$6)/('Advanced Entry'!P$7-'Advanced Entry'!P$6),10*((IF('Advanced Entry'!P$5="Logarithm",LN(0.001+'Advanced Entry'!P174),IF('Advanced Entry'!P$5="Exponential",EXP('Advanced Entry'!P174),'Advanced Entry'!P174)))-'Advanced Entry'!P$6)/('Advanced Entry'!P$7-'Advanced Entry'!P$6)),1))),"No data"))</f>
        <v/>
      </c>
      <c r="Q174" s="17">
        <f>IF('Advanced Entry'!Q174="","",IFERROR(MAX(0,MIN(10,ROUND(IF('Advanced Entry'!Q$8="Decrease Risk",10-10*((IF('Advanced Entry'!Q$5="Logarithm",LN(0.001+'Advanced Entry'!Q174),IF('Advanced Entry'!Q$5="Exponential",EXP('Advanced Entry'!Q174),'Advanced Entry'!Q174)))-'Advanced Entry'!Q$6)/('Advanced Entry'!Q$7-'Advanced Entry'!Q$6),10*((IF('Advanced Entry'!Q$5="Logarithm",LN(0.001+'Advanced Entry'!Q174),IF('Advanced Entry'!Q$5="Exponential",EXP('Advanced Entry'!Q174),'Advanced Entry'!Q174)))-'Advanced Entry'!Q$6)/('Advanced Entry'!Q$7-'Advanced Entry'!Q$6)),1))),"No data"))</f>
        <v/>
      </c>
      <c r="R174" s="17">
        <f>IF('Advanced Entry'!R174="","",IFERROR(MAX(0,MIN(10,ROUND(IF('Advanced Entry'!R$8="Decrease Risk",10-10*((IF('Advanced Entry'!R$5="Logarithm",LN(0.001+'Advanced Entry'!R174),IF('Advanced Entry'!R$5="Exponential",EXP('Advanced Entry'!R174),'Advanced Entry'!R174)))-'Advanced Entry'!R$6)/('Advanced Entry'!R$7-'Advanced Entry'!R$6),10*((IF('Advanced Entry'!R$5="Logarithm",LN(0.001+'Advanced Entry'!R174),IF('Advanced Entry'!R$5="Exponential",EXP('Advanced Entry'!R174),'Advanced Entry'!R174)))-'Advanced Entry'!R$6)/('Advanced Entry'!R$7-'Advanced Entry'!R$6)),1))),"No data"))</f>
        <v/>
      </c>
      <c r="S174" s="17">
        <f>IF('Advanced Entry'!S174="","",IFERROR(MAX(0,MIN(10,ROUND(IF('Advanced Entry'!S$8="Decrease Risk",10-10*((IF('Advanced Entry'!S$5="Logarithm",LN(0.001+'Advanced Entry'!S174),IF('Advanced Entry'!S$5="Exponential",EXP('Advanced Entry'!S174),'Advanced Entry'!S174)))-'Advanced Entry'!S$6)/('Advanced Entry'!S$7-'Advanced Entry'!S$6),10*((IF('Advanced Entry'!S$5="Logarithm",LN(0.001+'Advanced Entry'!S174),IF('Advanced Entry'!S$5="Exponential",EXP('Advanced Entry'!S174),'Advanced Entry'!S174)))-'Advanced Entry'!S$6)/('Advanced Entry'!S$7-'Advanced Entry'!S$6)),1))),"No data"))</f>
        <v/>
      </c>
      <c r="T174" s="17">
        <f>IF('Advanced Entry'!T174="","",IFERROR(MAX(0,MIN(10,ROUND(IF('Advanced Entry'!T$8="Decrease Risk",10-10*((IF('Advanced Entry'!T$5="Logarithm",LN(0.001+'Advanced Entry'!T174),IF('Advanced Entry'!T$5="Exponential",EXP('Advanced Entry'!T174),'Advanced Entry'!T174)))-'Advanced Entry'!T$6)/('Advanced Entry'!T$7-'Advanced Entry'!T$6),10*((IF('Advanced Entry'!T$5="Logarithm",LN(0.001+'Advanced Entry'!T174),IF('Advanced Entry'!T$5="Exponential",EXP('Advanced Entry'!T174),'Advanced Entry'!T174)))-'Advanced Entry'!T$6)/('Advanced Entry'!T$7-'Advanced Entry'!T$6)),1))),"No data"))</f>
        <v/>
      </c>
      <c r="U174" s="17">
        <f>IF('Advanced Entry'!U174="","",IFERROR(MAX(0,MIN(10,ROUND(IF('Advanced Entry'!U$8="Decrease Risk",10-10*((IF('Advanced Entry'!U$5="Logarithm",LN(0.001+'Advanced Entry'!U174),IF('Advanced Entry'!U$5="Exponential",EXP('Advanced Entry'!U174),'Advanced Entry'!U174)))-'Advanced Entry'!U$6)/('Advanced Entry'!U$7-'Advanced Entry'!U$6),10*((IF('Advanced Entry'!U$5="Logarithm",LN(0.001+'Advanced Entry'!U174),IF('Advanced Entry'!U$5="Exponential",EXP('Advanced Entry'!U174),'Advanced Entry'!U174)))-'Advanced Entry'!U$6)/('Advanced Entry'!U$7-'Advanced Entry'!U$6)),1))),"No data"))</f>
        <v/>
      </c>
      <c r="V174" s="17">
        <f>IF('Advanced Entry'!V174="","",IFERROR(MAX(0,MIN(10,ROUND(IF('Advanced Entry'!V$8="Decrease Risk",10-10*((IF('Advanced Entry'!V$5="Logarithm",LN(0.001+'Advanced Entry'!V174),IF('Advanced Entry'!V$5="Exponential",EXP('Advanced Entry'!V174),'Advanced Entry'!V174)))-'Advanced Entry'!V$6)/('Advanced Entry'!V$7-'Advanced Entry'!V$6),10*((IF('Advanced Entry'!V$5="Logarithm",LN(0.001+'Advanced Entry'!V174),IF('Advanced Entry'!V$5="Exponential",EXP('Advanced Entry'!V174),'Advanced Entry'!V174)))-'Advanced Entry'!V$6)/('Advanced Entry'!V$7-'Advanced Entry'!V$6)),1))),"No data"))</f>
        <v/>
      </c>
      <c r="W174" s="17">
        <f>IF('Advanced Entry'!W174="","",IFERROR(MAX(0,MIN(10,ROUND(IF('Advanced Entry'!W$8="Decrease Risk",10-10*((IF('Advanced Entry'!W$5="Logarithm",LN(0.001+'Advanced Entry'!W174),IF('Advanced Entry'!W$5="Exponential",EXP('Advanced Entry'!W174),'Advanced Entry'!W174)))-'Advanced Entry'!W$6)/('Advanced Entry'!W$7-'Advanced Entry'!W$6),10*((IF('Advanced Entry'!W$5="Logarithm",LN(0.001+'Advanced Entry'!W174),IF('Advanced Entry'!W$5="Exponential",EXP('Advanced Entry'!W174),'Advanced Entry'!W174)))-'Advanced Entry'!W$6)/('Advanced Entry'!W$7-'Advanced Entry'!W$6)),1))),"No data"))</f>
        <v/>
      </c>
      <c r="X174" s="17">
        <f>IF('Advanced Entry'!X174="","",IFERROR(MAX(0,MIN(10,ROUND(IF('Advanced Entry'!X$8="Decrease Risk",10-10*((IF('Advanced Entry'!X$5="Logarithm",LN(0.001+'Advanced Entry'!X174),IF('Advanced Entry'!X$5="Exponential",EXP('Advanced Entry'!X174),'Advanced Entry'!X174)))-'Advanced Entry'!X$6)/('Advanced Entry'!X$7-'Advanced Entry'!X$6),10*((IF('Advanced Entry'!X$5="Logarithm",LN(0.001+'Advanced Entry'!X174),IF('Advanced Entry'!X$5="Exponential",EXP('Advanced Entry'!X174),'Advanced Entry'!X174)))-'Advanced Entry'!X$6)/('Advanced Entry'!X$7-'Advanced Entry'!X$6)),1))),"No data"))</f>
        <v/>
      </c>
      <c r="Y174" s="17">
        <f>IF('Advanced Entry'!Y174="","",IFERROR(MAX(0,MIN(10,ROUND(IF('Advanced Entry'!Y$8="Decrease Risk",10-10*((IF('Advanced Entry'!Y$5="Logarithm",LN(0.001+'Advanced Entry'!Y174),IF('Advanced Entry'!Y$5="Exponential",EXP('Advanced Entry'!Y174),'Advanced Entry'!Y174)))-'Advanced Entry'!Y$6)/('Advanced Entry'!Y$7-'Advanced Entry'!Y$6),10*((IF('Advanced Entry'!Y$5="Logarithm",LN(0.001+'Advanced Entry'!Y174),IF('Advanced Entry'!Y$5="Exponential",EXP('Advanced Entry'!Y174),'Advanced Entry'!Y174)))-'Advanced Entry'!Y$6)/('Advanced Entry'!Y$7-'Advanced Entry'!Y$6)),1))),"No data"))</f>
        <v/>
      </c>
      <c r="Z174" s="17">
        <f>IF('Advanced Entry'!Z174="","",IFERROR(MAX(0,MIN(10,ROUND(IF('Advanced Entry'!Z$8="Decrease Risk",10-10*((IF('Advanced Entry'!Z$5="Logarithm",LN(0.001+'Advanced Entry'!Z174),IF('Advanced Entry'!Z$5="Exponential",EXP('Advanced Entry'!Z174),'Advanced Entry'!Z174)))-'Advanced Entry'!Z$6)/('Advanced Entry'!Z$7-'Advanced Entry'!Z$6),10*((IF('Advanced Entry'!Z$5="Logarithm",LN(0.001+'Advanced Entry'!Z174),IF('Advanced Entry'!Z$5="Exponential",EXP('Advanced Entry'!Z174),'Advanced Entry'!Z174)))-'Advanced Entry'!Z$6)/('Advanced Entry'!Z$7-'Advanced Entry'!Z$6)),1))),"No data"))</f>
        <v/>
      </c>
      <c r="AA174" s="17">
        <f>IF('Advanced Entry'!AA174="","",IFERROR(MAX(0,MIN(10,ROUND(IF('Advanced Entry'!AA$8="Decrease Risk",10-10*((IF('Advanced Entry'!AA$5="Logarithm",LN(0.001+'Advanced Entry'!AA174),IF('Advanced Entry'!AA$5="Exponential",EXP('Advanced Entry'!AA174),'Advanced Entry'!AA174)))-'Advanced Entry'!AA$6)/('Advanced Entry'!AA$7-'Advanced Entry'!AA$6),10*((IF('Advanced Entry'!AA$5="Logarithm",LN(0.001+'Advanced Entry'!AA174),IF('Advanced Entry'!AA$5="Exponential",EXP('Advanced Entry'!AA174),'Advanced Entry'!AA174)))-'Advanced Entry'!AA$6)/('Advanced Entry'!AA$7-'Advanced Entry'!AA$6)),1))),"No data"))</f>
        <v/>
      </c>
      <c r="AB174" s="17">
        <f>IF('Advanced Entry'!AB174="","",IFERROR(MAX(0,MIN(10,ROUND(IF('Advanced Entry'!AB$8="Decrease Risk",10-10*((IF('Advanced Entry'!AB$5="Logarithm",LN(0.001+'Advanced Entry'!AB174),IF('Advanced Entry'!AB$5="Exponential",EXP('Advanced Entry'!AB174),'Advanced Entry'!AB174)))-'Advanced Entry'!AB$6)/('Advanced Entry'!AB$7-'Advanced Entry'!AB$6),10*((IF('Advanced Entry'!AB$5="Logarithm",LN(0.001+'Advanced Entry'!AB174),IF('Advanced Entry'!AB$5="Exponential",EXP('Advanced Entry'!AB174),'Advanced Entry'!AB174)))-'Advanced Entry'!AB$6)/('Advanced Entry'!AB$7-'Advanced Entry'!AB$6)),1))),"No data"))</f>
        <v/>
      </c>
    </row>
    <row r="175">
      <c r="A175" t="inlineStr">
        <is>
          <t>Singida</t>
        </is>
      </c>
      <c r="B175" t="inlineStr">
        <is>
          <t>Ikungi District</t>
        </is>
      </c>
      <c r="C175" t="inlineStr">
        <is>
          <t>C097</t>
        </is>
      </c>
      <c r="D175" s="17">
        <f>IF('Advanced Entry'!D175="","",IFERROR(MAX(0,MIN(10,ROUND(IF('Advanced Entry'!D$8="Decrease Risk",10-10*((IF('Advanced Entry'!D$5="Logarithm",LN(0.001+'Advanced Entry'!D175),IF('Advanced Entry'!D$5="Exponential",EXP('Advanced Entry'!D175),'Advanced Entry'!D175)))-'Advanced Entry'!D$6)/('Advanced Entry'!D$7-'Advanced Entry'!D$6),10*((IF('Advanced Entry'!D$5="Logarithm",LN(0.001+'Advanced Entry'!D175),IF('Advanced Entry'!D$5="Exponential",EXP('Advanced Entry'!D175),'Advanced Entry'!D175)))-'Advanced Entry'!D$6)/('Advanced Entry'!D$7-'Advanced Entry'!D$6)),1))),"No data"))</f>
        <v/>
      </c>
      <c r="E175" s="17">
        <f>IF('Advanced Entry'!E175="","",IFERROR(MAX(0,MIN(10,ROUND(IF('Advanced Entry'!E$8="Decrease Risk",10-10*((IF('Advanced Entry'!E$5="Logarithm",LN(0.001+'Advanced Entry'!E175),IF('Advanced Entry'!E$5="Exponential",EXP('Advanced Entry'!E175),'Advanced Entry'!E175)))-'Advanced Entry'!E$6)/('Advanced Entry'!E$7-'Advanced Entry'!E$6),10*((IF('Advanced Entry'!E$5="Logarithm",LN(0.001+'Advanced Entry'!E175),IF('Advanced Entry'!E$5="Exponential",EXP('Advanced Entry'!E175),'Advanced Entry'!E175)))-'Advanced Entry'!E$6)/('Advanced Entry'!E$7-'Advanced Entry'!E$6)),1))),"No data"))</f>
        <v/>
      </c>
      <c r="F175" s="17">
        <f>IF('Advanced Entry'!F175="","",IFERROR(MAX(0,MIN(10,ROUND(IF('Advanced Entry'!F$8="Decrease Risk",10-10*((IF('Advanced Entry'!F$5="Logarithm",LN(0.001+'Advanced Entry'!F175),IF('Advanced Entry'!F$5="Exponential",EXP('Advanced Entry'!F175),'Advanced Entry'!F175)))-'Advanced Entry'!F$6)/('Advanced Entry'!F$7-'Advanced Entry'!F$6),10*((IF('Advanced Entry'!F$5="Logarithm",LN(0.001+'Advanced Entry'!F175),IF('Advanced Entry'!F$5="Exponential",EXP('Advanced Entry'!F175),'Advanced Entry'!F175)))-'Advanced Entry'!F$6)/('Advanced Entry'!F$7-'Advanced Entry'!F$6)),1))),"No data"))</f>
        <v/>
      </c>
      <c r="G175" s="17">
        <f>IF('Advanced Entry'!G175="","",IFERROR(MAX(0,MIN(10,ROUND(IF('Advanced Entry'!G$8="Decrease Risk",10-10*((IF('Advanced Entry'!G$5="Logarithm",LN(0.001+'Advanced Entry'!G175),IF('Advanced Entry'!G$5="Exponential",EXP('Advanced Entry'!G175),'Advanced Entry'!G175)))-'Advanced Entry'!G$6)/('Advanced Entry'!G$7-'Advanced Entry'!G$6),10*((IF('Advanced Entry'!G$5="Logarithm",LN(0.001+'Advanced Entry'!G175),IF('Advanced Entry'!G$5="Exponential",EXP('Advanced Entry'!G175),'Advanced Entry'!G175)))-'Advanced Entry'!G$6)/('Advanced Entry'!G$7-'Advanced Entry'!G$6)),1))),"No data"))</f>
        <v/>
      </c>
      <c r="H175" s="17">
        <f>IF('Advanced Entry'!H175="","",IFERROR(MAX(0,MIN(10,ROUND(IF('Advanced Entry'!H$8="Decrease Risk",10-10*((IF('Advanced Entry'!H$5="Logarithm",LN(0.001+'Advanced Entry'!H175),IF('Advanced Entry'!H$5="Exponential",EXP('Advanced Entry'!H175),'Advanced Entry'!H175)))-'Advanced Entry'!H$6)/('Advanced Entry'!H$7-'Advanced Entry'!H$6),10*((IF('Advanced Entry'!H$5="Logarithm",LN(0.001+'Advanced Entry'!H175),IF('Advanced Entry'!H$5="Exponential",EXP('Advanced Entry'!H175),'Advanced Entry'!H175)))-'Advanced Entry'!H$6)/('Advanced Entry'!H$7-'Advanced Entry'!H$6)),1))),"No data"))</f>
        <v/>
      </c>
      <c r="I175" s="17">
        <f>IF('Advanced Entry'!I175="","",IFERROR(MAX(0,MIN(10,ROUND(IF('Advanced Entry'!I$8="Decrease Risk",10-10*((IF('Advanced Entry'!I$5="Logarithm",LN(0.001+'Advanced Entry'!I175),IF('Advanced Entry'!I$5="Exponential",EXP('Advanced Entry'!I175),'Advanced Entry'!I175)))-'Advanced Entry'!I$6)/('Advanced Entry'!I$7-'Advanced Entry'!I$6),10*((IF('Advanced Entry'!I$5="Logarithm",LN(0.001+'Advanced Entry'!I175),IF('Advanced Entry'!I$5="Exponential",EXP('Advanced Entry'!I175),'Advanced Entry'!I175)))-'Advanced Entry'!I$6)/('Advanced Entry'!I$7-'Advanced Entry'!I$6)),1))),"No data"))</f>
        <v/>
      </c>
      <c r="J175" s="17">
        <f>IF('Advanced Entry'!J175="","",IFERROR(MAX(0,MIN(10,ROUND(IF('Advanced Entry'!J$8="Decrease Risk",10-10*((IF('Advanced Entry'!J$5="Logarithm",LN(0.001+'Advanced Entry'!J175),IF('Advanced Entry'!J$5="Exponential",EXP('Advanced Entry'!J175),'Advanced Entry'!J175)))-'Advanced Entry'!J$6)/('Advanced Entry'!J$7-'Advanced Entry'!J$6),10*((IF('Advanced Entry'!J$5="Logarithm",LN(0.001+'Advanced Entry'!J175),IF('Advanced Entry'!J$5="Exponential",EXP('Advanced Entry'!J175),'Advanced Entry'!J175)))-'Advanced Entry'!J$6)/('Advanced Entry'!J$7-'Advanced Entry'!J$6)),1))),"No data"))</f>
        <v/>
      </c>
      <c r="K175" s="17">
        <f>IF('Advanced Entry'!K175="","",IFERROR(MAX(0,MIN(10,ROUND(IF('Advanced Entry'!K$8="Decrease Risk",10-10*((IF('Advanced Entry'!K$5="Logarithm",LN(0.001+'Advanced Entry'!K175),IF('Advanced Entry'!K$5="Exponential",EXP('Advanced Entry'!K175),'Advanced Entry'!K175)))-'Advanced Entry'!K$6)/('Advanced Entry'!K$7-'Advanced Entry'!K$6),10*((IF('Advanced Entry'!K$5="Logarithm",LN(0.001+'Advanced Entry'!K175),IF('Advanced Entry'!K$5="Exponential",EXP('Advanced Entry'!K175),'Advanced Entry'!K175)))-'Advanced Entry'!K$6)/('Advanced Entry'!K$7-'Advanced Entry'!K$6)),1))),"No data"))</f>
        <v/>
      </c>
      <c r="L175" s="17">
        <f>IF('Advanced Entry'!L175="","",IFERROR(MAX(0,MIN(10,ROUND(IF('Advanced Entry'!L$8="Decrease Risk",10-10*((IF('Advanced Entry'!L$5="Logarithm",LN(0.001+'Advanced Entry'!L175),IF('Advanced Entry'!L$5="Exponential",EXP('Advanced Entry'!L175),'Advanced Entry'!L175)))-'Advanced Entry'!L$6)/('Advanced Entry'!L$7-'Advanced Entry'!L$6),10*((IF('Advanced Entry'!L$5="Logarithm",LN(0.001+'Advanced Entry'!L175),IF('Advanced Entry'!L$5="Exponential",EXP('Advanced Entry'!L175),'Advanced Entry'!L175)))-'Advanced Entry'!L$6)/('Advanced Entry'!L$7-'Advanced Entry'!L$6)),1))),"No data"))</f>
        <v/>
      </c>
      <c r="M175" s="17">
        <f>IF('Advanced Entry'!M175="","",IFERROR(MAX(0,MIN(10,ROUND(IF('Advanced Entry'!M$8="Decrease Risk",10-10*((IF('Advanced Entry'!M$5="Logarithm",LN(0.001+'Advanced Entry'!M175),IF('Advanced Entry'!M$5="Exponential",EXP('Advanced Entry'!M175),'Advanced Entry'!M175)))-'Advanced Entry'!M$6)/('Advanced Entry'!M$7-'Advanced Entry'!M$6),10*((IF('Advanced Entry'!M$5="Logarithm",LN(0.001+'Advanced Entry'!M175),IF('Advanced Entry'!M$5="Exponential",EXP('Advanced Entry'!M175),'Advanced Entry'!M175)))-'Advanced Entry'!M$6)/('Advanced Entry'!M$7-'Advanced Entry'!M$6)),1))),"No data"))</f>
        <v/>
      </c>
      <c r="N175" s="17">
        <f>IF('Advanced Entry'!N175="","",IFERROR(MAX(0,MIN(10,ROUND(IF('Advanced Entry'!N$8="Decrease Risk",10-10*((IF('Advanced Entry'!N$5="Logarithm",LN(0.001+'Advanced Entry'!N175),IF('Advanced Entry'!N$5="Exponential",EXP('Advanced Entry'!N175),'Advanced Entry'!N175)))-'Advanced Entry'!N$6)/('Advanced Entry'!N$7-'Advanced Entry'!N$6),10*((IF('Advanced Entry'!N$5="Logarithm",LN(0.001+'Advanced Entry'!N175),IF('Advanced Entry'!N$5="Exponential",EXP('Advanced Entry'!N175),'Advanced Entry'!N175)))-'Advanced Entry'!N$6)/('Advanced Entry'!N$7-'Advanced Entry'!N$6)),1))),"No data"))</f>
        <v/>
      </c>
      <c r="O175" s="17">
        <f>IF('Advanced Entry'!O175="","",IFERROR(MAX(0,MIN(10,ROUND(IF('Advanced Entry'!O$8="Decrease Risk",10-10*((IF('Advanced Entry'!O$5="Logarithm",LN(0.001+'Advanced Entry'!O175),IF('Advanced Entry'!O$5="Exponential",EXP('Advanced Entry'!O175),'Advanced Entry'!O175)))-'Advanced Entry'!O$6)/('Advanced Entry'!O$7-'Advanced Entry'!O$6),10*((IF('Advanced Entry'!O$5="Logarithm",LN(0.001+'Advanced Entry'!O175),IF('Advanced Entry'!O$5="Exponential",EXP('Advanced Entry'!O175),'Advanced Entry'!O175)))-'Advanced Entry'!O$6)/('Advanced Entry'!O$7-'Advanced Entry'!O$6)),1))),"No data"))</f>
        <v/>
      </c>
      <c r="P175" s="17">
        <f>IF('Advanced Entry'!P175="","",IFERROR(MAX(0,MIN(10,ROUND(IF('Advanced Entry'!P$8="Decrease Risk",10-10*((IF('Advanced Entry'!P$5="Logarithm",LN(0.001+'Advanced Entry'!P175),IF('Advanced Entry'!P$5="Exponential",EXP('Advanced Entry'!P175),'Advanced Entry'!P175)))-'Advanced Entry'!P$6)/('Advanced Entry'!P$7-'Advanced Entry'!P$6),10*((IF('Advanced Entry'!P$5="Logarithm",LN(0.001+'Advanced Entry'!P175),IF('Advanced Entry'!P$5="Exponential",EXP('Advanced Entry'!P175),'Advanced Entry'!P175)))-'Advanced Entry'!P$6)/('Advanced Entry'!P$7-'Advanced Entry'!P$6)),1))),"No data"))</f>
        <v/>
      </c>
      <c r="Q175" s="17">
        <f>IF('Advanced Entry'!Q175="","",IFERROR(MAX(0,MIN(10,ROUND(IF('Advanced Entry'!Q$8="Decrease Risk",10-10*((IF('Advanced Entry'!Q$5="Logarithm",LN(0.001+'Advanced Entry'!Q175),IF('Advanced Entry'!Q$5="Exponential",EXP('Advanced Entry'!Q175),'Advanced Entry'!Q175)))-'Advanced Entry'!Q$6)/('Advanced Entry'!Q$7-'Advanced Entry'!Q$6),10*((IF('Advanced Entry'!Q$5="Logarithm",LN(0.001+'Advanced Entry'!Q175),IF('Advanced Entry'!Q$5="Exponential",EXP('Advanced Entry'!Q175),'Advanced Entry'!Q175)))-'Advanced Entry'!Q$6)/('Advanced Entry'!Q$7-'Advanced Entry'!Q$6)),1))),"No data"))</f>
        <v/>
      </c>
      <c r="R175" s="17">
        <f>IF('Advanced Entry'!R175="","",IFERROR(MAX(0,MIN(10,ROUND(IF('Advanced Entry'!R$8="Decrease Risk",10-10*((IF('Advanced Entry'!R$5="Logarithm",LN(0.001+'Advanced Entry'!R175),IF('Advanced Entry'!R$5="Exponential",EXP('Advanced Entry'!R175),'Advanced Entry'!R175)))-'Advanced Entry'!R$6)/('Advanced Entry'!R$7-'Advanced Entry'!R$6),10*((IF('Advanced Entry'!R$5="Logarithm",LN(0.001+'Advanced Entry'!R175),IF('Advanced Entry'!R$5="Exponential",EXP('Advanced Entry'!R175),'Advanced Entry'!R175)))-'Advanced Entry'!R$6)/('Advanced Entry'!R$7-'Advanced Entry'!R$6)),1))),"No data"))</f>
        <v/>
      </c>
      <c r="S175" s="17">
        <f>IF('Advanced Entry'!S175="","",IFERROR(MAX(0,MIN(10,ROUND(IF('Advanced Entry'!S$8="Decrease Risk",10-10*((IF('Advanced Entry'!S$5="Logarithm",LN(0.001+'Advanced Entry'!S175),IF('Advanced Entry'!S$5="Exponential",EXP('Advanced Entry'!S175),'Advanced Entry'!S175)))-'Advanced Entry'!S$6)/('Advanced Entry'!S$7-'Advanced Entry'!S$6),10*((IF('Advanced Entry'!S$5="Logarithm",LN(0.001+'Advanced Entry'!S175),IF('Advanced Entry'!S$5="Exponential",EXP('Advanced Entry'!S175),'Advanced Entry'!S175)))-'Advanced Entry'!S$6)/('Advanced Entry'!S$7-'Advanced Entry'!S$6)),1))),"No data"))</f>
        <v/>
      </c>
      <c r="T175" s="17">
        <f>IF('Advanced Entry'!T175="","",IFERROR(MAX(0,MIN(10,ROUND(IF('Advanced Entry'!T$8="Decrease Risk",10-10*((IF('Advanced Entry'!T$5="Logarithm",LN(0.001+'Advanced Entry'!T175),IF('Advanced Entry'!T$5="Exponential",EXP('Advanced Entry'!T175),'Advanced Entry'!T175)))-'Advanced Entry'!T$6)/('Advanced Entry'!T$7-'Advanced Entry'!T$6),10*((IF('Advanced Entry'!T$5="Logarithm",LN(0.001+'Advanced Entry'!T175),IF('Advanced Entry'!T$5="Exponential",EXP('Advanced Entry'!T175),'Advanced Entry'!T175)))-'Advanced Entry'!T$6)/('Advanced Entry'!T$7-'Advanced Entry'!T$6)),1))),"No data"))</f>
        <v/>
      </c>
      <c r="U175" s="17">
        <f>IF('Advanced Entry'!U175="","",IFERROR(MAX(0,MIN(10,ROUND(IF('Advanced Entry'!U$8="Decrease Risk",10-10*((IF('Advanced Entry'!U$5="Logarithm",LN(0.001+'Advanced Entry'!U175),IF('Advanced Entry'!U$5="Exponential",EXP('Advanced Entry'!U175),'Advanced Entry'!U175)))-'Advanced Entry'!U$6)/('Advanced Entry'!U$7-'Advanced Entry'!U$6),10*((IF('Advanced Entry'!U$5="Logarithm",LN(0.001+'Advanced Entry'!U175),IF('Advanced Entry'!U$5="Exponential",EXP('Advanced Entry'!U175),'Advanced Entry'!U175)))-'Advanced Entry'!U$6)/('Advanced Entry'!U$7-'Advanced Entry'!U$6)),1))),"No data"))</f>
        <v/>
      </c>
      <c r="V175" s="17">
        <f>IF('Advanced Entry'!V175="","",IFERROR(MAX(0,MIN(10,ROUND(IF('Advanced Entry'!V$8="Decrease Risk",10-10*((IF('Advanced Entry'!V$5="Logarithm",LN(0.001+'Advanced Entry'!V175),IF('Advanced Entry'!V$5="Exponential",EXP('Advanced Entry'!V175),'Advanced Entry'!V175)))-'Advanced Entry'!V$6)/('Advanced Entry'!V$7-'Advanced Entry'!V$6),10*((IF('Advanced Entry'!V$5="Logarithm",LN(0.001+'Advanced Entry'!V175),IF('Advanced Entry'!V$5="Exponential",EXP('Advanced Entry'!V175),'Advanced Entry'!V175)))-'Advanced Entry'!V$6)/('Advanced Entry'!V$7-'Advanced Entry'!V$6)),1))),"No data"))</f>
        <v/>
      </c>
      <c r="W175" s="17">
        <f>IF('Advanced Entry'!W175="","",IFERROR(MAX(0,MIN(10,ROUND(IF('Advanced Entry'!W$8="Decrease Risk",10-10*((IF('Advanced Entry'!W$5="Logarithm",LN(0.001+'Advanced Entry'!W175),IF('Advanced Entry'!W$5="Exponential",EXP('Advanced Entry'!W175),'Advanced Entry'!W175)))-'Advanced Entry'!W$6)/('Advanced Entry'!W$7-'Advanced Entry'!W$6),10*((IF('Advanced Entry'!W$5="Logarithm",LN(0.001+'Advanced Entry'!W175),IF('Advanced Entry'!W$5="Exponential",EXP('Advanced Entry'!W175),'Advanced Entry'!W175)))-'Advanced Entry'!W$6)/('Advanced Entry'!W$7-'Advanced Entry'!W$6)),1))),"No data"))</f>
        <v/>
      </c>
      <c r="X175" s="17">
        <f>IF('Advanced Entry'!X175="","",IFERROR(MAX(0,MIN(10,ROUND(IF('Advanced Entry'!X$8="Decrease Risk",10-10*((IF('Advanced Entry'!X$5="Logarithm",LN(0.001+'Advanced Entry'!X175),IF('Advanced Entry'!X$5="Exponential",EXP('Advanced Entry'!X175),'Advanced Entry'!X175)))-'Advanced Entry'!X$6)/('Advanced Entry'!X$7-'Advanced Entry'!X$6),10*((IF('Advanced Entry'!X$5="Logarithm",LN(0.001+'Advanced Entry'!X175),IF('Advanced Entry'!X$5="Exponential",EXP('Advanced Entry'!X175),'Advanced Entry'!X175)))-'Advanced Entry'!X$6)/('Advanced Entry'!X$7-'Advanced Entry'!X$6)),1))),"No data"))</f>
        <v/>
      </c>
      <c r="Y175" s="17">
        <f>IF('Advanced Entry'!Y175="","",IFERROR(MAX(0,MIN(10,ROUND(IF('Advanced Entry'!Y$8="Decrease Risk",10-10*((IF('Advanced Entry'!Y$5="Logarithm",LN(0.001+'Advanced Entry'!Y175),IF('Advanced Entry'!Y$5="Exponential",EXP('Advanced Entry'!Y175),'Advanced Entry'!Y175)))-'Advanced Entry'!Y$6)/('Advanced Entry'!Y$7-'Advanced Entry'!Y$6),10*((IF('Advanced Entry'!Y$5="Logarithm",LN(0.001+'Advanced Entry'!Y175),IF('Advanced Entry'!Y$5="Exponential",EXP('Advanced Entry'!Y175),'Advanced Entry'!Y175)))-'Advanced Entry'!Y$6)/('Advanced Entry'!Y$7-'Advanced Entry'!Y$6)),1))),"No data"))</f>
        <v/>
      </c>
      <c r="Z175" s="17">
        <f>IF('Advanced Entry'!Z175="","",IFERROR(MAX(0,MIN(10,ROUND(IF('Advanced Entry'!Z$8="Decrease Risk",10-10*((IF('Advanced Entry'!Z$5="Logarithm",LN(0.001+'Advanced Entry'!Z175),IF('Advanced Entry'!Z$5="Exponential",EXP('Advanced Entry'!Z175),'Advanced Entry'!Z175)))-'Advanced Entry'!Z$6)/('Advanced Entry'!Z$7-'Advanced Entry'!Z$6),10*((IF('Advanced Entry'!Z$5="Logarithm",LN(0.001+'Advanced Entry'!Z175),IF('Advanced Entry'!Z$5="Exponential",EXP('Advanced Entry'!Z175),'Advanced Entry'!Z175)))-'Advanced Entry'!Z$6)/('Advanced Entry'!Z$7-'Advanced Entry'!Z$6)),1))),"No data"))</f>
        <v/>
      </c>
      <c r="AA175" s="17">
        <f>IF('Advanced Entry'!AA175="","",IFERROR(MAX(0,MIN(10,ROUND(IF('Advanced Entry'!AA$8="Decrease Risk",10-10*((IF('Advanced Entry'!AA$5="Logarithm",LN(0.001+'Advanced Entry'!AA175),IF('Advanced Entry'!AA$5="Exponential",EXP('Advanced Entry'!AA175),'Advanced Entry'!AA175)))-'Advanced Entry'!AA$6)/('Advanced Entry'!AA$7-'Advanced Entry'!AA$6),10*((IF('Advanced Entry'!AA$5="Logarithm",LN(0.001+'Advanced Entry'!AA175),IF('Advanced Entry'!AA$5="Exponential",EXP('Advanced Entry'!AA175),'Advanced Entry'!AA175)))-'Advanced Entry'!AA$6)/('Advanced Entry'!AA$7-'Advanced Entry'!AA$6)),1))),"No data"))</f>
        <v/>
      </c>
      <c r="AB175" s="17">
        <f>IF('Advanced Entry'!AB175="","",IFERROR(MAX(0,MIN(10,ROUND(IF('Advanced Entry'!AB$8="Decrease Risk",10-10*((IF('Advanced Entry'!AB$5="Logarithm",LN(0.001+'Advanced Entry'!AB175),IF('Advanced Entry'!AB$5="Exponential",EXP('Advanced Entry'!AB175),'Advanced Entry'!AB175)))-'Advanced Entry'!AB$6)/('Advanced Entry'!AB$7-'Advanced Entry'!AB$6),10*((IF('Advanced Entry'!AB$5="Logarithm",LN(0.001+'Advanced Entry'!AB175),IF('Advanced Entry'!AB$5="Exponential",EXP('Advanced Entry'!AB175),'Advanced Entry'!AB175)))-'Advanced Entry'!AB$6)/('Advanced Entry'!AB$7-'Advanced Entry'!AB$6)),1))),"No data"))</f>
        <v/>
      </c>
    </row>
    <row r="176">
      <c r="A176" t="inlineStr">
        <is>
          <t>Singida</t>
        </is>
      </c>
      <c r="B176" t="inlineStr">
        <is>
          <t>Iramba District</t>
        </is>
      </c>
      <c r="C176" t="inlineStr">
        <is>
          <t>C092</t>
        </is>
      </c>
      <c r="D176" s="17">
        <f>IF('Advanced Entry'!D176="","",IFERROR(MAX(0,MIN(10,ROUND(IF('Advanced Entry'!D$8="Decrease Risk",10-10*((IF('Advanced Entry'!D$5="Logarithm",LN(0.001+'Advanced Entry'!D176),IF('Advanced Entry'!D$5="Exponential",EXP('Advanced Entry'!D176),'Advanced Entry'!D176)))-'Advanced Entry'!D$6)/('Advanced Entry'!D$7-'Advanced Entry'!D$6),10*((IF('Advanced Entry'!D$5="Logarithm",LN(0.001+'Advanced Entry'!D176),IF('Advanced Entry'!D$5="Exponential",EXP('Advanced Entry'!D176),'Advanced Entry'!D176)))-'Advanced Entry'!D$6)/('Advanced Entry'!D$7-'Advanced Entry'!D$6)),1))),"No data"))</f>
        <v/>
      </c>
      <c r="E176" s="17">
        <f>IF('Advanced Entry'!E176="","",IFERROR(MAX(0,MIN(10,ROUND(IF('Advanced Entry'!E$8="Decrease Risk",10-10*((IF('Advanced Entry'!E$5="Logarithm",LN(0.001+'Advanced Entry'!E176),IF('Advanced Entry'!E$5="Exponential",EXP('Advanced Entry'!E176),'Advanced Entry'!E176)))-'Advanced Entry'!E$6)/('Advanced Entry'!E$7-'Advanced Entry'!E$6),10*((IF('Advanced Entry'!E$5="Logarithm",LN(0.001+'Advanced Entry'!E176),IF('Advanced Entry'!E$5="Exponential",EXP('Advanced Entry'!E176),'Advanced Entry'!E176)))-'Advanced Entry'!E$6)/('Advanced Entry'!E$7-'Advanced Entry'!E$6)),1))),"No data"))</f>
        <v/>
      </c>
      <c r="F176" s="17">
        <f>IF('Advanced Entry'!F176="","",IFERROR(MAX(0,MIN(10,ROUND(IF('Advanced Entry'!F$8="Decrease Risk",10-10*((IF('Advanced Entry'!F$5="Logarithm",LN(0.001+'Advanced Entry'!F176),IF('Advanced Entry'!F$5="Exponential",EXP('Advanced Entry'!F176),'Advanced Entry'!F176)))-'Advanced Entry'!F$6)/('Advanced Entry'!F$7-'Advanced Entry'!F$6),10*((IF('Advanced Entry'!F$5="Logarithm",LN(0.001+'Advanced Entry'!F176),IF('Advanced Entry'!F$5="Exponential",EXP('Advanced Entry'!F176),'Advanced Entry'!F176)))-'Advanced Entry'!F$6)/('Advanced Entry'!F$7-'Advanced Entry'!F$6)),1))),"No data"))</f>
        <v/>
      </c>
      <c r="G176" s="17">
        <f>IF('Advanced Entry'!G176="","",IFERROR(MAX(0,MIN(10,ROUND(IF('Advanced Entry'!G$8="Decrease Risk",10-10*((IF('Advanced Entry'!G$5="Logarithm",LN(0.001+'Advanced Entry'!G176),IF('Advanced Entry'!G$5="Exponential",EXP('Advanced Entry'!G176),'Advanced Entry'!G176)))-'Advanced Entry'!G$6)/('Advanced Entry'!G$7-'Advanced Entry'!G$6),10*((IF('Advanced Entry'!G$5="Logarithm",LN(0.001+'Advanced Entry'!G176),IF('Advanced Entry'!G$5="Exponential",EXP('Advanced Entry'!G176),'Advanced Entry'!G176)))-'Advanced Entry'!G$6)/('Advanced Entry'!G$7-'Advanced Entry'!G$6)),1))),"No data"))</f>
        <v/>
      </c>
      <c r="H176" s="17">
        <f>IF('Advanced Entry'!H176="","",IFERROR(MAX(0,MIN(10,ROUND(IF('Advanced Entry'!H$8="Decrease Risk",10-10*((IF('Advanced Entry'!H$5="Logarithm",LN(0.001+'Advanced Entry'!H176),IF('Advanced Entry'!H$5="Exponential",EXP('Advanced Entry'!H176),'Advanced Entry'!H176)))-'Advanced Entry'!H$6)/('Advanced Entry'!H$7-'Advanced Entry'!H$6),10*((IF('Advanced Entry'!H$5="Logarithm",LN(0.001+'Advanced Entry'!H176),IF('Advanced Entry'!H$5="Exponential",EXP('Advanced Entry'!H176),'Advanced Entry'!H176)))-'Advanced Entry'!H$6)/('Advanced Entry'!H$7-'Advanced Entry'!H$6)),1))),"No data"))</f>
        <v/>
      </c>
      <c r="I176" s="17">
        <f>IF('Advanced Entry'!I176="","",IFERROR(MAX(0,MIN(10,ROUND(IF('Advanced Entry'!I$8="Decrease Risk",10-10*((IF('Advanced Entry'!I$5="Logarithm",LN(0.001+'Advanced Entry'!I176),IF('Advanced Entry'!I$5="Exponential",EXP('Advanced Entry'!I176),'Advanced Entry'!I176)))-'Advanced Entry'!I$6)/('Advanced Entry'!I$7-'Advanced Entry'!I$6),10*((IF('Advanced Entry'!I$5="Logarithm",LN(0.001+'Advanced Entry'!I176),IF('Advanced Entry'!I$5="Exponential",EXP('Advanced Entry'!I176),'Advanced Entry'!I176)))-'Advanced Entry'!I$6)/('Advanced Entry'!I$7-'Advanced Entry'!I$6)),1))),"No data"))</f>
        <v/>
      </c>
      <c r="J176" s="17">
        <f>IF('Advanced Entry'!J176="","",IFERROR(MAX(0,MIN(10,ROUND(IF('Advanced Entry'!J$8="Decrease Risk",10-10*((IF('Advanced Entry'!J$5="Logarithm",LN(0.001+'Advanced Entry'!J176),IF('Advanced Entry'!J$5="Exponential",EXP('Advanced Entry'!J176),'Advanced Entry'!J176)))-'Advanced Entry'!J$6)/('Advanced Entry'!J$7-'Advanced Entry'!J$6),10*((IF('Advanced Entry'!J$5="Logarithm",LN(0.001+'Advanced Entry'!J176),IF('Advanced Entry'!J$5="Exponential",EXP('Advanced Entry'!J176),'Advanced Entry'!J176)))-'Advanced Entry'!J$6)/('Advanced Entry'!J$7-'Advanced Entry'!J$6)),1))),"No data"))</f>
        <v/>
      </c>
      <c r="K176" s="17">
        <f>IF('Advanced Entry'!K176="","",IFERROR(MAX(0,MIN(10,ROUND(IF('Advanced Entry'!K$8="Decrease Risk",10-10*((IF('Advanced Entry'!K$5="Logarithm",LN(0.001+'Advanced Entry'!K176),IF('Advanced Entry'!K$5="Exponential",EXP('Advanced Entry'!K176),'Advanced Entry'!K176)))-'Advanced Entry'!K$6)/('Advanced Entry'!K$7-'Advanced Entry'!K$6),10*((IF('Advanced Entry'!K$5="Logarithm",LN(0.001+'Advanced Entry'!K176),IF('Advanced Entry'!K$5="Exponential",EXP('Advanced Entry'!K176),'Advanced Entry'!K176)))-'Advanced Entry'!K$6)/('Advanced Entry'!K$7-'Advanced Entry'!K$6)),1))),"No data"))</f>
        <v/>
      </c>
      <c r="L176" s="17">
        <f>IF('Advanced Entry'!L176="","",IFERROR(MAX(0,MIN(10,ROUND(IF('Advanced Entry'!L$8="Decrease Risk",10-10*((IF('Advanced Entry'!L$5="Logarithm",LN(0.001+'Advanced Entry'!L176),IF('Advanced Entry'!L$5="Exponential",EXP('Advanced Entry'!L176),'Advanced Entry'!L176)))-'Advanced Entry'!L$6)/('Advanced Entry'!L$7-'Advanced Entry'!L$6),10*((IF('Advanced Entry'!L$5="Logarithm",LN(0.001+'Advanced Entry'!L176),IF('Advanced Entry'!L$5="Exponential",EXP('Advanced Entry'!L176),'Advanced Entry'!L176)))-'Advanced Entry'!L$6)/('Advanced Entry'!L$7-'Advanced Entry'!L$6)),1))),"No data"))</f>
        <v/>
      </c>
      <c r="M176" s="17">
        <f>IF('Advanced Entry'!M176="","",IFERROR(MAX(0,MIN(10,ROUND(IF('Advanced Entry'!M$8="Decrease Risk",10-10*((IF('Advanced Entry'!M$5="Logarithm",LN(0.001+'Advanced Entry'!M176),IF('Advanced Entry'!M$5="Exponential",EXP('Advanced Entry'!M176),'Advanced Entry'!M176)))-'Advanced Entry'!M$6)/('Advanced Entry'!M$7-'Advanced Entry'!M$6),10*((IF('Advanced Entry'!M$5="Logarithm",LN(0.001+'Advanced Entry'!M176),IF('Advanced Entry'!M$5="Exponential",EXP('Advanced Entry'!M176),'Advanced Entry'!M176)))-'Advanced Entry'!M$6)/('Advanced Entry'!M$7-'Advanced Entry'!M$6)),1))),"No data"))</f>
        <v/>
      </c>
      <c r="N176" s="17">
        <f>IF('Advanced Entry'!N176="","",IFERROR(MAX(0,MIN(10,ROUND(IF('Advanced Entry'!N$8="Decrease Risk",10-10*((IF('Advanced Entry'!N$5="Logarithm",LN(0.001+'Advanced Entry'!N176),IF('Advanced Entry'!N$5="Exponential",EXP('Advanced Entry'!N176),'Advanced Entry'!N176)))-'Advanced Entry'!N$6)/('Advanced Entry'!N$7-'Advanced Entry'!N$6),10*((IF('Advanced Entry'!N$5="Logarithm",LN(0.001+'Advanced Entry'!N176),IF('Advanced Entry'!N$5="Exponential",EXP('Advanced Entry'!N176),'Advanced Entry'!N176)))-'Advanced Entry'!N$6)/('Advanced Entry'!N$7-'Advanced Entry'!N$6)),1))),"No data"))</f>
        <v/>
      </c>
      <c r="O176" s="17">
        <f>IF('Advanced Entry'!O176="","",IFERROR(MAX(0,MIN(10,ROUND(IF('Advanced Entry'!O$8="Decrease Risk",10-10*((IF('Advanced Entry'!O$5="Logarithm",LN(0.001+'Advanced Entry'!O176),IF('Advanced Entry'!O$5="Exponential",EXP('Advanced Entry'!O176),'Advanced Entry'!O176)))-'Advanced Entry'!O$6)/('Advanced Entry'!O$7-'Advanced Entry'!O$6),10*((IF('Advanced Entry'!O$5="Logarithm",LN(0.001+'Advanced Entry'!O176),IF('Advanced Entry'!O$5="Exponential",EXP('Advanced Entry'!O176),'Advanced Entry'!O176)))-'Advanced Entry'!O$6)/('Advanced Entry'!O$7-'Advanced Entry'!O$6)),1))),"No data"))</f>
        <v/>
      </c>
      <c r="P176" s="17">
        <f>IF('Advanced Entry'!P176="","",IFERROR(MAX(0,MIN(10,ROUND(IF('Advanced Entry'!P$8="Decrease Risk",10-10*((IF('Advanced Entry'!P$5="Logarithm",LN(0.001+'Advanced Entry'!P176),IF('Advanced Entry'!P$5="Exponential",EXP('Advanced Entry'!P176),'Advanced Entry'!P176)))-'Advanced Entry'!P$6)/('Advanced Entry'!P$7-'Advanced Entry'!P$6),10*((IF('Advanced Entry'!P$5="Logarithm",LN(0.001+'Advanced Entry'!P176),IF('Advanced Entry'!P$5="Exponential",EXP('Advanced Entry'!P176),'Advanced Entry'!P176)))-'Advanced Entry'!P$6)/('Advanced Entry'!P$7-'Advanced Entry'!P$6)),1))),"No data"))</f>
        <v/>
      </c>
      <c r="Q176" s="17">
        <f>IF('Advanced Entry'!Q176="","",IFERROR(MAX(0,MIN(10,ROUND(IF('Advanced Entry'!Q$8="Decrease Risk",10-10*((IF('Advanced Entry'!Q$5="Logarithm",LN(0.001+'Advanced Entry'!Q176),IF('Advanced Entry'!Q$5="Exponential",EXP('Advanced Entry'!Q176),'Advanced Entry'!Q176)))-'Advanced Entry'!Q$6)/('Advanced Entry'!Q$7-'Advanced Entry'!Q$6),10*((IF('Advanced Entry'!Q$5="Logarithm",LN(0.001+'Advanced Entry'!Q176),IF('Advanced Entry'!Q$5="Exponential",EXP('Advanced Entry'!Q176),'Advanced Entry'!Q176)))-'Advanced Entry'!Q$6)/('Advanced Entry'!Q$7-'Advanced Entry'!Q$6)),1))),"No data"))</f>
        <v/>
      </c>
      <c r="R176" s="17">
        <f>IF('Advanced Entry'!R176="","",IFERROR(MAX(0,MIN(10,ROUND(IF('Advanced Entry'!R$8="Decrease Risk",10-10*((IF('Advanced Entry'!R$5="Logarithm",LN(0.001+'Advanced Entry'!R176),IF('Advanced Entry'!R$5="Exponential",EXP('Advanced Entry'!R176),'Advanced Entry'!R176)))-'Advanced Entry'!R$6)/('Advanced Entry'!R$7-'Advanced Entry'!R$6),10*((IF('Advanced Entry'!R$5="Logarithm",LN(0.001+'Advanced Entry'!R176),IF('Advanced Entry'!R$5="Exponential",EXP('Advanced Entry'!R176),'Advanced Entry'!R176)))-'Advanced Entry'!R$6)/('Advanced Entry'!R$7-'Advanced Entry'!R$6)),1))),"No data"))</f>
        <v/>
      </c>
      <c r="S176" s="17">
        <f>IF('Advanced Entry'!S176="","",IFERROR(MAX(0,MIN(10,ROUND(IF('Advanced Entry'!S$8="Decrease Risk",10-10*((IF('Advanced Entry'!S$5="Logarithm",LN(0.001+'Advanced Entry'!S176),IF('Advanced Entry'!S$5="Exponential",EXP('Advanced Entry'!S176),'Advanced Entry'!S176)))-'Advanced Entry'!S$6)/('Advanced Entry'!S$7-'Advanced Entry'!S$6),10*((IF('Advanced Entry'!S$5="Logarithm",LN(0.001+'Advanced Entry'!S176),IF('Advanced Entry'!S$5="Exponential",EXP('Advanced Entry'!S176),'Advanced Entry'!S176)))-'Advanced Entry'!S$6)/('Advanced Entry'!S$7-'Advanced Entry'!S$6)),1))),"No data"))</f>
        <v/>
      </c>
      <c r="T176" s="17">
        <f>IF('Advanced Entry'!T176="","",IFERROR(MAX(0,MIN(10,ROUND(IF('Advanced Entry'!T$8="Decrease Risk",10-10*((IF('Advanced Entry'!T$5="Logarithm",LN(0.001+'Advanced Entry'!T176),IF('Advanced Entry'!T$5="Exponential",EXP('Advanced Entry'!T176),'Advanced Entry'!T176)))-'Advanced Entry'!T$6)/('Advanced Entry'!T$7-'Advanced Entry'!T$6),10*((IF('Advanced Entry'!T$5="Logarithm",LN(0.001+'Advanced Entry'!T176),IF('Advanced Entry'!T$5="Exponential",EXP('Advanced Entry'!T176),'Advanced Entry'!T176)))-'Advanced Entry'!T$6)/('Advanced Entry'!T$7-'Advanced Entry'!T$6)),1))),"No data"))</f>
        <v/>
      </c>
      <c r="U176" s="17">
        <f>IF('Advanced Entry'!U176="","",IFERROR(MAX(0,MIN(10,ROUND(IF('Advanced Entry'!U$8="Decrease Risk",10-10*((IF('Advanced Entry'!U$5="Logarithm",LN(0.001+'Advanced Entry'!U176),IF('Advanced Entry'!U$5="Exponential",EXP('Advanced Entry'!U176),'Advanced Entry'!U176)))-'Advanced Entry'!U$6)/('Advanced Entry'!U$7-'Advanced Entry'!U$6),10*((IF('Advanced Entry'!U$5="Logarithm",LN(0.001+'Advanced Entry'!U176),IF('Advanced Entry'!U$5="Exponential",EXP('Advanced Entry'!U176),'Advanced Entry'!U176)))-'Advanced Entry'!U$6)/('Advanced Entry'!U$7-'Advanced Entry'!U$6)),1))),"No data"))</f>
        <v/>
      </c>
      <c r="V176" s="17">
        <f>IF('Advanced Entry'!V176="","",IFERROR(MAX(0,MIN(10,ROUND(IF('Advanced Entry'!V$8="Decrease Risk",10-10*((IF('Advanced Entry'!V$5="Logarithm",LN(0.001+'Advanced Entry'!V176),IF('Advanced Entry'!V$5="Exponential",EXP('Advanced Entry'!V176),'Advanced Entry'!V176)))-'Advanced Entry'!V$6)/('Advanced Entry'!V$7-'Advanced Entry'!V$6),10*((IF('Advanced Entry'!V$5="Logarithm",LN(0.001+'Advanced Entry'!V176),IF('Advanced Entry'!V$5="Exponential",EXP('Advanced Entry'!V176),'Advanced Entry'!V176)))-'Advanced Entry'!V$6)/('Advanced Entry'!V$7-'Advanced Entry'!V$6)),1))),"No data"))</f>
        <v/>
      </c>
      <c r="W176" s="17">
        <f>IF('Advanced Entry'!W176="","",IFERROR(MAX(0,MIN(10,ROUND(IF('Advanced Entry'!W$8="Decrease Risk",10-10*((IF('Advanced Entry'!W$5="Logarithm",LN(0.001+'Advanced Entry'!W176),IF('Advanced Entry'!W$5="Exponential",EXP('Advanced Entry'!W176),'Advanced Entry'!W176)))-'Advanced Entry'!W$6)/('Advanced Entry'!W$7-'Advanced Entry'!W$6),10*((IF('Advanced Entry'!W$5="Logarithm",LN(0.001+'Advanced Entry'!W176),IF('Advanced Entry'!W$5="Exponential",EXP('Advanced Entry'!W176),'Advanced Entry'!W176)))-'Advanced Entry'!W$6)/('Advanced Entry'!W$7-'Advanced Entry'!W$6)),1))),"No data"))</f>
        <v/>
      </c>
      <c r="X176" s="17">
        <f>IF('Advanced Entry'!X176="","",IFERROR(MAX(0,MIN(10,ROUND(IF('Advanced Entry'!X$8="Decrease Risk",10-10*((IF('Advanced Entry'!X$5="Logarithm",LN(0.001+'Advanced Entry'!X176),IF('Advanced Entry'!X$5="Exponential",EXP('Advanced Entry'!X176),'Advanced Entry'!X176)))-'Advanced Entry'!X$6)/('Advanced Entry'!X$7-'Advanced Entry'!X$6),10*((IF('Advanced Entry'!X$5="Logarithm",LN(0.001+'Advanced Entry'!X176),IF('Advanced Entry'!X$5="Exponential",EXP('Advanced Entry'!X176),'Advanced Entry'!X176)))-'Advanced Entry'!X$6)/('Advanced Entry'!X$7-'Advanced Entry'!X$6)),1))),"No data"))</f>
        <v/>
      </c>
      <c r="Y176" s="17">
        <f>IF('Advanced Entry'!Y176="","",IFERROR(MAX(0,MIN(10,ROUND(IF('Advanced Entry'!Y$8="Decrease Risk",10-10*((IF('Advanced Entry'!Y$5="Logarithm",LN(0.001+'Advanced Entry'!Y176),IF('Advanced Entry'!Y$5="Exponential",EXP('Advanced Entry'!Y176),'Advanced Entry'!Y176)))-'Advanced Entry'!Y$6)/('Advanced Entry'!Y$7-'Advanced Entry'!Y$6),10*((IF('Advanced Entry'!Y$5="Logarithm",LN(0.001+'Advanced Entry'!Y176),IF('Advanced Entry'!Y$5="Exponential",EXP('Advanced Entry'!Y176),'Advanced Entry'!Y176)))-'Advanced Entry'!Y$6)/('Advanced Entry'!Y$7-'Advanced Entry'!Y$6)),1))),"No data"))</f>
        <v/>
      </c>
      <c r="Z176" s="17">
        <f>IF('Advanced Entry'!Z176="","",IFERROR(MAX(0,MIN(10,ROUND(IF('Advanced Entry'!Z$8="Decrease Risk",10-10*((IF('Advanced Entry'!Z$5="Logarithm",LN(0.001+'Advanced Entry'!Z176),IF('Advanced Entry'!Z$5="Exponential",EXP('Advanced Entry'!Z176),'Advanced Entry'!Z176)))-'Advanced Entry'!Z$6)/('Advanced Entry'!Z$7-'Advanced Entry'!Z$6),10*((IF('Advanced Entry'!Z$5="Logarithm",LN(0.001+'Advanced Entry'!Z176),IF('Advanced Entry'!Z$5="Exponential",EXP('Advanced Entry'!Z176),'Advanced Entry'!Z176)))-'Advanced Entry'!Z$6)/('Advanced Entry'!Z$7-'Advanced Entry'!Z$6)),1))),"No data"))</f>
        <v/>
      </c>
      <c r="AA176" s="17">
        <f>IF('Advanced Entry'!AA176="","",IFERROR(MAX(0,MIN(10,ROUND(IF('Advanced Entry'!AA$8="Decrease Risk",10-10*((IF('Advanced Entry'!AA$5="Logarithm",LN(0.001+'Advanced Entry'!AA176),IF('Advanced Entry'!AA$5="Exponential",EXP('Advanced Entry'!AA176),'Advanced Entry'!AA176)))-'Advanced Entry'!AA$6)/('Advanced Entry'!AA$7-'Advanced Entry'!AA$6),10*((IF('Advanced Entry'!AA$5="Logarithm",LN(0.001+'Advanced Entry'!AA176),IF('Advanced Entry'!AA$5="Exponential",EXP('Advanced Entry'!AA176),'Advanced Entry'!AA176)))-'Advanced Entry'!AA$6)/('Advanced Entry'!AA$7-'Advanced Entry'!AA$6)),1))),"No data"))</f>
        <v/>
      </c>
      <c r="AB176" s="17">
        <f>IF('Advanced Entry'!AB176="","",IFERROR(MAX(0,MIN(10,ROUND(IF('Advanced Entry'!AB$8="Decrease Risk",10-10*((IF('Advanced Entry'!AB$5="Logarithm",LN(0.001+'Advanced Entry'!AB176),IF('Advanced Entry'!AB$5="Exponential",EXP('Advanced Entry'!AB176),'Advanced Entry'!AB176)))-'Advanced Entry'!AB$6)/('Advanced Entry'!AB$7-'Advanced Entry'!AB$6),10*((IF('Advanced Entry'!AB$5="Logarithm",LN(0.001+'Advanced Entry'!AB176),IF('Advanced Entry'!AB$5="Exponential",EXP('Advanced Entry'!AB176),'Advanced Entry'!AB176)))-'Advanced Entry'!AB$6)/('Advanced Entry'!AB$7-'Advanced Entry'!AB$6)),1))),"No data"))</f>
        <v/>
      </c>
    </row>
    <row r="177">
      <c r="A177" t="inlineStr">
        <is>
          <t>Singida</t>
        </is>
      </c>
      <c r="B177" t="inlineStr">
        <is>
          <t>Itigi District</t>
        </is>
      </c>
      <c r="C177" t="inlineStr">
        <is>
          <t>C096</t>
        </is>
      </c>
      <c r="D177" s="17">
        <f>IF('Advanced Entry'!D177="","",IFERROR(MAX(0,MIN(10,ROUND(IF('Advanced Entry'!D$8="Decrease Risk",10-10*((IF('Advanced Entry'!D$5="Logarithm",LN(0.001+'Advanced Entry'!D177),IF('Advanced Entry'!D$5="Exponential",EXP('Advanced Entry'!D177),'Advanced Entry'!D177)))-'Advanced Entry'!D$6)/('Advanced Entry'!D$7-'Advanced Entry'!D$6),10*((IF('Advanced Entry'!D$5="Logarithm",LN(0.001+'Advanced Entry'!D177),IF('Advanced Entry'!D$5="Exponential",EXP('Advanced Entry'!D177),'Advanced Entry'!D177)))-'Advanced Entry'!D$6)/('Advanced Entry'!D$7-'Advanced Entry'!D$6)),1))),"No data"))</f>
        <v/>
      </c>
      <c r="E177" s="17">
        <f>IF('Advanced Entry'!E177="","",IFERROR(MAX(0,MIN(10,ROUND(IF('Advanced Entry'!E$8="Decrease Risk",10-10*((IF('Advanced Entry'!E$5="Logarithm",LN(0.001+'Advanced Entry'!E177),IF('Advanced Entry'!E$5="Exponential",EXP('Advanced Entry'!E177),'Advanced Entry'!E177)))-'Advanced Entry'!E$6)/('Advanced Entry'!E$7-'Advanced Entry'!E$6),10*((IF('Advanced Entry'!E$5="Logarithm",LN(0.001+'Advanced Entry'!E177),IF('Advanced Entry'!E$5="Exponential",EXP('Advanced Entry'!E177),'Advanced Entry'!E177)))-'Advanced Entry'!E$6)/('Advanced Entry'!E$7-'Advanced Entry'!E$6)),1))),"No data"))</f>
        <v/>
      </c>
      <c r="F177" s="17">
        <f>IF('Advanced Entry'!F177="","",IFERROR(MAX(0,MIN(10,ROUND(IF('Advanced Entry'!F$8="Decrease Risk",10-10*((IF('Advanced Entry'!F$5="Logarithm",LN(0.001+'Advanced Entry'!F177),IF('Advanced Entry'!F$5="Exponential",EXP('Advanced Entry'!F177),'Advanced Entry'!F177)))-'Advanced Entry'!F$6)/('Advanced Entry'!F$7-'Advanced Entry'!F$6),10*((IF('Advanced Entry'!F$5="Logarithm",LN(0.001+'Advanced Entry'!F177),IF('Advanced Entry'!F$5="Exponential",EXP('Advanced Entry'!F177),'Advanced Entry'!F177)))-'Advanced Entry'!F$6)/('Advanced Entry'!F$7-'Advanced Entry'!F$6)),1))),"No data"))</f>
        <v/>
      </c>
      <c r="G177" s="17">
        <f>IF('Advanced Entry'!G177="","",IFERROR(MAX(0,MIN(10,ROUND(IF('Advanced Entry'!G$8="Decrease Risk",10-10*((IF('Advanced Entry'!G$5="Logarithm",LN(0.001+'Advanced Entry'!G177),IF('Advanced Entry'!G$5="Exponential",EXP('Advanced Entry'!G177),'Advanced Entry'!G177)))-'Advanced Entry'!G$6)/('Advanced Entry'!G$7-'Advanced Entry'!G$6),10*((IF('Advanced Entry'!G$5="Logarithm",LN(0.001+'Advanced Entry'!G177),IF('Advanced Entry'!G$5="Exponential",EXP('Advanced Entry'!G177),'Advanced Entry'!G177)))-'Advanced Entry'!G$6)/('Advanced Entry'!G$7-'Advanced Entry'!G$6)),1))),"No data"))</f>
        <v/>
      </c>
      <c r="H177" s="17">
        <f>IF('Advanced Entry'!H177="","",IFERROR(MAX(0,MIN(10,ROUND(IF('Advanced Entry'!H$8="Decrease Risk",10-10*((IF('Advanced Entry'!H$5="Logarithm",LN(0.001+'Advanced Entry'!H177),IF('Advanced Entry'!H$5="Exponential",EXP('Advanced Entry'!H177),'Advanced Entry'!H177)))-'Advanced Entry'!H$6)/('Advanced Entry'!H$7-'Advanced Entry'!H$6),10*((IF('Advanced Entry'!H$5="Logarithm",LN(0.001+'Advanced Entry'!H177),IF('Advanced Entry'!H$5="Exponential",EXP('Advanced Entry'!H177),'Advanced Entry'!H177)))-'Advanced Entry'!H$6)/('Advanced Entry'!H$7-'Advanced Entry'!H$6)),1))),"No data"))</f>
        <v/>
      </c>
      <c r="I177" s="17">
        <f>IF('Advanced Entry'!I177="","",IFERROR(MAX(0,MIN(10,ROUND(IF('Advanced Entry'!I$8="Decrease Risk",10-10*((IF('Advanced Entry'!I$5="Logarithm",LN(0.001+'Advanced Entry'!I177),IF('Advanced Entry'!I$5="Exponential",EXP('Advanced Entry'!I177),'Advanced Entry'!I177)))-'Advanced Entry'!I$6)/('Advanced Entry'!I$7-'Advanced Entry'!I$6),10*((IF('Advanced Entry'!I$5="Logarithm",LN(0.001+'Advanced Entry'!I177),IF('Advanced Entry'!I$5="Exponential",EXP('Advanced Entry'!I177),'Advanced Entry'!I177)))-'Advanced Entry'!I$6)/('Advanced Entry'!I$7-'Advanced Entry'!I$6)),1))),"No data"))</f>
        <v/>
      </c>
      <c r="J177" s="17">
        <f>IF('Advanced Entry'!J177="","",IFERROR(MAX(0,MIN(10,ROUND(IF('Advanced Entry'!J$8="Decrease Risk",10-10*((IF('Advanced Entry'!J$5="Logarithm",LN(0.001+'Advanced Entry'!J177),IF('Advanced Entry'!J$5="Exponential",EXP('Advanced Entry'!J177),'Advanced Entry'!J177)))-'Advanced Entry'!J$6)/('Advanced Entry'!J$7-'Advanced Entry'!J$6),10*((IF('Advanced Entry'!J$5="Logarithm",LN(0.001+'Advanced Entry'!J177),IF('Advanced Entry'!J$5="Exponential",EXP('Advanced Entry'!J177),'Advanced Entry'!J177)))-'Advanced Entry'!J$6)/('Advanced Entry'!J$7-'Advanced Entry'!J$6)),1))),"No data"))</f>
        <v/>
      </c>
      <c r="K177" s="17">
        <f>IF('Advanced Entry'!K177="","",IFERROR(MAX(0,MIN(10,ROUND(IF('Advanced Entry'!K$8="Decrease Risk",10-10*((IF('Advanced Entry'!K$5="Logarithm",LN(0.001+'Advanced Entry'!K177),IF('Advanced Entry'!K$5="Exponential",EXP('Advanced Entry'!K177),'Advanced Entry'!K177)))-'Advanced Entry'!K$6)/('Advanced Entry'!K$7-'Advanced Entry'!K$6),10*((IF('Advanced Entry'!K$5="Logarithm",LN(0.001+'Advanced Entry'!K177),IF('Advanced Entry'!K$5="Exponential",EXP('Advanced Entry'!K177),'Advanced Entry'!K177)))-'Advanced Entry'!K$6)/('Advanced Entry'!K$7-'Advanced Entry'!K$6)),1))),"No data"))</f>
        <v/>
      </c>
      <c r="L177" s="17">
        <f>IF('Advanced Entry'!L177="","",IFERROR(MAX(0,MIN(10,ROUND(IF('Advanced Entry'!L$8="Decrease Risk",10-10*((IF('Advanced Entry'!L$5="Logarithm",LN(0.001+'Advanced Entry'!L177),IF('Advanced Entry'!L$5="Exponential",EXP('Advanced Entry'!L177),'Advanced Entry'!L177)))-'Advanced Entry'!L$6)/('Advanced Entry'!L$7-'Advanced Entry'!L$6),10*((IF('Advanced Entry'!L$5="Logarithm",LN(0.001+'Advanced Entry'!L177),IF('Advanced Entry'!L$5="Exponential",EXP('Advanced Entry'!L177),'Advanced Entry'!L177)))-'Advanced Entry'!L$6)/('Advanced Entry'!L$7-'Advanced Entry'!L$6)),1))),"No data"))</f>
        <v/>
      </c>
      <c r="M177" s="17">
        <f>IF('Advanced Entry'!M177="","",IFERROR(MAX(0,MIN(10,ROUND(IF('Advanced Entry'!M$8="Decrease Risk",10-10*((IF('Advanced Entry'!M$5="Logarithm",LN(0.001+'Advanced Entry'!M177),IF('Advanced Entry'!M$5="Exponential",EXP('Advanced Entry'!M177),'Advanced Entry'!M177)))-'Advanced Entry'!M$6)/('Advanced Entry'!M$7-'Advanced Entry'!M$6),10*((IF('Advanced Entry'!M$5="Logarithm",LN(0.001+'Advanced Entry'!M177),IF('Advanced Entry'!M$5="Exponential",EXP('Advanced Entry'!M177),'Advanced Entry'!M177)))-'Advanced Entry'!M$6)/('Advanced Entry'!M$7-'Advanced Entry'!M$6)),1))),"No data"))</f>
        <v/>
      </c>
      <c r="N177" s="17">
        <f>IF('Advanced Entry'!N177="","",IFERROR(MAX(0,MIN(10,ROUND(IF('Advanced Entry'!N$8="Decrease Risk",10-10*((IF('Advanced Entry'!N$5="Logarithm",LN(0.001+'Advanced Entry'!N177),IF('Advanced Entry'!N$5="Exponential",EXP('Advanced Entry'!N177),'Advanced Entry'!N177)))-'Advanced Entry'!N$6)/('Advanced Entry'!N$7-'Advanced Entry'!N$6),10*((IF('Advanced Entry'!N$5="Logarithm",LN(0.001+'Advanced Entry'!N177),IF('Advanced Entry'!N$5="Exponential",EXP('Advanced Entry'!N177),'Advanced Entry'!N177)))-'Advanced Entry'!N$6)/('Advanced Entry'!N$7-'Advanced Entry'!N$6)),1))),"No data"))</f>
        <v/>
      </c>
      <c r="O177" s="17">
        <f>IF('Advanced Entry'!O177="","",IFERROR(MAX(0,MIN(10,ROUND(IF('Advanced Entry'!O$8="Decrease Risk",10-10*((IF('Advanced Entry'!O$5="Logarithm",LN(0.001+'Advanced Entry'!O177),IF('Advanced Entry'!O$5="Exponential",EXP('Advanced Entry'!O177),'Advanced Entry'!O177)))-'Advanced Entry'!O$6)/('Advanced Entry'!O$7-'Advanced Entry'!O$6),10*((IF('Advanced Entry'!O$5="Logarithm",LN(0.001+'Advanced Entry'!O177),IF('Advanced Entry'!O$5="Exponential",EXP('Advanced Entry'!O177),'Advanced Entry'!O177)))-'Advanced Entry'!O$6)/('Advanced Entry'!O$7-'Advanced Entry'!O$6)),1))),"No data"))</f>
        <v/>
      </c>
      <c r="P177" s="17">
        <f>IF('Advanced Entry'!P177="","",IFERROR(MAX(0,MIN(10,ROUND(IF('Advanced Entry'!P$8="Decrease Risk",10-10*((IF('Advanced Entry'!P$5="Logarithm",LN(0.001+'Advanced Entry'!P177),IF('Advanced Entry'!P$5="Exponential",EXP('Advanced Entry'!P177),'Advanced Entry'!P177)))-'Advanced Entry'!P$6)/('Advanced Entry'!P$7-'Advanced Entry'!P$6),10*((IF('Advanced Entry'!P$5="Logarithm",LN(0.001+'Advanced Entry'!P177),IF('Advanced Entry'!P$5="Exponential",EXP('Advanced Entry'!P177),'Advanced Entry'!P177)))-'Advanced Entry'!P$6)/('Advanced Entry'!P$7-'Advanced Entry'!P$6)),1))),"No data"))</f>
        <v/>
      </c>
      <c r="Q177" s="17">
        <f>IF('Advanced Entry'!Q177="","",IFERROR(MAX(0,MIN(10,ROUND(IF('Advanced Entry'!Q$8="Decrease Risk",10-10*((IF('Advanced Entry'!Q$5="Logarithm",LN(0.001+'Advanced Entry'!Q177),IF('Advanced Entry'!Q$5="Exponential",EXP('Advanced Entry'!Q177),'Advanced Entry'!Q177)))-'Advanced Entry'!Q$6)/('Advanced Entry'!Q$7-'Advanced Entry'!Q$6),10*((IF('Advanced Entry'!Q$5="Logarithm",LN(0.001+'Advanced Entry'!Q177),IF('Advanced Entry'!Q$5="Exponential",EXP('Advanced Entry'!Q177),'Advanced Entry'!Q177)))-'Advanced Entry'!Q$6)/('Advanced Entry'!Q$7-'Advanced Entry'!Q$6)),1))),"No data"))</f>
        <v/>
      </c>
      <c r="R177" s="17">
        <f>IF('Advanced Entry'!R177="","",IFERROR(MAX(0,MIN(10,ROUND(IF('Advanced Entry'!R$8="Decrease Risk",10-10*((IF('Advanced Entry'!R$5="Logarithm",LN(0.001+'Advanced Entry'!R177),IF('Advanced Entry'!R$5="Exponential",EXP('Advanced Entry'!R177),'Advanced Entry'!R177)))-'Advanced Entry'!R$6)/('Advanced Entry'!R$7-'Advanced Entry'!R$6),10*((IF('Advanced Entry'!R$5="Logarithm",LN(0.001+'Advanced Entry'!R177),IF('Advanced Entry'!R$5="Exponential",EXP('Advanced Entry'!R177),'Advanced Entry'!R177)))-'Advanced Entry'!R$6)/('Advanced Entry'!R$7-'Advanced Entry'!R$6)),1))),"No data"))</f>
        <v/>
      </c>
      <c r="S177" s="17">
        <f>IF('Advanced Entry'!S177="","",IFERROR(MAX(0,MIN(10,ROUND(IF('Advanced Entry'!S$8="Decrease Risk",10-10*((IF('Advanced Entry'!S$5="Logarithm",LN(0.001+'Advanced Entry'!S177),IF('Advanced Entry'!S$5="Exponential",EXP('Advanced Entry'!S177),'Advanced Entry'!S177)))-'Advanced Entry'!S$6)/('Advanced Entry'!S$7-'Advanced Entry'!S$6),10*((IF('Advanced Entry'!S$5="Logarithm",LN(0.001+'Advanced Entry'!S177),IF('Advanced Entry'!S$5="Exponential",EXP('Advanced Entry'!S177),'Advanced Entry'!S177)))-'Advanced Entry'!S$6)/('Advanced Entry'!S$7-'Advanced Entry'!S$6)),1))),"No data"))</f>
        <v/>
      </c>
      <c r="T177" s="17">
        <f>IF('Advanced Entry'!T177="","",IFERROR(MAX(0,MIN(10,ROUND(IF('Advanced Entry'!T$8="Decrease Risk",10-10*((IF('Advanced Entry'!T$5="Logarithm",LN(0.001+'Advanced Entry'!T177),IF('Advanced Entry'!T$5="Exponential",EXP('Advanced Entry'!T177),'Advanced Entry'!T177)))-'Advanced Entry'!T$6)/('Advanced Entry'!T$7-'Advanced Entry'!T$6),10*((IF('Advanced Entry'!T$5="Logarithm",LN(0.001+'Advanced Entry'!T177),IF('Advanced Entry'!T$5="Exponential",EXP('Advanced Entry'!T177),'Advanced Entry'!T177)))-'Advanced Entry'!T$6)/('Advanced Entry'!T$7-'Advanced Entry'!T$6)),1))),"No data"))</f>
        <v/>
      </c>
      <c r="U177" s="17">
        <f>IF('Advanced Entry'!U177="","",IFERROR(MAX(0,MIN(10,ROUND(IF('Advanced Entry'!U$8="Decrease Risk",10-10*((IF('Advanced Entry'!U$5="Logarithm",LN(0.001+'Advanced Entry'!U177),IF('Advanced Entry'!U$5="Exponential",EXP('Advanced Entry'!U177),'Advanced Entry'!U177)))-'Advanced Entry'!U$6)/('Advanced Entry'!U$7-'Advanced Entry'!U$6),10*((IF('Advanced Entry'!U$5="Logarithm",LN(0.001+'Advanced Entry'!U177),IF('Advanced Entry'!U$5="Exponential",EXP('Advanced Entry'!U177),'Advanced Entry'!U177)))-'Advanced Entry'!U$6)/('Advanced Entry'!U$7-'Advanced Entry'!U$6)),1))),"No data"))</f>
        <v/>
      </c>
      <c r="V177" s="17">
        <f>IF('Advanced Entry'!V177="","",IFERROR(MAX(0,MIN(10,ROUND(IF('Advanced Entry'!V$8="Decrease Risk",10-10*((IF('Advanced Entry'!V$5="Logarithm",LN(0.001+'Advanced Entry'!V177),IF('Advanced Entry'!V$5="Exponential",EXP('Advanced Entry'!V177),'Advanced Entry'!V177)))-'Advanced Entry'!V$6)/('Advanced Entry'!V$7-'Advanced Entry'!V$6),10*((IF('Advanced Entry'!V$5="Logarithm",LN(0.001+'Advanced Entry'!V177),IF('Advanced Entry'!V$5="Exponential",EXP('Advanced Entry'!V177),'Advanced Entry'!V177)))-'Advanced Entry'!V$6)/('Advanced Entry'!V$7-'Advanced Entry'!V$6)),1))),"No data"))</f>
        <v/>
      </c>
      <c r="W177" s="17">
        <f>IF('Advanced Entry'!W177="","",IFERROR(MAX(0,MIN(10,ROUND(IF('Advanced Entry'!W$8="Decrease Risk",10-10*((IF('Advanced Entry'!W$5="Logarithm",LN(0.001+'Advanced Entry'!W177),IF('Advanced Entry'!W$5="Exponential",EXP('Advanced Entry'!W177),'Advanced Entry'!W177)))-'Advanced Entry'!W$6)/('Advanced Entry'!W$7-'Advanced Entry'!W$6),10*((IF('Advanced Entry'!W$5="Logarithm",LN(0.001+'Advanced Entry'!W177),IF('Advanced Entry'!W$5="Exponential",EXP('Advanced Entry'!W177),'Advanced Entry'!W177)))-'Advanced Entry'!W$6)/('Advanced Entry'!W$7-'Advanced Entry'!W$6)),1))),"No data"))</f>
        <v/>
      </c>
      <c r="X177" s="17">
        <f>IF('Advanced Entry'!X177="","",IFERROR(MAX(0,MIN(10,ROUND(IF('Advanced Entry'!X$8="Decrease Risk",10-10*((IF('Advanced Entry'!X$5="Logarithm",LN(0.001+'Advanced Entry'!X177),IF('Advanced Entry'!X$5="Exponential",EXP('Advanced Entry'!X177),'Advanced Entry'!X177)))-'Advanced Entry'!X$6)/('Advanced Entry'!X$7-'Advanced Entry'!X$6),10*((IF('Advanced Entry'!X$5="Logarithm",LN(0.001+'Advanced Entry'!X177),IF('Advanced Entry'!X$5="Exponential",EXP('Advanced Entry'!X177),'Advanced Entry'!X177)))-'Advanced Entry'!X$6)/('Advanced Entry'!X$7-'Advanced Entry'!X$6)),1))),"No data"))</f>
        <v/>
      </c>
      <c r="Y177" s="17">
        <f>IF('Advanced Entry'!Y177="","",IFERROR(MAX(0,MIN(10,ROUND(IF('Advanced Entry'!Y$8="Decrease Risk",10-10*((IF('Advanced Entry'!Y$5="Logarithm",LN(0.001+'Advanced Entry'!Y177),IF('Advanced Entry'!Y$5="Exponential",EXP('Advanced Entry'!Y177),'Advanced Entry'!Y177)))-'Advanced Entry'!Y$6)/('Advanced Entry'!Y$7-'Advanced Entry'!Y$6),10*((IF('Advanced Entry'!Y$5="Logarithm",LN(0.001+'Advanced Entry'!Y177),IF('Advanced Entry'!Y$5="Exponential",EXP('Advanced Entry'!Y177),'Advanced Entry'!Y177)))-'Advanced Entry'!Y$6)/('Advanced Entry'!Y$7-'Advanced Entry'!Y$6)),1))),"No data"))</f>
        <v/>
      </c>
      <c r="Z177" s="17">
        <f>IF('Advanced Entry'!Z177="","",IFERROR(MAX(0,MIN(10,ROUND(IF('Advanced Entry'!Z$8="Decrease Risk",10-10*((IF('Advanced Entry'!Z$5="Logarithm",LN(0.001+'Advanced Entry'!Z177),IF('Advanced Entry'!Z$5="Exponential",EXP('Advanced Entry'!Z177),'Advanced Entry'!Z177)))-'Advanced Entry'!Z$6)/('Advanced Entry'!Z$7-'Advanced Entry'!Z$6),10*((IF('Advanced Entry'!Z$5="Logarithm",LN(0.001+'Advanced Entry'!Z177),IF('Advanced Entry'!Z$5="Exponential",EXP('Advanced Entry'!Z177),'Advanced Entry'!Z177)))-'Advanced Entry'!Z$6)/('Advanced Entry'!Z$7-'Advanced Entry'!Z$6)),1))),"No data"))</f>
        <v/>
      </c>
      <c r="AA177" s="17">
        <f>IF('Advanced Entry'!AA177="","",IFERROR(MAX(0,MIN(10,ROUND(IF('Advanced Entry'!AA$8="Decrease Risk",10-10*((IF('Advanced Entry'!AA$5="Logarithm",LN(0.001+'Advanced Entry'!AA177),IF('Advanced Entry'!AA$5="Exponential",EXP('Advanced Entry'!AA177),'Advanced Entry'!AA177)))-'Advanced Entry'!AA$6)/('Advanced Entry'!AA$7-'Advanced Entry'!AA$6),10*((IF('Advanced Entry'!AA$5="Logarithm",LN(0.001+'Advanced Entry'!AA177),IF('Advanced Entry'!AA$5="Exponential",EXP('Advanced Entry'!AA177),'Advanced Entry'!AA177)))-'Advanced Entry'!AA$6)/('Advanced Entry'!AA$7-'Advanced Entry'!AA$6)),1))),"No data"))</f>
        <v/>
      </c>
      <c r="AB177" s="17">
        <f>IF('Advanced Entry'!AB177="","",IFERROR(MAX(0,MIN(10,ROUND(IF('Advanced Entry'!AB$8="Decrease Risk",10-10*((IF('Advanced Entry'!AB$5="Logarithm",LN(0.001+'Advanced Entry'!AB177),IF('Advanced Entry'!AB$5="Exponential",EXP('Advanced Entry'!AB177),'Advanced Entry'!AB177)))-'Advanced Entry'!AB$6)/('Advanced Entry'!AB$7-'Advanced Entry'!AB$6),10*((IF('Advanced Entry'!AB$5="Logarithm",LN(0.001+'Advanced Entry'!AB177),IF('Advanced Entry'!AB$5="Exponential",EXP('Advanced Entry'!AB177),'Advanced Entry'!AB177)))-'Advanced Entry'!AB$6)/('Advanced Entry'!AB$7-'Advanced Entry'!AB$6)),1))),"No data"))</f>
        <v/>
      </c>
    </row>
    <row r="178">
      <c r="A178" t="inlineStr">
        <is>
          <t>Singida</t>
        </is>
      </c>
      <c r="B178" t="inlineStr">
        <is>
          <t>Manyoni District</t>
        </is>
      </c>
      <c r="C178" t="inlineStr">
        <is>
          <t>C095</t>
        </is>
      </c>
      <c r="D178" s="17">
        <f>IF('Advanced Entry'!D178="","",IFERROR(MAX(0,MIN(10,ROUND(IF('Advanced Entry'!D$8="Decrease Risk",10-10*((IF('Advanced Entry'!D$5="Logarithm",LN(0.001+'Advanced Entry'!D178),IF('Advanced Entry'!D$5="Exponential",EXP('Advanced Entry'!D178),'Advanced Entry'!D178)))-'Advanced Entry'!D$6)/('Advanced Entry'!D$7-'Advanced Entry'!D$6),10*((IF('Advanced Entry'!D$5="Logarithm",LN(0.001+'Advanced Entry'!D178),IF('Advanced Entry'!D$5="Exponential",EXP('Advanced Entry'!D178),'Advanced Entry'!D178)))-'Advanced Entry'!D$6)/('Advanced Entry'!D$7-'Advanced Entry'!D$6)),1))),"No data"))</f>
        <v/>
      </c>
      <c r="E178" s="17">
        <f>IF('Advanced Entry'!E178="","",IFERROR(MAX(0,MIN(10,ROUND(IF('Advanced Entry'!E$8="Decrease Risk",10-10*((IF('Advanced Entry'!E$5="Logarithm",LN(0.001+'Advanced Entry'!E178),IF('Advanced Entry'!E$5="Exponential",EXP('Advanced Entry'!E178),'Advanced Entry'!E178)))-'Advanced Entry'!E$6)/('Advanced Entry'!E$7-'Advanced Entry'!E$6),10*((IF('Advanced Entry'!E$5="Logarithm",LN(0.001+'Advanced Entry'!E178),IF('Advanced Entry'!E$5="Exponential",EXP('Advanced Entry'!E178),'Advanced Entry'!E178)))-'Advanced Entry'!E$6)/('Advanced Entry'!E$7-'Advanced Entry'!E$6)),1))),"No data"))</f>
        <v/>
      </c>
      <c r="F178" s="17">
        <f>IF('Advanced Entry'!F178="","",IFERROR(MAX(0,MIN(10,ROUND(IF('Advanced Entry'!F$8="Decrease Risk",10-10*((IF('Advanced Entry'!F$5="Logarithm",LN(0.001+'Advanced Entry'!F178),IF('Advanced Entry'!F$5="Exponential",EXP('Advanced Entry'!F178),'Advanced Entry'!F178)))-'Advanced Entry'!F$6)/('Advanced Entry'!F$7-'Advanced Entry'!F$6),10*((IF('Advanced Entry'!F$5="Logarithm",LN(0.001+'Advanced Entry'!F178),IF('Advanced Entry'!F$5="Exponential",EXP('Advanced Entry'!F178),'Advanced Entry'!F178)))-'Advanced Entry'!F$6)/('Advanced Entry'!F$7-'Advanced Entry'!F$6)),1))),"No data"))</f>
        <v/>
      </c>
      <c r="G178" s="17">
        <f>IF('Advanced Entry'!G178="","",IFERROR(MAX(0,MIN(10,ROUND(IF('Advanced Entry'!G$8="Decrease Risk",10-10*((IF('Advanced Entry'!G$5="Logarithm",LN(0.001+'Advanced Entry'!G178),IF('Advanced Entry'!G$5="Exponential",EXP('Advanced Entry'!G178),'Advanced Entry'!G178)))-'Advanced Entry'!G$6)/('Advanced Entry'!G$7-'Advanced Entry'!G$6),10*((IF('Advanced Entry'!G$5="Logarithm",LN(0.001+'Advanced Entry'!G178),IF('Advanced Entry'!G$5="Exponential",EXP('Advanced Entry'!G178),'Advanced Entry'!G178)))-'Advanced Entry'!G$6)/('Advanced Entry'!G$7-'Advanced Entry'!G$6)),1))),"No data"))</f>
        <v/>
      </c>
      <c r="H178" s="17">
        <f>IF('Advanced Entry'!H178="","",IFERROR(MAX(0,MIN(10,ROUND(IF('Advanced Entry'!H$8="Decrease Risk",10-10*((IF('Advanced Entry'!H$5="Logarithm",LN(0.001+'Advanced Entry'!H178),IF('Advanced Entry'!H$5="Exponential",EXP('Advanced Entry'!H178),'Advanced Entry'!H178)))-'Advanced Entry'!H$6)/('Advanced Entry'!H$7-'Advanced Entry'!H$6),10*((IF('Advanced Entry'!H$5="Logarithm",LN(0.001+'Advanced Entry'!H178),IF('Advanced Entry'!H$5="Exponential",EXP('Advanced Entry'!H178),'Advanced Entry'!H178)))-'Advanced Entry'!H$6)/('Advanced Entry'!H$7-'Advanced Entry'!H$6)),1))),"No data"))</f>
        <v/>
      </c>
      <c r="I178" s="17">
        <f>IF('Advanced Entry'!I178="","",IFERROR(MAX(0,MIN(10,ROUND(IF('Advanced Entry'!I$8="Decrease Risk",10-10*((IF('Advanced Entry'!I$5="Logarithm",LN(0.001+'Advanced Entry'!I178),IF('Advanced Entry'!I$5="Exponential",EXP('Advanced Entry'!I178),'Advanced Entry'!I178)))-'Advanced Entry'!I$6)/('Advanced Entry'!I$7-'Advanced Entry'!I$6),10*((IF('Advanced Entry'!I$5="Logarithm",LN(0.001+'Advanced Entry'!I178),IF('Advanced Entry'!I$5="Exponential",EXP('Advanced Entry'!I178),'Advanced Entry'!I178)))-'Advanced Entry'!I$6)/('Advanced Entry'!I$7-'Advanced Entry'!I$6)),1))),"No data"))</f>
        <v/>
      </c>
      <c r="J178" s="17">
        <f>IF('Advanced Entry'!J178="","",IFERROR(MAX(0,MIN(10,ROUND(IF('Advanced Entry'!J$8="Decrease Risk",10-10*((IF('Advanced Entry'!J$5="Logarithm",LN(0.001+'Advanced Entry'!J178),IF('Advanced Entry'!J$5="Exponential",EXP('Advanced Entry'!J178),'Advanced Entry'!J178)))-'Advanced Entry'!J$6)/('Advanced Entry'!J$7-'Advanced Entry'!J$6),10*((IF('Advanced Entry'!J$5="Logarithm",LN(0.001+'Advanced Entry'!J178),IF('Advanced Entry'!J$5="Exponential",EXP('Advanced Entry'!J178),'Advanced Entry'!J178)))-'Advanced Entry'!J$6)/('Advanced Entry'!J$7-'Advanced Entry'!J$6)),1))),"No data"))</f>
        <v/>
      </c>
      <c r="K178" s="17">
        <f>IF('Advanced Entry'!K178="","",IFERROR(MAX(0,MIN(10,ROUND(IF('Advanced Entry'!K$8="Decrease Risk",10-10*((IF('Advanced Entry'!K$5="Logarithm",LN(0.001+'Advanced Entry'!K178),IF('Advanced Entry'!K$5="Exponential",EXP('Advanced Entry'!K178),'Advanced Entry'!K178)))-'Advanced Entry'!K$6)/('Advanced Entry'!K$7-'Advanced Entry'!K$6),10*((IF('Advanced Entry'!K$5="Logarithm",LN(0.001+'Advanced Entry'!K178),IF('Advanced Entry'!K$5="Exponential",EXP('Advanced Entry'!K178),'Advanced Entry'!K178)))-'Advanced Entry'!K$6)/('Advanced Entry'!K$7-'Advanced Entry'!K$6)),1))),"No data"))</f>
        <v/>
      </c>
      <c r="L178" s="17">
        <f>IF('Advanced Entry'!L178="","",IFERROR(MAX(0,MIN(10,ROUND(IF('Advanced Entry'!L$8="Decrease Risk",10-10*((IF('Advanced Entry'!L$5="Logarithm",LN(0.001+'Advanced Entry'!L178),IF('Advanced Entry'!L$5="Exponential",EXP('Advanced Entry'!L178),'Advanced Entry'!L178)))-'Advanced Entry'!L$6)/('Advanced Entry'!L$7-'Advanced Entry'!L$6),10*((IF('Advanced Entry'!L$5="Logarithm",LN(0.001+'Advanced Entry'!L178),IF('Advanced Entry'!L$5="Exponential",EXP('Advanced Entry'!L178),'Advanced Entry'!L178)))-'Advanced Entry'!L$6)/('Advanced Entry'!L$7-'Advanced Entry'!L$6)),1))),"No data"))</f>
        <v/>
      </c>
      <c r="M178" s="17">
        <f>IF('Advanced Entry'!M178="","",IFERROR(MAX(0,MIN(10,ROUND(IF('Advanced Entry'!M$8="Decrease Risk",10-10*((IF('Advanced Entry'!M$5="Logarithm",LN(0.001+'Advanced Entry'!M178),IF('Advanced Entry'!M$5="Exponential",EXP('Advanced Entry'!M178),'Advanced Entry'!M178)))-'Advanced Entry'!M$6)/('Advanced Entry'!M$7-'Advanced Entry'!M$6),10*((IF('Advanced Entry'!M$5="Logarithm",LN(0.001+'Advanced Entry'!M178),IF('Advanced Entry'!M$5="Exponential",EXP('Advanced Entry'!M178),'Advanced Entry'!M178)))-'Advanced Entry'!M$6)/('Advanced Entry'!M$7-'Advanced Entry'!M$6)),1))),"No data"))</f>
        <v/>
      </c>
      <c r="N178" s="17">
        <f>IF('Advanced Entry'!N178="","",IFERROR(MAX(0,MIN(10,ROUND(IF('Advanced Entry'!N$8="Decrease Risk",10-10*((IF('Advanced Entry'!N$5="Logarithm",LN(0.001+'Advanced Entry'!N178),IF('Advanced Entry'!N$5="Exponential",EXP('Advanced Entry'!N178),'Advanced Entry'!N178)))-'Advanced Entry'!N$6)/('Advanced Entry'!N$7-'Advanced Entry'!N$6),10*((IF('Advanced Entry'!N$5="Logarithm",LN(0.001+'Advanced Entry'!N178),IF('Advanced Entry'!N$5="Exponential",EXP('Advanced Entry'!N178),'Advanced Entry'!N178)))-'Advanced Entry'!N$6)/('Advanced Entry'!N$7-'Advanced Entry'!N$6)),1))),"No data"))</f>
        <v/>
      </c>
      <c r="O178" s="17">
        <f>IF('Advanced Entry'!O178="","",IFERROR(MAX(0,MIN(10,ROUND(IF('Advanced Entry'!O$8="Decrease Risk",10-10*((IF('Advanced Entry'!O$5="Logarithm",LN(0.001+'Advanced Entry'!O178),IF('Advanced Entry'!O$5="Exponential",EXP('Advanced Entry'!O178),'Advanced Entry'!O178)))-'Advanced Entry'!O$6)/('Advanced Entry'!O$7-'Advanced Entry'!O$6),10*((IF('Advanced Entry'!O$5="Logarithm",LN(0.001+'Advanced Entry'!O178),IF('Advanced Entry'!O$5="Exponential",EXP('Advanced Entry'!O178),'Advanced Entry'!O178)))-'Advanced Entry'!O$6)/('Advanced Entry'!O$7-'Advanced Entry'!O$6)),1))),"No data"))</f>
        <v/>
      </c>
      <c r="P178" s="17">
        <f>IF('Advanced Entry'!P178="","",IFERROR(MAX(0,MIN(10,ROUND(IF('Advanced Entry'!P$8="Decrease Risk",10-10*((IF('Advanced Entry'!P$5="Logarithm",LN(0.001+'Advanced Entry'!P178),IF('Advanced Entry'!P$5="Exponential",EXP('Advanced Entry'!P178),'Advanced Entry'!P178)))-'Advanced Entry'!P$6)/('Advanced Entry'!P$7-'Advanced Entry'!P$6),10*((IF('Advanced Entry'!P$5="Logarithm",LN(0.001+'Advanced Entry'!P178),IF('Advanced Entry'!P$5="Exponential",EXP('Advanced Entry'!P178),'Advanced Entry'!P178)))-'Advanced Entry'!P$6)/('Advanced Entry'!P$7-'Advanced Entry'!P$6)),1))),"No data"))</f>
        <v/>
      </c>
      <c r="Q178" s="17">
        <f>IF('Advanced Entry'!Q178="","",IFERROR(MAX(0,MIN(10,ROUND(IF('Advanced Entry'!Q$8="Decrease Risk",10-10*((IF('Advanced Entry'!Q$5="Logarithm",LN(0.001+'Advanced Entry'!Q178),IF('Advanced Entry'!Q$5="Exponential",EXP('Advanced Entry'!Q178),'Advanced Entry'!Q178)))-'Advanced Entry'!Q$6)/('Advanced Entry'!Q$7-'Advanced Entry'!Q$6),10*((IF('Advanced Entry'!Q$5="Logarithm",LN(0.001+'Advanced Entry'!Q178),IF('Advanced Entry'!Q$5="Exponential",EXP('Advanced Entry'!Q178),'Advanced Entry'!Q178)))-'Advanced Entry'!Q$6)/('Advanced Entry'!Q$7-'Advanced Entry'!Q$6)),1))),"No data"))</f>
        <v/>
      </c>
      <c r="R178" s="17">
        <f>IF('Advanced Entry'!R178="","",IFERROR(MAX(0,MIN(10,ROUND(IF('Advanced Entry'!R$8="Decrease Risk",10-10*((IF('Advanced Entry'!R$5="Logarithm",LN(0.001+'Advanced Entry'!R178),IF('Advanced Entry'!R$5="Exponential",EXP('Advanced Entry'!R178),'Advanced Entry'!R178)))-'Advanced Entry'!R$6)/('Advanced Entry'!R$7-'Advanced Entry'!R$6),10*((IF('Advanced Entry'!R$5="Logarithm",LN(0.001+'Advanced Entry'!R178),IF('Advanced Entry'!R$5="Exponential",EXP('Advanced Entry'!R178),'Advanced Entry'!R178)))-'Advanced Entry'!R$6)/('Advanced Entry'!R$7-'Advanced Entry'!R$6)),1))),"No data"))</f>
        <v/>
      </c>
      <c r="S178" s="17">
        <f>IF('Advanced Entry'!S178="","",IFERROR(MAX(0,MIN(10,ROUND(IF('Advanced Entry'!S$8="Decrease Risk",10-10*((IF('Advanced Entry'!S$5="Logarithm",LN(0.001+'Advanced Entry'!S178),IF('Advanced Entry'!S$5="Exponential",EXP('Advanced Entry'!S178),'Advanced Entry'!S178)))-'Advanced Entry'!S$6)/('Advanced Entry'!S$7-'Advanced Entry'!S$6),10*((IF('Advanced Entry'!S$5="Logarithm",LN(0.001+'Advanced Entry'!S178),IF('Advanced Entry'!S$5="Exponential",EXP('Advanced Entry'!S178),'Advanced Entry'!S178)))-'Advanced Entry'!S$6)/('Advanced Entry'!S$7-'Advanced Entry'!S$6)),1))),"No data"))</f>
        <v/>
      </c>
      <c r="T178" s="17">
        <f>IF('Advanced Entry'!T178="","",IFERROR(MAX(0,MIN(10,ROUND(IF('Advanced Entry'!T$8="Decrease Risk",10-10*((IF('Advanced Entry'!T$5="Logarithm",LN(0.001+'Advanced Entry'!T178),IF('Advanced Entry'!T$5="Exponential",EXP('Advanced Entry'!T178),'Advanced Entry'!T178)))-'Advanced Entry'!T$6)/('Advanced Entry'!T$7-'Advanced Entry'!T$6),10*((IF('Advanced Entry'!T$5="Logarithm",LN(0.001+'Advanced Entry'!T178),IF('Advanced Entry'!T$5="Exponential",EXP('Advanced Entry'!T178),'Advanced Entry'!T178)))-'Advanced Entry'!T$6)/('Advanced Entry'!T$7-'Advanced Entry'!T$6)),1))),"No data"))</f>
        <v/>
      </c>
      <c r="U178" s="17">
        <f>IF('Advanced Entry'!U178="","",IFERROR(MAX(0,MIN(10,ROUND(IF('Advanced Entry'!U$8="Decrease Risk",10-10*((IF('Advanced Entry'!U$5="Logarithm",LN(0.001+'Advanced Entry'!U178),IF('Advanced Entry'!U$5="Exponential",EXP('Advanced Entry'!U178),'Advanced Entry'!U178)))-'Advanced Entry'!U$6)/('Advanced Entry'!U$7-'Advanced Entry'!U$6),10*((IF('Advanced Entry'!U$5="Logarithm",LN(0.001+'Advanced Entry'!U178),IF('Advanced Entry'!U$5="Exponential",EXP('Advanced Entry'!U178),'Advanced Entry'!U178)))-'Advanced Entry'!U$6)/('Advanced Entry'!U$7-'Advanced Entry'!U$6)),1))),"No data"))</f>
        <v/>
      </c>
      <c r="V178" s="17">
        <f>IF('Advanced Entry'!V178="","",IFERROR(MAX(0,MIN(10,ROUND(IF('Advanced Entry'!V$8="Decrease Risk",10-10*((IF('Advanced Entry'!V$5="Logarithm",LN(0.001+'Advanced Entry'!V178),IF('Advanced Entry'!V$5="Exponential",EXP('Advanced Entry'!V178),'Advanced Entry'!V178)))-'Advanced Entry'!V$6)/('Advanced Entry'!V$7-'Advanced Entry'!V$6),10*((IF('Advanced Entry'!V$5="Logarithm",LN(0.001+'Advanced Entry'!V178),IF('Advanced Entry'!V$5="Exponential",EXP('Advanced Entry'!V178),'Advanced Entry'!V178)))-'Advanced Entry'!V$6)/('Advanced Entry'!V$7-'Advanced Entry'!V$6)),1))),"No data"))</f>
        <v/>
      </c>
      <c r="W178" s="17">
        <f>IF('Advanced Entry'!W178="","",IFERROR(MAX(0,MIN(10,ROUND(IF('Advanced Entry'!W$8="Decrease Risk",10-10*((IF('Advanced Entry'!W$5="Logarithm",LN(0.001+'Advanced Entry'!W178),IF('Advanced Entry'!W$5="Exponential",EXP('Advanced Entry'!W178),'Advanced Entry'!W178)))-'Advanced Entry'!W$6)/('Advanced Entry'!W$7-'Advanced Entry'!W$6),10*((IF('Advanced Entry'!W$5="Logarithm",LN(0.001+'Advanced Entry'!W178),IF('Advanced Entry'!W$5="Exponential",EXP('Advanced Entry'!W178),'Advanced Entry'!W178)))-'Advanced Entry'!W$6)/('Advanced Entry'!W$7-'Advanced Entry'!W$6)),1))),"No data"))</f>
        <v/>
      </c>
      <c r="X178" s="17">
        <f>IF('Advanced Entry'!X178="","",IFERROR(MAX(0,MIN(10,ROUND(IF('Advanced Entry'!X$8="Decrease Risk",10-10*((IF('Advanced Entry'!X$5="Logarithm",LN(0.001+'Advanced Entry'!X178),IF('Advanced Entry'!X$5="Exponential",EXP('Advanced Entry'!X178),'Advanced Entry'!X178)))-'Advanced Entry'!X$6)/('Advanced Entry'!X$7-'Advanced Entry'!X$6),10*((IF('Advanced Entry'!X$5="Logarithm",LN(0.001+'Advanced Entry'!X178),IF('Advanced Entry'!X$5="Exponential",EXP('Advanced Entry'!X178),'Advanced Entry'!X178)))-'Advanced Entry'!X$6)/('Advanced Entry'!X$7-'Advanced Entry'!X$6)),1))),"No data"))</f>
        <v/>
      </c>
      <c r="Y178" s="17">
        <f>IF('Advanced Entry'!Y178="","",IFERROR(MAX(0,MIN(10,ROUND(IF('Advanced Entry'!Y$8="Decrease Risk",10-10*((IF('Advanced Entry'!Y$5="Logarithm",LN(0.001+'Advanced Entry'!Y178),IF('Advanced Entry'!Y$5="Exponential",EXP('Advanced Entry'!Y178),'Advanced Entry'!Y178)))-'Advanced Entry'!Y$6)/('Advanced Entry'!Y$7-'Advanced Entry'!Y$6),10*((IF('Advanced Entry'!Y$5="Logarithm",LN(0.001+'Advanced Entry'!Y178),IF('Advanced Entry'!Y$5="Exponential",EXP('Advanced Entry'!Y178),'Advanced Entry'!Y178)))-'Advanced Entry'!Y$6)/('Advanced Entry'!Y$7-'Advanced Entry'!Y$6)),1))),"No data"))</f>
        <v/>
      </c>
      <c r="Z178" s="17">
        <f>IF('Advanced Entry'!Z178="","",IFERROR(MAX(0,MIN(10,ROUND(IF('Advanced Entry'!Z$8="Decrease Risk",10-10*((IF('Advanced Entry'!Z$5="Logarithm",LN(0.001+'Advanced Entry'!Z178),IF('Advanced Entry'!Z$5="Exponential",EXP('Advanced Entry'!Z178),'Advanced Entry'!Z178)))-'Advanced Entry'!Z$6)/('Advanced Entry'!Z$7-'Advanced Entry'!Z$6),10*((IF('Advanced Entry'!Z$5="Logarithm",LN(0.001+'Advanced Entry'!Z178),IF('Advanced Entry'!Z$5="Exponential",EXP('Advanced Entry'!Z178),'Advanced Entry'!Z178)))-'Advanced Entry'!Z$6)/('Advanced Entry'!Z$7-'Advanced Entry'!Z$6)),1))),"No data"))</f>
        <v/>
      </c>
      <c r="AA178" s="17">
        <f>IF('Advanced Entry'!AA178="","",IFERROR(MAX(0,MIN(10,ROUND(IF('Advanced Entry'!AA$8="Decrease Risk",10-10*((IF('Advanced Entry'!AA$5="Logarithm",LN(0.001+'Advanced Entry'!AA178),IF('Advanced Entry'!AA$5="Exponential",EXP('Advanced Entry'!AA178),'Advanced Entry'!AA178)))-'Advanced Entry'!AA$6)/('Advanced Entry'!AA$7-'Advanced Entry'!AA$6),10*((IF('Advanced Entry'!AA$5="Logarithm",LN(0.001+'Advanced Entry'!AA178),IF('Advanced Entry'!AA$5="Exponential",EXP('Advanced Entry'!AA178),'Advanced Entry'!AA178)))-'Advanced Entry'!AA$6)/('Advanced Entry'!AA$7-'Advanced Entry'!AA$6)),1))),"No data"))</f>
        <v/>
      </c>
      <c r="AB178" s="17">
        <f>IF('Advanced Entry'!AB178="","",IFERROR(MAX(0,MIN(10,ROUND(IF('Advanced Entry'!AB$8="Decrease Risk",10-10*((IF('Advanced Entry'!AB$5="Logarithm",LN(0.001+'Advanced Entry'!AB178),IF('Advanced Entry'!AB$5="Exponential",EXP('Advanced Entry'!AB178),'Advanced Entry'!AB178)))-'Advanced Entry'!AB$6)/('Advanced Entry'!AB$7-'Advanced Entry'!AB$6),10*((IF('Advanced Entry'!AB$5="Logarithm",LN(0.001+'Advanced Entry'!AB178),IF('Advanced Entry'!AB$5="Exponential",EXP('Advanced Entry'!AB178),'Advanced Entry'!AB178)))-'Advanced Entry'!AB$6)/('Advanced Entry'!AB$7-'Advanced Entry'!AB$6)),1))),"No data"))</f>
        <v/>
      </c>
    </row>
    <row r="179">
      <c r="A179" t="inlineStr">
        <is>
          <t>Singida</t>
        </is>
      </c>
      <c r="B179" t="inlineStr">
        <is>
          <t>Mkalama District</t>
        </is>
      </c>
      <c r="C179" t="inlineStr">
        <is>
          <t>C098</t>
        </is>
      </c>
      <c r="D179" s="17">
        <f>IF('Advanced Entry'!D179="","",IFERROR(MAX(0,MIN(10,ROUND(IF('Advanced Entry'!D$8="Decrease Risk",10-10*((IF('Advanced Entry'!D$5="Logarithm",LN(0.001+'Advanced Entry'!D179),IF('Advanced Entry'!D$5="Exponential",EXP('Advanced Entry'!D179),'Advanced Entry'!D179)))-'Advanced Entry'!D$6)/('Advanced Entry'!D$7-'Advanced Entry'!D$6),10*((IF('Advanced Entry'!D$5="Logarithm",LN(0.001+'Advanced Entry'!D179),IF('Advanced Entry'!D$5="Exponential",EXP('Advanced Entry'!D179),'Advanced Entry'!D179)))-'Advanced Entry'!D$6)/('Advanced Entry'!D$7-'Advanced Entry'!D$6)),1))),"No data"))</f>
        <v/>
      </c>
      <c r="E179" s="17">
        <f>IF('Advanced Entry'!E179="","",IFERROR(MAX(0,MIN(10,ROUND(IF('Advanced Entry'!E$8="Decrease Risk",10-10*((IF('Advanced Entry'!E$5="Logarithm",LN(0.001+'Advanced Entry'!E179),IF('Advanced Entry'!E$5="Exponential",EXP('Advanced Entry'!E179),'Advanced Entry'!E179)))-'Advanced Entry'!E$6)/('Advanced Entry'!E$7-'Advanced Entry'!E$6),10*((IF('Advanced Entry'!E$5="Logarithm",LN(0.001+'Advanced Entry'!E179),IF('Advanced Entry'!E$5="Exponential",EXP('Advanced Entry'!E179),'Advanced Entry'!E179)))-'Advanced Entry'!E$6)/('Advanced Entry'!E$7-'Advanced Entry'!E$6)),1))),"No data"))</f>
        <v/>
      </c>
      <c r="F179" s="17">
        <f>IF('Advanced Entry'!F179="","",IFERROR(MAX(0,MIN(10,ROUND(IF('Advanced Entry'!F$8="Decrease Risk",10-10*((IF('Advanced Entry'!F$5="Logarithm",LN(0.001+'Advanced Entry'!F179),IF('Advanced Entry'!F$5="Exponential",EXP('Advanced Entry'!F179),'Advanced Entry'!F179)))-'Advanced Entry'!F$6)/('Advanced Entry'!F$7-'Advanced Entry'!F$6),10*((IF('Advanced Entry'!F$5="Logarithm",LN(0.001+'Advanced Entry'!F179),IF('Advanced Entry'!F$5="Exponential",EXP('Advanced Entry'!F179),'Advanced Entry'!F179)))-'Advanced Entry'!F$6)/('Advanced Entry'!F$7-'Advanced Entry'!F$6)),1))),"No data"))</f>
        <v/>
      </c>
      <c r="G179" s="17">
        <f>IF('Advanced Entry'!G179="","",IFERROR(MAX(0,MIN(10,ROUND(IF('Advanced Entry'!G$8="Decrease Risk",10-10*((IF('Advanced Entry'!G$5="Logarithm",LN(0.001+'Advanced Entry'!G179),IF('Advanced Entry'!G$5="Exponential",EXP('Advanced Entry'!G179),'Advanced Entry'!G179)))-'Advanced Entry'!G$6)/('Advanced Entry'!G$7-'Advanced Entry'!G$6),10*((IF('Advanced Entry'!G$5="Logarithm",LN(0.001+'Advanced Entry'!G179),IF('Advanced Entry'!G$5="Exponential",EXP('Advanced Entry'!G179),'Advanced Entry'!G179)))-'Advanced Entry'!G$6)/('Advanced Entry'!G$7-'Advanced Entry'!G$6)),1))),"No data"))</f>
        <v/>
      </c>
      <c r="H179" s="17">
        <f>IF('Advanced Entry'!H179="","",IFERROR(MAX(0,MIN(10,ROUND(IF('Advanced Entry'!H$8="Decrease Risk",10-10*((IF('Advanced Entry'!H$5="Logarithm",LN(0.001+'Advanced Entry'!H179),IF('Advanced Entry'!H$5="Exponential",EXP('Advanced Entry'!H179),'Advanced Entry'!H179)))-'Advanced Entry'!H$6)/('Advanced Entry'!H$7-'Advanced Entry'!H$6),10*((IF('Advanced Entry'!H$5="Logarithm",LN(0.001+'Advanced Entry'!H179),IF('Advanced Entry'!H$5="Exponential",EXP('Advanced Entry'!H179),'Advanced Entry'!H179)))-'Advanced Entry'!H$6)/('Advanced Entry'!H$7-'Advanced Entry'!H$6)),1))),"No data"))</f>
        <v/>
      </c>
      <c r="I179" s="17">
        <f>IF('Advanced Entry'!I179="","",IFERROR(MAX(0,MIN(10,ROUND(IF('Advanced Entry'!I$8="Decrease Risk",10-10*((IF('Advanced Entry'!I$5="Logarithm",LN(0.001+'Advanced Entry'!I179),IF('Advanced Entry'!I$5="Exponential",EXP('Advanced Entry'!I179),'Advanced Entry'!I179)))-'Advanced Entry'!I$6)/('Advanced Entry'!I$7-'Advanced Entry'!I$6),10*((IF('Advanced Entry'!I$5="Logarithm",LN(0.001+'Advanced Entry'!I179),IF('Advanced Entry'!I$5="Exponential",EXP('Advanced Entry'!I179),'Advanced Entry'!I179)))-'Advanced Entry'!I$6)/('Advanced Entry'!I$7-'Advanced Entry'!I$6)),1))),"No data"))</f>
        <v/>
      </c>
      <c r="J179" s="17">
        <f>IF('Advanced Entry'!J179="","",IFERROR(MAX(0,MIN(10,ROUND(IF('Advanced Entry'!J$8="Decrease Risk",10-10*((IF('Advanced Entry'!J$5="Logarithm",LN(0.001+'Advanced Entry'!J179),IF('Advanced Entry'!J$5="Exponential",EXP('Advanced Entry'!J179),'Advanced Entry'!J179)))-'Advanced Entry'!J$6)/('Advanced Entry'!J$7-'Advanced Entry'!J$6),10*((IF('Advanced Entry'!J$5="Logarithm",LN(0.001+'Advanced Entry'!J179),IF('Advanced Entry'!J$5="Exponential",EXP('Advanced Entry'!J179),'Advanced Entry'!J179)))-'Advanced Entry'!J$6)/('Advanced Entry'!J$7-'Advanced Entry'!J$6)),1))),"No data"))</f>
        <v/>
      </c>
      <c r="K179" s="17">
        <f>IF('Advanced Entry'!K179="","",IFERROR(MAX(0,MIN(10,ROUND(IF('Advanced Entry'!K$8="Decrease Risk",10-10*((IF('Advanced Entry'!K$5="Logarithm",LN(0.001+'Advanced Entry'!K179),IF('Advanced Entry'!K$5="Exponential",EXP('Advanced Entry'!K179),'Advanced Entry'!K179)))-'Advanced Entry'!K$6)/('Advanced Entry'!K$7-'Advanced Entry'!K$6),10*((IF('Advanced Entry'!K$5="Logarithm",LN(0.001+'Advanced Entry'!K179),IF('Advanced Entry'!K$5="Exponential",EXP('Advanced Entry'!K179),'Advanced Entry'!K179)))-'Advanced Entry'!K$6)/('Advanced Entry'!K$7-'Advanced Entry'!K$6)),1))),"No data"))</f>
        <v/>
      </c>
      <c r="L179" s="17">
        <f>IF('Advanced Entry'!L179="","",IFERROR(MAX(0,MIN(10,ROUND(IF('Advanced Entry'!L$8="Decrease Risk",10-10*((IF('Advanced Entry'!L$5="Logarithm",LN(0.001+'Advanced Entry'!L179),IF('Advanced Entry'!L$5="Exponential",EXP('Advanced Entry'!L179),'Advanced Entry'!L179)))-'Advanced Entry'!L$6)/('Advanced Entry'!L$7-'Advanced Entry'!L$6),10*((IF('Advanced Entry'!L$5="Logarithm",LN(0.001+'Advanced Entry'!L179),IF('Advanced Entry'!L$5="Exponential",EXP('Advanced Entry'!L179),'Advanced Entry'!L179)))-'Advanced Entry'!L$6)/('Advanced Entry'!L$7-'Advanced Entry'!L$6)),1))),"No data"))</f>
        <v/>
      </c>
      <c r="M179" s="17">
        <f>IF('Advanced Entry'!M179="","",IFERROR(MAX(0,MIN(10,ROUND(IF('Advanced Entry'!M$8="Decrease Risk",10-10*((IF('Advanced Entry'!M$5="Logarithm",LN(0.001+'Advanced Entry'!M179),IF('Advanced Entry'!M$5="Exponential",EXP('Advanced Entry'!M179),'Advanced Entry'!M179)))-'Advanced Entry'!M$6)/('Advanced Entry'!M$7-'Advanced Entry'!M$6),10*((IF('Advanced Entry'!M$5="Logarithm",LN(0.001+'Advanced Entry'!M179),IF('Advanced Entry'!M$5="Exponential",EXP('Advanced Entry'!M179),'Advanced Entry'!M179)))-'Advanced Entry'!M$6)/('Advanced Entry'!M$7-'Advanced Entry'!M$6)),1))),"No data"))</f>
        <v/>
      </c>
      <c r="N179" s="17">
        <f>IF('Advanced Entry'!N179="","",IFERROR(MAX(0,MIN(10,ROUND(IF('Advanced Entry'!N$8="Decrease Risk",10-10*((IF('Advanced Entry'!N$5="Logarithm",LN(0.001+'Advanced Entry'!N179),IF('Advanced Entry'!N$5="Exponential",EXP('Advanced Entry'!N179),'Advanced Entry'!N179)))-'Advanced Entry'!N$6)/('Advanced Entry'!N$7-'Advanced Entry'!N$6),10*((IF('Advanced Entry'!N$5="Logarithm",LN(0.001+'Advanced Entry'!N179),IF('Advanced Entry'!N$5="Exponential",EXP('Advanced Entry'!N179),'Advanced Entry'!N179)))-'Advanced Entry'!N$6)/('Advanced Entry'!N$7-'Advanced Entry'!N$6)),1))),"No data"))</f>
        <v/>
      </c>
      <c r="O179" s="17">
        <f>IF('Advanced Entry'!O179="","",IFERROR(MAX(0,MIN(10,ROUND(IF('Advanced Entry'!O$8="Decrease Risk",10-10*((IF('Advanced Entry'!O$5="Logarithm",LN(0.001+'Advanced Entry'!O179),IF('Advanced Entry'!O$5="Exponential",EXP('Advanced Entry'!O179),'Advanced Entry'!O179)))-'Advanced Entry'!O$6)/('Advanced Entry'!O$7-'Advanced Entry'!O$6),10*((IF('Advanced Entry'!O$5="Logarithm",LN(0.001+'Advanced Entry'!O179),IF('Advanced Entry'!O$5="Exponential",EXP('Advanced Entry'!O179),'Advanced Entry'!O179)))-'Advanced Entry'!O$6)/('Advanced Entry'!O$7-'Advanced Entry'!O$6)),1))),"No data"))</f>
        <v/>
      </c>
      <c r="P179" s="17">
        <f>IF('Advanced Entry'!P179="","",IFERROR(MAX(0,MIN(10,ROUND(IF('Advanced Entry'!P$8="Decrease Risk",10-10*((IF('Advanced Entry'!P$5="Logarithm",LN(0.001+'Advanced Entry'!P179),IF('Advanced Entry'!P$5="Exponential",EXP('Advanced Entry'!P179),'Advanced Entry'!P179)))-'Advanced Entry'!P$6)/('Advanced Entry'!P$7-'Advanced Entry'!P$6),10*((IF('Advanced Entry'!P$5="Logarithm",LN(0.001+'Advanced Entry'!P179),IF('Advanced Entry'!P$5="Exponential",EXP('Advanced Entry'!P179),'Advanced Entry'!P179)))-'Advanced Entry'!P$6)/('Advanced Entry'!P$7-'Advanced Entry'!P$6)),1))),"No data"))</f>
        <v/>
      </c>
      <c r="Q179" s="17">
        <f>IF('Advanced Entry'!Q179="","",IFERROR(MAX(0,MIN(10,ROUND(IF('Advanced Entry'!Q$8="Decrease Risk",10-10*((IF('Advanced Entry'!Q$5="Logarithm",LN(0.001+'Advanced Entry'!Q179),IF('Advanced Entry'!Q$5="Exponential",EXP('Advanced Entry'!Q179),'Advanced Entry'!Q179)))-'Advanced Entry'!Q$6)/('Advanced Entry'!Q$7-'Advanced Entry'!Q$6),10*((IF('Advanced Entry'!Q$5="Logarithm",LN(0.001+'Advanced Entry'!Q179),IF('Advanced Entry'!Q$5="Exponential",EXP('Advanced Entry'!Q179),'Advanced Entry'!Q179)))-'Advanced Entry'!Q$6)/('Advanced Entry'!Q$7-'Advanced Entry'!Q$6)),1))),"No data"))</f>
        <v/>
      </c>
      <c r="R179" s="17">
        <f>IF('Advanced Entry'!R179="","",IFERROR(MAX(0,MIN(10,ROUND(IF('Advanced Entry'!R$8="Decrease Risk",10-10*((IF('Advanced Entry'!R$5="Logarithm",LN(0.001+'Advanced Entry'!R179),IF('Advanced Entry'!R$5="Exponential",EXP('Advanced Entry'!R179),'Advanced Entry'!R179)))-'Advanced Entry'!R$6)/('Advanced Entry'!R$7-'Advanced Entry'!R$6),10*((IF('Advanced Entry'!R$5="Logarithm",LN(0.001+'Advanced Entry'!R179),IF('Advanced Entry'!R$5="Exponential",EXP('Advanced Entry'!R179),'Advanced Entry'!R179)))-'Advanced Entry'!R$6)/('Advanced Entry'!R$7-'Advanced Entry'!R$6)),1))),"No data"))</f>
        <v/>
      </c>
      <c r="S179" s="17">
        <f>IF('Advanced Entry'!S179="","",IFERROR(MAX(0,MIN(10,ROUND(IF('Advanced Entry'!S$8="Decrease Risk",10-10*((IF('Advanced Entry'!S$5="Logarithm",LN(0.001+'Advanced Entry'!S179),IF('Advanced Entry'!S$5="Exponential",EXP('Advanced Entry'!S179),'Advanced Entry'!S179)))-'Advanced Entry'!S$6)/('Advanced Entry'!S$7-'Advanced Entry'!S$6),10*((IF('Advanced Entry'!S$5="Logarithm",LN(0.001+'Advanced Entry'!S179),IF('Advanced Entry'!S$5="Exponential",EXP('Advanced Entry'!S179),'Advanced Entry'!S179)))-'Advanced Entry'!S$6)/('Advanced Entry'!S$7-'Advanced Entry'!S$6)),1))),"No data"))</f>
        <v/>
      </c>
      <c r="T179" s="17">
        <f>IF('Advanced Entry'!T179="","",IFERROR(MAX(0,MIN(10,ROUND(IF('Advanced Entry'!T$8="Decrease Risk",10-10*((IF('Advanced Entry'!T$5="Logarithm",LN(0.001+'Advanced Entry'!T179),IF('Advanced Entry'!T$5="Exponential",EXP('Advanced Entry'!T179),'Advanced Entry'!T179)))-'Advanced Entry'!T$6)/('Advanced Entry'!T$7-'Advanced Entry'!T$6),10*((IF('Advanced Entry'!T$5="Logarithm",LN(0.001+'Advanced Entry'!T179),IF('Advanced Entry'!T$5="Exponential",EXP('Advanced Entry'!T179),'Advanced Entry'!T179)))-'Advanced Entry'!T$6)/('Advanced Entry'!T$7-'Advanced Entry'!T$6)),1))),"No data"))</f>
        <v/>
      </c>
      <c r="U179" s="17">
        <f>IF('Advanced Entry'!U179="","",IFERROR(MAX(0,MIN(10,ROUND(IF('Advanced Entry'!U$8="Decrease Risk",10-10*((IF('Advanced Entry'!U$5="Logarithm",LN(0.001+'Advanced Entry'!U179),IF('Advanced Entry'!U$5="Exponential",EXP('Advanced Entry'!U179),'Advanced Entry'!U179)))-'Advanced Entry'!U$6)/('Advanced Entry'!U$7-'Advanced Entry'!U$6),10*((IF('Advanced Entry'!U$5="Logarithm",LN(0.001+'Advanced Entry'!U179),IF('Advanced Entry'!U$5="Exponential",EXP('Advanced Entry'!U179),'Advanced Entry'!U179)))-'Advanced Entry'!U$6)/('Advanced Entry'!U$7-'Advanced Entry'!U$6)),1))),"No data"))</f>
        <v/>
      </c>
      <c r="V179" s="17">
        <f>IF('Advanced Entry'!V179="","",IFERROR(MAX(0,MIN(10,ROUND(IF('Advanced Entry'!V$8="Decrease Risk",10-10*((IF('Advanced Entry'!V$5="Logarithm",LN(0.001+'Advanced Entry'!V179),IF('Advanced Entry'!V$5="Exponential",EXP('Advanced Entry'!V179),'Advanced Entry'!V179)))-'Advanced Entry'!V$6)/('Advanced Entry'!V$7-'Advanced Entry'!V$6),10*((IF('Advanced Entry'!V$5="Logarithm",LN(0.001+'Advanced Entry'!V179),IF('Advanced Entry'!V$5="Exponential",EXP('Advanced Entry'!V179),'Advanced Entry'!V179)))-'Advanced Entry'!V$6)/('Advanced Entry'!V$7-'Advanced Entry'!V$6)),1))),"No data"))</f>
        <v/>
      </c>
      <c r="W179" s="17">
        <f>IF('Advanced Entry'!W179="","",IFERROR(MAX(0,MIN(10,ROUND(IF('Advanced Entry'!W$8="Decrease Risk",10-10*((IF('Advanced Entry'!W$5="Logarithm",LN(0.001+'Advanced Entry'!W179),IF('Advanced Entry'!W$5="Exponential",EXP('Advanced Entry'!W179),'Advanced Entry'!W179)))-'Advanced Entry'!W$6)/('Advanced Entry'!W$7-'Advanced Entry'!W$6),10*((IF('Advanced Entry'!W$5="Logarithm",LN(0.001+'Advanced Entry'!W179),IF('Advanced Entry'!W$5="Exponential",EXP('Advanced Entry'!W179),'Advanced Entry'!W179)))-'Advanced Entry'!W$6)/('Advanced Entry'!W$7-'Advanced Entry'!W$6)),1))),"No data"))</f>
        <v/>
      </c>
      <c r="X179" s="17">
        <f>IF('Advanced Entry'!X179="","",IFERROR(MAX(0,MIN(10,ROUND(IF('Advanced Entry'!X$8="Decrease Risk",10-10*((IF('Advanced Entry'!X$5="Logarithm",LN(0.001+'Advanced Entry'!X179),IF('Advanced Entry'!X$5="Exponential",EXP('Advanced Entry'!X179),'Advanced Entry'!X179)))-'Advanced Entry'!X$6)/('Advanced Entry'!X$7-'Advanced Entry'!X$6),10*((IF('Advanced Entry'!X$5="Logarithm",LN(0.001+'Advanced Entry'!X179),IF('Advanced Entry'!X$5="Exponential",EXP('Advanced Entry'!X179),'Advanced Entry'!X179)))-'Advanced Entry'!X$6)/('Advanced Entry'!X$7-'Advanced Entry'!X$6)),1))),"No data"))</f>
        <v/>
      </c>
      <c r="Y179" s="17">
        <f>IF('Advanced Entry'!Y179="","",IFERROR(MAX(0,MIN(10,ROUND(IF('Advanced Entry'!Y$8="Decrease Risk",10-10*((IF('Advanced Entry'!Y$5="Logarithm",LN(0.001+'Advanced Entry'!Y179),IF('Advanced Entry'!Y$5="Exponential",EXP('Advanced Entry'!Y179),'Advanced Entry'!Y179)))-'Advanced Entry'!Y$6)/('Advanced Entry'!Y$7-'Advanced Entry'!Y$6),10*((IF('Advanced Entry'!Y$5="Logarithm",LN(0.001+'Advanced Entry'!Y179),IF('Advanced Entry'!Y$5="Exponential",EXP('Advanced Entry'!Y179),'Advanced Entry'!Y179)))-'Advanced Entry'!Y$6)/('Advanced Entry'!Y$7-'Advanced Entry'!Y$6)),1))),"No data"))</f>
        <v/>
      </c>
      <c r="Z179" s="17">
        <f>IF('Advanced Entry'!Z179="","",IFERROR(MAX(0,MIN(10,ROUND(IF('Advanced Entry'!Z$8="Decrease Risk",10-10*((IF('Advanced Entry'!Z$5="Logarithm",LN(0.001+'Advanced Entry'!Z179),IF('Advanced Entry'!Z$5="Exponential",EXP('Advanced Entry'!Z179),'Advanced Entry'!Z179)))-'Advanced Entry'!Z$6)/('Advanced Entry'!Z$7-'Advanced Entry'!Z$6),10*((IF('Advanced Entry'!Z$5="Logarithm",LN(0.001+'Advanced Entry'!Z179),IF('Advanced Entry'!Z$5="Exponential",EXP('Advanced Entry'!Z179),'Advanced Entry'!Z179)))-'Advanced Entry'!Z$6)/('Advanced Entry'!Z$7-'Advanced Entry'!Z$6)),1))),"No data"))</f>
        <v/>
      </c>
      <c r="AA179" s="17">
        <f>IF('Advanced Entry'!AA179="","",IFERROR(MAX(0,MIN(10,ROUND(IF('Advanced Entry'!AA$8="Decrease Risk",10-10*((IF('Advanced Entry'!AA$5="Logarithm",LN(0.001+'Advanced Entry'!AA179),IF('Advanced Entry'!AA$5="Exponential",EXP('Advanced Entry'!AA179),'Advanced Entry'!AA179)))-'Advanced Entry'!AA$6)/('Advanced Entry'!AA$7-'Advanced Entry'!AA$6),10*((IF('Advanced Entry'!AA$5="Logarithm",LN(0.001+'Advanced Entry'!AA179),IF('Advanced Entry'!AA$5="Exponential",EXP('Advanced Entry'!AA179),'Advanced Entry'!AA179)))-'Advanced Entry'!AA$6)/('Advanced Entry'!AA$7-'Advanced Entry'!AA$6)),1))),"No data"))</f>
        <v/>
      </c>
      <c r="AB179" s="17">
        <f>IF('Advanced Entry'!AB179="","",IFERROR(MAX(0,MIN(10,ROUND(IF('Advanced Entry'!AB$8="Decrease Risk",10-10*((IF('Advanced Entry'!AB$5="Logarithm",LN(0.001+'Advanced Entry'!AB179),IF('Advanced Entry'!AB$5="Exponential",EXP('Advanced Entry'!AB179),'Advanced Entry'!AB179)))-'Advanced Entry'!AB$6)/('Advanced Entry'!AB$7-'Advanced Entry'!AB$6),10*((IF('Advanced Entry'!AB$5="Logarithm",LN(0.001+'Advanced Entry'!AB179),IF('Advanced Entry'!AB$5="Exponential",EXP('Advanced Entry'!AB179),'Advanced Entry'!AB179)))-'Advanced Entry'!AB$6)/('Advanced Entry'!AB$7-'Advanced Entry'!AB$6)),1))),"No data"))</f>
        <v/>
      </c>
    </row>
    <row r="180">
      <c r="A180" t="inlineStr">
        <is>
          <t>Singida</t>
        </is>
      </c>
      <c r="B180" t="inlineStr">
        <is>
          <t>Singida District</t>
        </is>
      </c>
      <c r="C180" t="inlineStr">
        <is>
          <t>C093</t>
        </is>
      </c>
      <c r="D180" s="17">
        <f>IF('Advanced Entry'!D180="","",IFERROR(MAX(0,MIN(10,ROUND(IF('Advanced Entry'!D$8="Decrease Risk",10-10*((IF('Advanced Entry'!D$5="Logarithm",LN(0.001+'Advanced Entry'!D180),IF('Advanced Entry'!D$5="Exponential",EXP('Advanced Entry'!D180),'Advanced Entry'!D180)))-'Advanced Entry'!D$6)/('Advanced Entry'!D$7-'Advanced Entry'!D$6),10*((IF('Advanced Entry'!D$5="Logarithm",LN(0.001+'Advanced Entry'!D180),IF('Advanced Entry'!D$5="Exponential",EXP('Advanced Entry'!D180),'Advanced Entry'!D180)))-'Advanced Entry'!D$6)/('Advanced Entry'!D$7-'Advanced Entry'!D$6)),1))),"No data"))</f>
        <v/>
      </c>
      <c r="E180" s="17">
        <f>IF('Advanced Entry'!E180="","",IFERROR(MAX(0,MIN(10,ROUND(IF('Advanced Entry'!E$8="Decrease Risk",10-10*((IF('Advanced Entry'!E$5="Logarithm",LN(0.001+'Advanced Entry'!E180),IF('Advanced Entry'!E$5="Exponential",EXP('Advanced Entry'!E180),'Advanced Entry'!E180)))-'Advanced Entry'!E$6)/('Advanced Entry'!E$7-'Advanced Entry'!E$6),10*((IF('Advanced Entry'!E$5="Logarithm",LN(0.001+'Advanced Entry'!E180),IF('Advanced Entry'!E$5="Exponential",EXP('Advanced Entry'!E180),'Advanced Entry'!E180)))-'Advanced Entry'!E$6)/('Advanced Entry'!E$7-'Advanced Entry'!E$6)),1))),"No data"))</f>
        <v/>
      </c>
      <c r="F180" s="17">
        <f>IF('Advanced Entry'!F180="","",IFERROR(MAX(0,MIN(10,ROUND(IF('Advanced Entry'!F$8="Decrease Risk",10-10*((IF('Advanced Entry'!F$5="Logarithm",LN(0.001+'Advanced Entry'!F180),IF('Advanced Entry'!F$5="Exponential",EXP('Advanced Entry'!F180),'Advanced Entry'!F180)))-'Advanced Entry'!F$6)/('Advanced Entry'!F$7-'Advanced Entry'!F$6),10*((IF('Advanced Entry'!F$5="Logarithm",LN(0.001+'Advanced Entry'!F180),IF('Advanced Entry'!F$5="Exponential",EXP('Advanced Entry'!F180),'Advanced Entry'!F180)))-'Advanced Entry'!F$6)/('Advanced Entry'!F$7-'Advanced Entry'!F$6)),1))),"No data"))</f>
        <v/>
      </c>
      <c r="G180" s="17">
        <f>IF('Advanced Entry'!G180="","",IFERROR(MAX(0,MIN(10,ROUND(IF('Advanced Entry'!G$8="Decrease Risk",10-10*((IF('Advanced Entry'!G$5="Logarithm",LN(0.001+'Advanced Entry'!G180),IF('Advanced Entry'!G$5="Exponential",EXP('Advanced Entry'!G180),'Advanced Entry'!G180)))-'Advanced Entry'!G$6)/('Advanced Entry'!G$7-'Advanced Entry'!G$6),10*((IF('Advanced Entry'!G$5="Logarithm",LN(0.001+'Advanced Entry'!G180),IF('Advanced Entry'!G$5="Exponential",EXP('Advanced Entry'!G180),'Advanced Entry'!G180)))-'Advanced Entry'!G$6)/('Advanced Entry'!G$7-'Advanced Entry'!G$6)),1))),"No data"))</f>
        <v/>
      </c>
      <c r="H180" s="17">
        <f>IF('Advanced Entry'!H180="","",IFERROR(MAX(0,MIN(10,ROUND(IF('Advanced Entry'!H$8="Decrease Risk",10-10*((IF('Advanced Entry'!H$5="Logarithm",LN(0.001+'Advanced Entry'!H180),IF('Advanced Entry'!H$5="Exponential",EXP('Advanced Entry'!H180),'Advanced Entry'!H180)))-'Advanced Entry'!H$6)/('Advanced Entry'!H$7-'Advanced Entry'!H$6),10*((IF('Advanced Entry'!H$5="Logarithm",LN(0.001+'Advanced Entry'!H180),IF('Advanced Entry'!H$5="Exponential",EXP('Advanced Entry'!H180),'Advanced Entry'!H180)))-'Advanced Entry'!H$6)/('Advanced Entry'!H$7-'Advanced Entry'!H$6)),1))),"No data"))</f>
        <v/>
      </c>
      <c r="I180" s="17">
        <f>IF('Advanced Entry'!I180="","",IFERROR(MAX(0,MIN(10,ROUND(IF('Advanced Entry'!I$8="Decrease Risk",10-10*((IF('Advanced Entry'!I$5="Logarithm",LN(0.001+'Advanced Entry'!I180),IF('Advanced Entry'!I$5="Exponential",EXP('Advanced Entry'!I180),'Advanced Entry'!I180)))-'Advanced Entry'!I$6)/('Advanced Entry'!I$7-'Advanced Entry'!I$6),10*((IF('Advanced Entry'!I$5="Logarithm",LN(0.001+'Advanced Entry'!I180),IF('Advanced Entry'!I$5="Exponential",EXP('Advanced Entry'!I180),'Advanced Entry'!I180)))-'Advanced Entry'!I$6)/('Advanced Entry'!I$7-'Advanced Entry'!I$6)),1))),"No data"))</f>
        <v/>
      </c>
      <c r="J180" s="17">
        <f>IF('Advanced Entry'!J180="","",IFERROR(MAX(0,MIN(10,ROUND(IF('Advanced Entry'!J$8="Decrease Risk",10-10*((IF('Advanced Entry'!J$5="Logarithm",LN(0.001+'Advanced Entry'!J180),IF('Advanced Entry'!J$5="Exponential",EXP('Advanced Entry'!J180),'Advanced Entry'!J180)))-'Advanced Entry'!J$6)/('Advanced Entry'!J$7-'Advanced Entry'!J$6),10*((IF('Advanced Entry'!J$5="Logarithm",LN(0.001+'Advanced Entry'!J180),IF('Advanced Entry'!J$5="Exponential",EXP('Advanced Entry'!J180),'Advanced Entry'!J180)))-'Advanced Entry'!J$6)/('Advanced Entry'!J$7-'Advanced Entry'!J$6)),1))),"No data"))</f>
        <v/>
      </c>
      <c r="K180" s="17">
        <f>IF('Advanced Entry'!K180="","",IFERROR(MAX(0,MIN(10,ROUND(IF('Advanced Entry'!K$8="Decrease Risk",10-10*((IF('Advanced Entry'!K$5="Logarithm",LN(0.001+'Advanced Entry'!K180),IF('Advanced Entry'!K$5="Exponential",EXP('Advanced Entry'!K180),'Advanced Entry'!K180)))-'Advanced Entry'!K$6)/('Advanced Entry'!K$7-'Advanced Entry'!K$6),10*((IF('Advanced Entry'!K$5="Logarithm",LN(0.001+'Advanced Entry'!K180),IF('Advanced Entry'!K$5="Exponential",EXP('Advanced Entry'!K180),'Advanced Entry'!K180)))-'Advanced Entry'!K$6)/('Advanced Entry'!K$7-'Advanced Entry'!K$6)),1))),"No data"))</f>
        <v/>
      </c>
      <c r="L180" s="17">
        <f>IF('Advanced Entry'!L180="","",IFERROR(MAX(0,MIN(10,ROUND(IF('Advanced Entry'!L$8="Decrease Risk",10-10*((IF('Advanced Entry'!L$5="Logarithm",LN(0.001+'Advanced Entry'!L180),IF('Advanced Entry'!L$5="Exponential",EXP('Advanced Entry'!L180),'Advanced Entry'!L180)))-'Advanced Entry'!L$6)/('Advanced Entry'!L$7-'Advanced Entry'!L$6),10*((IF('Advanced Entry'!L$5="Logarithm",LN(0.001+'Advanced Entry'!L180),IF('Advanced Entry'!L$5="Exponential",EXP('Advanced Entry'!L180),'Advanced Entry'!L180)))-'Advanced Entry'!L$6)/('Advanced Entry'!L$7-'Advanced Entry'!L$6)),1))),"No data"))</f>
        <v/>
      </c>
      <c r="M180" s="17">
        <f>IF('Advanced Entry'!M180="","",IFERROR(MAX(0,MIN(10,ROUND(IF('Advanced Entry'!M$8="Decrease Risk",10-10*((IF('Advanced Entry'!M$5="Logarithm",LN(0.001+'Advanced Entry'!M180),IF('Advanced Entry'!M$5="Exponential",EXP('Advanced Entry'!M180),'Advanced Entry'!M180)))-'Advanced Entry'!M$6)/('Advanced Entry'!M$7-'Advanced Entry'!M$6),10*((IF('Advanced Entry'!M$5="Logarithm",LN(0.001+'Advanced Entry'!M180),IF('Advanced Entry'!M$5="Exponential",EXP('Advanced Entry'!M180),'Advanced Entry'!M180)))-'Advanced Entry'!M$6)/('Advanced Entry'!M$7-'Advanced Entry'!M$6)),1))),"No data"))</f>
        <v/>
      </c>
      <c r="N180" s="17">
        <f>IF('Advanced Entry'!N180="","",IFERROR(MAX(0,MIN(10,ROUND(IF('Advanced Entry'!N$8="Decrease Risk",10-10*((IF('Advanced Entry'!N$5="Logarithm",LN(0.001+'Advanced Entry'!N180),IF('Advanced Entry'!N$5="Exponential",EXP('Advanced Entry'!N180),'Advanced Entry'!N180)))-'Advanced Entry'!N$6)/('Advanced Entry'!N$7-'Advanced Entry'!N$6),10*((IF('Advanced Entry'!N$5="Logarithm",LN(0.001+'Advanced Entry'!N180),IF('Advanced Entry'!N$5="Exponential",EXP('Advanced Entry'!N180),'Advanced Entry'!N180)))-'Advanced Entry'!N$6)/('Advanced Entry'!N$7-'Advanced Entry'!N$6)),1))),"No data"))</f>
        <v/>
      </c>
      <c r="O180" s="17">
        <f>IF('Advanced Entry'!O180="","",IFERROR(MAX(0,MIN(10,ROUND(IF('Advanced Entry'!O$8="Decrease Risk",10-10*((IF('Advanced Entry'!O$5="Logarithm",LN(0.001+'Advanced Entry'!O180),IF('Advanced Entry'!O$5="Exponential",EXP('Advanced Entry'!O180),'Advanced Entry'!O180)))-'Advanced Entry'!O$6)/('Advanced Entry'!O$7-'Advanced Entry'!O$6),10*((IF('Advanced Entry'!O$5="Logarithm",LN(0.001+'Advanced Entry'!O180),IF('Advanced Entry'!O$5="Exponential",EXP('Advanced Entry'!O180),'Advanced Entry'!O180)))-'Advanced Entry'!O$6)/('Advanced Entry'!O$7-'Advanced Entry'!O$6)),1))),"No data"))</f>
        <v/>
      </c>
      <c r="P180" s="17">
        <f>IF('Advanced Entry'!P180="","",IFERROR(MAX(0,MIN(10,ROUND(IF('Advanced Entry'!P$8="Decrease Risk",10-10*((IF('Advanced Entry'!P$5="Logarithm",LN(0.001+'Advanced Entry'!P180),IF('Advanced Entry'!P$5="Exponential",EXP('Advanced Entry'!P180),'Advanced Entry'!P180)))-'Advanced Entry'!P$6)/('Advanced Entry'!P$7-'Advanced Entry'!P$6),10*((IF('Advanced Entry'!P$5="Logarithm",LN(0.001+'Advanced Entry'!P180),IF('Advanced Entry'!P$5="Exponential",EXP('Advanced Entry'!P180),'Advanced Entry'!P180)))-'Advanced Entry'!P$6)/('Advanced Entry'!P$7-'Advanced Entry'!P$6)),1))),"No data"))</f>
        <v/>
      </c>
      <c r="Q180" s="17">
        <f>IF('Advanced Entry'!Q180="","",IFERROR(MAX(0,MIN(10,ROUND(IF('Advanced Entry'!Q$8="Decrease Risk",10-10*((IF('Advanced Entry'!Q$5="Logarithm",LN(0.001+'Advanced Entry'!Q180),IF('Advanced Entry'!Q$5="Exponential",EXP('Advanced Entry'!Q180),'Advanced Entry'!Q180)))-'Advanced Entry'!Q$6)/('Advanced Entry'!Q$7-'Advanced Entry'!Q$6),10*((IF('Advanced Entry'!Q$5="Logarithm",LN(0.001+'Advanced Entry'!Q180),IF('Advanced Entry'!Q$5="Exponential",EXP('Advanced Entry'!Q180),'Advanced Entry'!Q180)))-'Advanced Entry'!Q$6)/('Advanced Entry'!Q$7-'Advanced Entry'!Q$6)),1))),"No data"))</f>
        <v/>
      </c>
      <c r="R180" s="17">
        <f>IF('Advanced Entry'!R180="","",IFERROR(MAX(0,MIN(10,ROUND(IF('Advanced Entry'!R$8="Decrease Risk",10-10*((IF('Advanced Entry'!R$5="Logarithm",LN(0.001+'Advanced Entry'!R180),IF('Advanced Entry'!R$5="Exponential",EXP('Advanced Entry'!R180),'Advanced Entry'!R180)))-'Advanced Entry'!R$6)/('Advanced Entry'!R$7-'Advanced Entry'!R$6),10*((IF('Advanced Entry'!R$5="Logarithm",LN(0.001+'Advanced Entry'!R180),IF('Advanced Entry'!R$5="Exponential",EXP('Advanced Entry'!R180),'Advanced Entry'!R180)))-'Advanced Entry'!R$6)/('Advanced Entry'!R$7-'Advanced Entry'!R$6)),1))),"No data"))</f>
        <v/>
      </c>
      <c r="S180" s="17">
        <f>IF('Advanced Entry'!S180="","",IFERROR(MAX(0,MIN(10,ROUND(IF('Advanced Entry'!S$8="Decrease Risk",10-10*((IF('Advanced Entry'!S$5="Logarithm",LN(0.001+'Advanced Entry'!S180),IF('Advanced Entry'!S$5="Exponential",EXP('Advanced Entry'!S180),'Advanced Entry'!S180)))-'Advanced Entry'!S$6)/('Advanced Entry'!S$7-'Advanced Entry'!S$6),10*((IF('Advanced Entry'!S$5="Logarithm",LN(0.001+'Advanced Entry'!S180),IF('Advanced Entry'!S$5="Exponential",EXP('Advanced Entry'!S180),'Advanced Entry'!S180)))-'Advanced Entry'!S$6)/('Advanced Entry'!S$7-'Advanced Entry'!S$6)),1))),"No data"))</f>
        <v/>
      </c>
      <c r="T180" s="17">
        <f>IF('Advanced Entry'!T180="","",IFERROR(MAX(0,MIN(10,ROUND(IF('Advanced Entry'!T$8="Decrease Risk",10-10*((IF('Advanced Entry'!T$5="Logarithm",LN(0.001+'Advanced Entry'!T180),IF('Advanced Entry'!T$5="Exponential",EXP('Advanced Entry'!T180),'Advanced Entry'!T180)))-'Advanced Entry'!T$6)/('Advanced Entry'!T$7-'Advanced Entry'!T$6),10*((IF('Advanced Entry'!T$5="Logarithm",LN(0.001+'Advanced Entry'!T180),IF('Advanced Entry'!T$5="Exponential",EXP('Advanced Entry'!T180),'Advanced Entry'!T180)))-'Advanced Entry'!T$6)/('Advanced Entry'!T$7-'Advanced Entry'!T$6)),1))),"No data"))</f>
        <v/>
      </c>
      <c r="U180" s="17">
        <f>IF('Advanced Entry'!U180="","",IFERROR(MAX(0,MIN(10,ROUND(IF('Advanced Entry'!U$8="Decrease Risk",10-10*((IF('Advanced Entry'!U$5="Logarithm",LN(0.001+'Advanced Entry'!U180),IF('Advanced Entry'!U$5="Exponential",EXP('Advanced Entry'!U180),'Advanced Entry'!U180)))-'Advanced Entry'!U$6)/('Advanced Entry'!U$7-'Advanced Entry'!U$6),10*((IF('Advanced Entry'!U$5="Logarithm",LN(0.001+'Advanced Entry'!U180),IF('Advanced Entry'!U$5="Exponential",EXP('Advanced Entry'!U180),'Advanced Entry'!U180)))-'Advanced Entry'!U$6)/('Advanced Entry'!U$7-'Advanced Entry'!U$6)),1))),"No data"))</f>
        <v/>
      </c>
      <c r="V180" s="17">
        <f>IF('Advanced Entry'!V180="","",IFERROR(MAX(0,MIN(10,ROUND(IF('Advanced Entry'!V$8="Decrease Risk",10-10*((IF('Advanced Entry'!V$5="Logarithm",LN(0.001+'Advanced Entry'!V180),IF('Advanced Entry'!V$5="Exponential",EXP('Advanced Entry'!V180),'Advanced Entry'!V180)))-'Advanced Entry'!V$6)/('Advanced Entry'!V$7-'Advanced Entry'!V$6),10*((IF('Advanced Entry'!V$5="Logarithm",LN(0.001+'Advanced Entry'!V180),IF('Advanced Entry'!V$5="Exponential",EXP('Advanced Entry'!V180),'Advanced Entry'!V180)))-'Advanced Entry'!V$6)/('Advanced Entry'!V$7-'Advanced Entry'!V$6)),1))),"No data"))</f>
        <v/>
      </c>
      <c r="W180" s="17">
        <f>IF('Advanced Entry'!W180="","",IFERROR(MAX(0,MIN(10,ROUND(IF('Advanced Entry'!W$8="Decrease Risk",10-10*((IF('Advanced Entry'!W$5="Logarithm",LN(0.001+'Advanced Entry'!W180),IF('Advanced Entry'!W$5="Exponential",EXP('Advanced Entry'!W180),'Advanced Entry'!W180)))-'Advanced Entry'!W$6)/('Advanced Entry'!W$7-'Advanced Entry'!W$6),10*((IF('Advanced Entry'!W$5="Logarithm",LN(0.001+'Advanced Entry'!W180),IF('Advanced Entry'!W$5="Exponential",EXP('Advanced Entry'!W180),'Advanced Entry'!W180)))-'Advanced Entry'!W$6)/('Advanced Entry'!W$7-'Advanced Entry'!W$6)),1))),"No data"))</f>
        <v/>
      </c>
      <c r="X180" s="17">
        <f>IF('Advanced Entry'!X180="","",IFERROR(MAX(0,MIN(10,ROUND(IF('Advanced Entry'!X$8="Decrease Risk",10-10*((IF('Advanced Entry'!X$5="Logarithm",LN(0.001+'Advanced Entry'!X180),IF('Advanced Entry'!X$5="Exponential",EXP('Advanced Entry'!X180),'Advanced Entry'!X180)))-'Advanced Entry'!X$6)/('Advanced Entry'!X$7-'Advanced Entry'!X$6),10*((IF('Advanced Entry'!X$5="Logarithm",LN(0.001+'Advanced Entry'!X180),IF('Advanced Entry'!X$5="Exponential",EXP('Advanced Entry'!X180),'Advanced Entry'!X180)))-'Advanced Entry'!X$6)/('Advanced Entry'!X$7-'Advanced Entry'!X$6)),1))),"No data"))</f>
        <v/>
      </c>
      <c r="Y180" s="17">
        <f>IF('Advanced Entry'!Y180="","",IFERROR(MAX(0,MIN(10,ROUND(IF('Advanced Entry'!Y$8="Decrease Risk",10-10*((IF('Advanced Entry'!Y$5="Logarithm",LN(0.001+'Advanced Entry'!Y180),IF('Advanced Entry'!Y$5="Exponential",EXP('Advanced Entry'!Y180),'Advanced Entry'!Y180)))-'Advanced Entry'!Y$6)/('Advanced Entry'!Y$7-'Advanced Entry'!Y$6),10*((IF('Advanced Entry'!Y$5="Logarithm",LN(0.001+'Advanced Entry'!Y180),IF('Advanced Entry'!Y$5="Exponential",EXP('Advanced Entry'!Y180),'Advanced Entry'!Y180)))-'Advanced Entry'!Y$6)/('Advanced Entry'!Y$7-'Advanced Entry'!Y$6)),1))),"No data"))</f>
        <v/>
      </c>
      <c r="Z180" s="17">
        <f>IF('Advanced Entry'!Z180="","",IFERROR(MAX(0,MIN(10,ROUND(IF('Advanced Entry'!Z$8="Decrease Risk",10-10*((IF('Advanced Entry'!Z$5="Logarithm",LN(0.001+'Advanced Entry'!Z180),IF('Advanced Entry'!Z$5="Exponential",EXP('Advanced Entry'!Z180),'Advanced Entry'!Z180)))-'Advanced Entry'!Z$6)/('Advanced Entry'!Z$7-'Advanced Entry'!Z$6),10*((IF('Advanced Entry'!Z$5="Logarithm",LN(0.001+'Advanced Entry'!Z180),IF('Advanced Entry'!Z$5="Exponential",EXP('Advanced Entry'!Z180),'Advanced Entry'!Z180)))-'Advanced Entry'!Z$6)/('Advanced Entry'!Z$7-'Advanced Entry'!Z$6)),1))),"No data"))</f>
        <v/>
      </c>
      <c r="AA180" s="17">
        <f>IF('Advanced Entry'!AA180="","",IFERROR(MAX(0,MIN(10,ROUND(IF('Advanced Entry'!AA$8="Decrease Risk",10-10*((IF('Advanced Entry'!AA$5="Logarithm",LN(0.001+'Advanced Entry'!AA180),IF('Advanced Entry'!AA$5="Exponential",EXP('Advanced Entry'!AA180),'Advanced Entry'!AA180)))-'Advanced Entry'!AA$6)/('Advanced Entry'!AA$7-'Advanced Entry'!AA$6),10*((IF('Advanced Entry'!AA$5="Logarithm",LN(0.001+'Advanced Entry'!AA180),IF('Advanced Entry'!AA$5="Exponential",EXP('Advanced Entry'!AA180),'Advanced Entry'!AA180)))-'Advanced Entry'!AA$6)/('Advanced Entry'!AA$7-'Advanced Entry'!AA$6)),1))),"No data"))</f>
        <v/>
      </c>
      <c r="AB180" s="17">
        <f>IF('Advanced Entry'!AB180="","",IFERROR(MAX(0,MIN(10,ROUND(IF('Advanced Entry'!AB$8="Decrease Risk",10-10*((IF('Advanced Entry'!AB$5="Logarithm",LN(0.001+'Advanced Entry'!AB180),IF('Advanced Entry'!AB$5="Exponential",EXP('Advanced Entry'!AB180),'Advanced Entry'!AB180)))-'Advanced Entry'!AB$6)/('Advanced Entry'!AB$7-'Advanced Entry'!AB$6),10*((IF('Advanced Entry'!AB$5="Logarithm",LN(0.001+'Advanced Entry'!AB180),IF('Advanced Entry'!AB$5="Exponential",EXP('Advanced Entry'!AB180),'Advanced Entry'!AB180)))-'Advanced Entry'!AB$6)/('Advanced Entry'!AB$7-'Advanced Entry'!AB$6)),1))),"No data"))</f>
        <v/>
      </c>
    </row>
    <row r="181">
      <c r="A181" t="inlineStr">
        <is>
          <t>Singida</t>
        </is>
      </c>
      <c r="B181" t="inlineStr">
        <is>
          <t>Singida Municipal</t>
        </is>
      </c>
      <c r="C181" t="inlineStr">
        <is>
          <t>C094</t>
        </is>
      </c>
      <c r="D181" s="17">
        <f>IF('Advanced Entry'!D181="","",IFERROR(MAX(0,MIN(10,ROUND(IF('Advanced Entry'!D$8="Decrease Risk",10-10*((IF('Advanced Entry'!D$5="Logarithm",LN(0.001+'Advanced Entry'!D181),IF('Advanced Entry'!D$5="Exponential",EXP('Advanced Entry'!D181),'Advanced Entry'!D181)))-'Advanced Entry'!D$6)/('Advanced Entry'!D$7-'Advanced Entry'!D$6),10*((IF('Advanced Entry'!D$5="Logarithm",LN(0.001+'Advanced Entry'!D181),IF('Advanced Entry'!D$5="Exponential",EXP('Advanced Entry'!D181),'Advanced Entry'!D181)))-'Advanced Entry'!D$6)/('Advanced Entry'!D$7-'Advanced Entry'!D$6)),1))),"No data"))</f>
        <v/>
      </c>
      <c r="E181" s="17">
        <f>IF('Advanced Entry'!E181="","",IFERROR(MAX(0,MIN(10,ROUND(IF('Advanced Entry'!E$8="Decrease Risk",10-10*((IF('Advanced Entry'!E$5="Logarithm",LN(0.001+'Advanced Entry'!E181),IF('Advanced Entry'!E$5="Exponential",EXP('Advanced Entry'!E181),'Advanced Entry'!E181)))-'Advanced Entry'!E$6)/('Advanced Entry'!E$7-'Advanced Entry'!E$6),10*((IF('Advanced Entry'!E$5="Logarithm",LN(0.001+'Advanced Entry'!E181),IF('Advanced Entry'!E$5="Exponential",EXP('Advanced Entry'!E181),'Advanced Entry'!E181)))-'Advanced Entry'!E$6)/('Advanced Entry'!E$7-'Advanced Entry'!E$6)),1))),"No data"))</f>
        <v/>
      </c>
      <c r="F181" s="17">
        <f>IF('Advanced Entry'!F181="","",IFERROR(MAX(0,MIN(10,ROUND(IF('Advanced Entry'!F$8="Decrease Risk",10-10*((IF('Advanced Entry'!F$5="Logarithm",LN(0.001+'Advanced Entry'!F181),IF('Advanced Entry'!F$5="Exponential",EXP('Advanced Entry'!F181),'Advanced Entry'!F181)))-'Advanced Entry'!F$6)/('Advanced Entry'!F$7-'Advanced Entry'!F$6),10*((IF('Advanced Entry'!F$5="Logarithm",LN(0.001+'Advanced Entry'!F181),IF('Advanced Entry'!F$5="Exponential",EXP('Advanced Entry'!F181),'Advanced Entry'!F181)))-'Advanced Entry'!F$6)/('Advanced Entry'!F$7-'Advanced Entry'!F$6)),1))),"No data"))</f>
        <v/>
      </c>
      <c r="G181" s="17">
        <f>IF('Advanced Entry'!G181="","",IFERROR(MAX(0,MIN(10,ROUND(IF('Advanced Entry'!G$8="Decrease Risk",10-10*((IF('Advanced Entry'!G$5="Logarithm",LN(0.001+'Advanced Entry'!G181),IF('Advanced Entry'!G$5="Exponential",EXP('Advanced Entry'!G181),'Advanced Entry'!G181)))-'Advanced Entry'!G$6)/('Advanced Entry'!G$7-'Advanced Entry'!G$6),10*((IF('Advanced Entry'!G$5="Logarithm",LN(0.001+'Advanced Entry'!G181),IF('Advanced Entry'!G$5="Exponential",EXP('Advanced Entry'!G181),'Advanced Entry'!G181)))-'Advanced Entry'!G$6)/('Advanced Entry'!G$7-'Advanced Entry'!G$6)),1))),"No data"))</f>
        <v/>
      </c>
      <c r="H181" s="17">
        <f>IF('Advanced Entry'!H181="","",IFERROR(MAX(0,MIN(10,ROUND(IF('Advanced Entry'!H$8="Decrease Risk",10-10*((IF('Advanced Entry'!H$5="Logarithm",LN(0.001+'Advanced Entry'!H181),IF('Advanced Entry'!H$5="Exponential",EXP('Advanced Entry'!H181),'Advanced Entry'!H181)))-'Advanced Entry'!H$6)/('Advanced Entry'!H$7-'Advanced Entry'!H$6),10*((IF('Advanced Entry'!H$5="Logarithm",LN(0.001+'Advanced Entry'!H181),IF('Advanced Entry'!H$5="Exponential",EXP('Advanced Entry'!H181),'Advanced Entry'!H181)))-'Advanced Entry'!H$6)/('Advanced Entry'!H$7-'Advanced Entry'!H$6)),1))),"No data"))</f>
        <v/>
      </c>
      <c r="I181" s="17">
        <f>IF('Advanced Entry'!I181="","",IFERROR(MAX(0,MIN(10,ROUND(IF('Advanced Entry'!I$8="Decrease Risk",10-10*((IF('Advanced Entry'!I$5="Logarithm",LN(0.001+'Advanced Entry'!I181),IF('Advanced Entry'!I$5="Exponential",EXP('Advanced Entry'!I181),'Advanced Entry'!I181)))-'Advanced Entry'!I$6)/('Advanced Entry'!I$7-'Advanced Entry'!I$6),10*((IF('Advanced Entry'!I$5="Logarithm",LN(0.001+'Advanced Entry'!I181),IF('Advanced Entry'!I$5="Exponential",EXP('Advanced Entry'!I181),'Advanced Entry'!I181)))-'Advanced Entry'!I$6)/('Advanced Entry'!I$7-'Advanced Entry'!I$6)),1))),"No data"))</f>
        <v/>
      </c>
      <c r="J181" s="17">
        <f>IF('Advanced Entry'!J181="","",IFERROR(MAX(0,MIN(10,ROUND(IF('Advanced Entry'!J$8="Decrease Risk",10-10*((IF('Advanced Entry'!J$5="Logarithm",LN(0.001+'Advanced Entry'!J181),IF('Advanced Entry'!J$5="Exponential",EXP('Advanced Entry'!J181),'Advanced Entry'!J181)))-'Advanced Entry'!J$6)/('Advanced Entry'!J$7-'Advanced Entry'!J$6),10*((IF('Advanced Entry'!J$5="Logarithm",LN(0.001+'Advanced Entry'!J181),IF('Advanced Entry'!J$5="Exponential",EXP('Advanced Entry'!J181),'Advanced Entry'!J181)))-'Advanced Entry'!J$6)/('Advanced Entry'!J$7-'Advanced Entry'!J$6)),1))),"No data"))</f>
        <v/>
      </c>
      <c r="K181" s="17">
        <f>IF('Advanced Entry'!K181="","",IFERROR(MAX(0,MIN(10,ROUND(IF('Advanced Entry'!K$8="Decrease Risk",10-10*((IF('Advanced Entry'!K$5="Logarithm",LN(0.001+'Advanced Entry'!K181),IF('Advanced Entry'!K$5="Exponential",EXP('Advanced Entry'!K181),'Advanced Entry'!K181)))-'Advanced Entry'!K$6)/('Advanced Entry'!K$7-'Advanced Entry'!K$6),10*((IF('Advanced Entry'!K$5="Logarithm",LN(0.001+'Advanced Entry'!K181),IF('Advanced Entry'!K$5="Exponential",EXP('Advanced Entry'!K181),'Advanced Entry'!K181)))-'Advanced Entry'!K$6)/('Advanced Entry'!K$7-'Advanced Entry'!K$6)),1))),"No data"))</f>
        <v/>
      </c>
      <c r="L181" s="17">
        <f>IF('Advanced Entry'!L181="","",IFERROR(MAX(0,MIN(10,ROUND(IF('Advanced Entry'!L$8="Decrease Risk",10-10*((IF('Advanced Entry'!L$5="Logarithm",LN(0.001+'Advanced Entry'!L181),IF('Advanced Entry'!L$5="Exponential",EXP('Advanced Entry'!L181),'Advanced Entry'!L181)))-'Advanced Entry'!L$6)/('Advanced Entry'!L$7-'Advanced Entry'!L$6),10*((IF('Advanced Entry'!L$5="Logarithm",LN(0.001+'Advanced Entry'!L181),IF('Advanced Entry'!L$5="Exponential",EXP('Advanced Entry'!L181),'Advanced Entry'!L181)))-'Advanced Entry'!L$6)/('Advanced Entry'!L$7-'Advanced Entry'!L$6)),1))),"No data"))</f>
        <v/>
      </c>
      <c r="M181" s="17">
        <f>IF('Advanced Entry'!M181="","",IFERROR(MAX(0,MIN(10,ROUND(IF('Advanced Entry'!M$8="Decrease Risk",10-10*((IF('Advanced Entry'!M$5="Logarithm",LN(0.001+'Advanced Entry'!M181),IF('Advanced Entry'!M$5="Exponential",EXP('Advanced Entry'!M181),'Advanced Entry'!M181)))-'Advanced Entry'!M$6)/('Advanced Entry'!M$7-'Advanced Entry'!M$6),10*((IF('Advanced Entry'!M$5="Logarithm",LN(0.001+'Advanced Entry'!M181),IF('Advanced Entry'!M$5="Exponential",EXP('Advanced Entry'!M181),'Advanced Entry'!M181)))-'Advanced Entry'!M$6)/('Advanced Entry'!M$7-'Advanced Entry'!M$6)),1))),"No data"))</f>
        <v/>
      </c>
      <c r="N181" s="17">
        <f>IF('Advanced Entry'!N181="","",IFERROR(MAX(0,MIN(10,ROUND(IF('Advanced Entry'!N$8="Decrease Risk",10-10*((IF('Advanced Entry'!N$5="Logarithm",LN(0.001+'Advanced Entry'!N181),IF('Advanced Entry'!N$5="Exponential",EXP('Advanced Entry'!N181),'Advanced Entry'!N181)))-'Advanced Entry'!N$6)/('Advanced Entry'!N$7-'Advanced Entry'!N$6),10*((IF('Advanced Entry'!N$5="Logarithm",LN(0.001+'Advanced Entry'!N181),IF('Advanced Entry'!N$5="Exponential",EXP('Advanced Entry'!N181),'Advanced Entry'!N181)))-'Advanced Entry'!N$6)/('Advanced Entry'!N$7-'Advanced Entry'!N$6)),1))),"No data"))</f>
        <v/>
      </c>
      <c r="O181" s="17">
        <f>IF('Advanced Entry'!O181="","",IFERROR(MAX(0,MIN(10,ROUND(IF('Advanced Entry'!O$8="Decrease Risk",10-10*((IF('Advanced Entry'!O$5="Logarithm",LN(0.001+'Advanced Entry'!O181),IF('Advanced Entry'!O$5="Exponential",EXP('Advanced Entry'!O181),'Advanced Entry'!O181)))-'Advanced Entry'!O$6)/('Advanced Entry'!O$7-'Advanced Entry'!O$6),10*((IF('Advanced Entry'!O$5="Logarithm",LN(0.001+'Advanced Entry'!O181),IF('Advanced Entry'!O$5="Exponential",EXP('Advanced Entry'!O181),'Advanced Entry'!O181)))-'Advanced Entry'!O$6)/('Advanced Entry'!O$7-'Advanced Entry'!O$6)),1))),"No data"))</f>
        <v/>
      </c>
      <c r="P181" s="17">
        <f>IF('Advanced Entry'!P181="","",IFERROR(MAX(0,MIN(10,ROUND(IF('Advanced Entry'!P$8="Decrease Risk",10-10*((IF('Advanced Entry'!P$5="Logarithm",LN(0.001+'Advanced Entry'!P181),IF('Advanced Entry'!P$5="Exponential",EXP('Advanced Entry'!P181),'Advanced Entry'!P181)))-'Advanced Entry'!P$6)/('Advanced Entry'!P$7-'Advanced Entry'!P$6),10*((IF('Advanced Entry'!P$5="Logarithm",LN(0.001+'Advanced Entry'!P181),IF('Advanced Entry'!P$5="Exponential",EXP('Advanced Entry'!P181),'Advanced Entry'!P181)))-'Advanced Entry'!P$6)/('Advanced Entry'!P$7-'Advanced Entry'!P$6)),1))),"No data"))</f>
        <v/>
      </c>
      <c r="Q181" s="17">
        <f>IF('Advanced Entry'!Q181="","",IFERROR(MAX(0,MIN(10,ROUND(IF('Advanced Entry'!Q$8="Decrease Risk",10-10*((IF('Advanced Entry'!Q$5="Logarithm",LN(0.001+'Advanced Entry'!Q181),IF('Advanced Entry'!Q$5="Exponential",EXP('Advanced Entry'!Q181),'Advanced Entry'!Q181)))-'Advanced Entry'!Q$6)/('Advanced Entry'!Q$7-'Advanced Entry'!Q$6),10*((IF('Advanced Entry'!Q$5="Logarithm",LN(0.001+'Advanced Entry'!Q181),IF('Advanced Entry'!Q$5="Exponential",EXP('Advanced Entry'!Q181),'Advanced Entry'!Q181)))-'Advanced Entry'!Q$6)/('Advanced Entry'!Q$7-'Advanced Entry'!Q$6)),1))),"No data"))</f>
        <v/>
      </c>
      <c r="R181" s="17">
        <f>IF('Advanced Entry'!R181="","",IFERROR(MAX(0,MIN(10,ROUND(IF('Advanced Entry'!R$8="Decrease Risk",10-10*((IF('Advanced Entry'!R$5="Logarithm",LN(0.001+'Advanced Entry'!R181),IF('Advanced Entry'!R$5="Exponential",EXP('Advanced Entry'!R181),'Advanced Entry'!R181)))-'Advanced Entry'!R$6)/('Advanced Entry'!R$7-'Advanced Entry'!R$6),10*((IF('Advanced Entry'!R$5="Logarithm",LN(0.001+'Advanced Entry'!R181),IF('Advanced Entry'!R$5="Exponential",EXP('Advanced Entry'!R181),'Advanced Entry'!R181)))-'Advanced Entry'!R$6)/('Advanced Entry'!R$7-'Advanced Entry'!R$6)),1))),"No data"))</f>
        <v/>
      </c>
      <c r="S181" s="17">
        <f>IF('Advanced Entry'!S181="","",IFERROR(MAX(0,MIN(10,ROUND(IF('Advanced Entry'!S$8="Decrease Risk",10-10*((IF('Advanced Entry'!S$5="Logarithm",LN(0.001+'Advanced Entry'!S181),IF('Advanced Entry'!S$5="Exponential",EXP('Advanced Entry'!S181),'Advanced Entry'!S181)))-'Advanced Entry'!S$6)/('Advanced Entry'!S$7-'Advanced Entry'!S$6),10*((IF('Advanced Entry'!S$5="Logarithm",LN(0.001+'Advanced Entry'!S181),IF('Advanced Entry'!S$5="Exponential",EXP('Advanced Entry'!S181),'Advanced Entry'!S181)))-'Advanced Entry'!S$6)/('Advanced Entry'!S$7-'Advanced Entry'!S$6)),1))),"No data"))</f>
        <v/>
      </c>
      <c r="T181" s="17">
        <f>IF('Advanced Entry'!T181="","",IFERROR(MAX(0,MIN(10,ROUND(IF('Advanced Entry'!T$8="Decrease Risk",10-10*((IF('Advanced Entry'!T$5="Logarithm",LN(0.001+'Advanced Entry'!T181),IF('Advanced Entry'!T$5="Exponential",EXP('Advanced Entry'!T181),'Advanced Entry'!T181)))-'Advanced Entry'!T$6)/('Advanced Entry'!T$7-'Advanced Entry'!T$6),10*((IF('Advanced Entry'!T$5="Logarithm",LN(0.001+'Advanced Entry'!T181),IF('Advanced Entry'!T$5="Exponential",EXP('Advanced Entry'!T181),'Advanced Entry'!T181)))-'Advanced Entry'!T$6)/('Advanced Entry'!T$7-'Advanced Entry'!T$6)),1))),"No data"))</f>
        <v/>
      </c>
      <c r="U181" s="17">
        <f>IF('Advanced Entry'!U181="","",IFERROR(MAX(0,MIN(10,ROUND(IF('Advanced Entry'!U$8="Decrease Risk",10-10*((IF('Advanced Entry'!U$5="Logarithm",LN(0.001+'Advanced Entry'!U181),IF('Advanced Entry'!U$5="Exponential",EXP('Advanced Entry'!U181),'Advanced Entry'!U181)))-'Advanced Entry'!U$6)/('Advanced Entry'!U$7-'Advanced Entry'!U$6),10*((IF('Advanced Entry'!U$5="Logarithm",LN(0.001+'Advanced Entry'!U181),IF('Advanced Entry'!U$5="Exponential",EXP('Advanced Entry'!U181),'Advanced Entry'!U181)))-'Advanced Entry'!U$6)/('Advanced Entry'!U$7-'Advanced Entry'!U$6)),1))),"No data"))</f>
        <v/>
      </c>
      <c r="V181" s="17">
        <f>IF('Advanced Entry'!V181="","",IFERROR(MAX(0,MIN(10,ROUND(IF('Advanced Entry'!V$8="Decrease Risk",10-10*((IF('Advanced Entry'!V$5="Logarithm",LN(0.001+'Advanced Entry'!V181),IF('Advanced Entry'!V$5="Exponential",EXP('Advanced Entry'!V181),'Advanced Entry'!V181)))-'Advanced Entry'!V$6)/('Advanced Entry'!V$7-'Advanced Entry'!V$6),10*((IF('Advanced Entry'!V$5="Logarithm",LN(0.001+'Advanced Entry'!V181),IF('Advanced Entry'!V$5="Exponential",EXP('Advanced Entry'!V181),'Advanced Entry'!V181)))-'Advanced Entry'!V$6)/('Advanced Entry'!V$7-'Advanced Entry'!V$6)),1))),"No data"))</f>
        <v/>
      </c>
      <c r="W181" s="17">
        <f>IF('Advanced Entry'!W181="","",IFERROR(MAX(0,MIN(10,ROUND(IF('Advanced Entry'!W$8="Decrease Risk",10-10*((IF('Advanced Entry'!W$5="Logarithm",LN(0.001+'Advanced Entry'!W181),IF('Advanced Entry'!W$5="Exponential",EXP('Advanced Entry'!W181),'Advanced Entry'!W181)))-'Advanced Entry'!W$6)/('Advanced Entry'!W$7-'Advanced Entry'!W$6),10*((IF('Advanced Entry'!W$5="Logarithm",LN(0.001+'Advanced Entry'!W181),IF('Advanced Entry'!W$5="Exponential",EXP('Advanced Entry'!W181),'Advanced Entry'!W181)))-'Advanced Entry'!W$6)/('Advanced Entry'!W$7-'Advanced Entry'!W$6)),1))),"No data"))</f>
        <v/>
      </c>
      <c r="X181" s="17">
        <f>IF('Advanced Entry'!X181="","",IFERROR(MAX(0,MIN(10,ROUND(IF('Advanced Entry'!X$8="Decrease Risk",10-10*((IF('Advanced Entry'!X$5="Logarithm",LN(0.001+'Advanced Entry'!X181),IF('Advanced Entry'!X$5="Exponential",EXP('Advanced Entry'!X181),'Advanced Entry'!X181)))-'Advanced Entry'!X$6)/('Advanced Entry'!X$7-'Advanced Entry'!X$6),10*((IF('Advanced Entry'!X$5="Logarithm",LN(0.001+'Advanced Entry'!X181),IF('Advanced Entry'!X$5="Exponential",EXP('Advanced Entry'!X181),'Advanced Entry'!X181)))-'Advanced Entry'!X$6)/('Advanced Entry'!X$7-'Advanced Entry'!X$6)),1))),"No data"))</f>
        <v/>
      </c>
      <c r="Y181" s="17">
        <f>IF('Advanced Entry'!Y181="","",IFERROR(MAX(0,MIN(10,ROUND(IF('Advanced Entry'!Y$8="Decrease Risk",10-10*((IF('Advanced Entry'!Y$5="Logarithm",LN(0.001+'Advanced Entry'!Y181),IF('Advanced Entry'!Y$5="Exponential",EXP('Advanced Entry'!Y181),'Advanced Entry'!Y181)))-'Advanced Entry'!Y$6)/('Advanced Entry'!Y$7-'Advanced Entry'!Y$6),10*((IF('Advanced Entry'!Y$5="Logarithm",LN(0.001+'Advanced Entry'!Y181),IF('Advanced Entry'!Y$5="Exponential",EXP('Advanced Entry'!Y181),'Advanced Entry'!Y181)))-'Advanced Entry'!Y$6)/('Advanced Entry'!Y$7-'Advanced Entry'!Y$6)),1))),"No data"))</f>
        <v/>
      </c>
      <c r="Z181" s="17">
        <f>IF('Advanced Entry'!Z181="","",IFERROR(MAX(0,MIN(10,ROUND(IF('Advanced Entry'!Z$8="Decrease Risk",10-10*((IF('Advanced Entry'!Z$5="Logarithm",LN(0.001+'Advanced Entry'!Z181),IF('Advanced Entry'!Z$5="Exponential",EXP('Advanced Entry'!Z181),'Advanced Entry'!Z181)))-'Advanced Entry'!Z$6)/('Advanced Entry'!Z$7-'Advanced Entry'!Z$6),10*((IF('Advanced Entry'!Z$5="Logarithm",LN(0.001+'Advanced Entry'!Z181),IF('Advanced Entry'!Z$5="Exponential",EXP('Advanced Entry'!Z181),'Advanced Entry'!Z181)))-'Advanced Entry'!Z$6)/('Advanced Entry'!Z$7-'Advanced Entry'!Z$6)),1))),"No data"))</f>
        <v/>
      </c>
      <c r="AA181" s="17">
        <f>IF('Advanced Entry'!AA181="","",IFERROR(MAX(0,MIN(10,ROUND(IF('Advanced Entry'!AA$8="Decrease Risk",10-10*((IF('Advanced Entry'!AA$5="Logarithm",LN(0.001+'Advanced Entry'!AA181),IF('Advanced Entry'!AA$5="Exponential",EXP('Advanced Entry'!AA181),'Advanced Entry'!AA181)))-'Advanced Entry'!AA$6)/('Advanced Entry'!AA$7-'Advanced Entry'!AA$6),10*((IF('Advanced Entry'!AA$5="Logarithm",LN(0.001+'Advanced Entry'!AA181),IF('Advanced Entry'!AA$5="Exponential",EXP('Advanced Entry'!AA181),'Advanced Entry'!AA181)))-'Advanced Entry'!AA$6)/('Advanced Entry'!AA$7-'Advanced Entry'!AA$6)),1))),"No data"))</f>
        <v/>
      </c>
      <c r="AB181" s="17">
        <f>IF('Advanced Entry'!AB181="","",IFERROR(MAX(0,MIN(10,ROUND(IF('Advanced Entry'!AB$8="Decrease Risk",10-10*((IF('Advanced Entry'!AB$5="Logarithm",LN(0.001+'Advanced Entry'!AB181),IF('Advanced Entry'!AB$5="Exponential",EXP('Advanced Entry'!AB181),'Advanced Entry'!AB181)))-'Advanced Entry'!AB$6)/('Advanced Entry'!AB$7-'Advanced Entry'!AB$6),10*((IF('Advanced Entry'!AB$5="Logarithm",LN(0.001+'Advanced Entry'!AB181),IF('Advanced Entry'!AB$5="Exponential",EXP('Advanced Entry'!AB181),'Advanced Entry'!AB181)))-'Advanced Entry'!AB$6)/('Advanced Entry'!AB$7-'Advanced Entry'!AB$6)),1))),"No data"))</f>
        <v/>
      </c>
    </row>
    <row r="182">
      <c r="A182" t="inlineStr">
        <is>
          <t>Songwe</t>
        </is>
      </c>
      <c r="B182" t="inlineStr">
        <is>
          <t>Ileje District</t>
        </is>
      </c>
      <c r="C182" t="inlineStr">
        <is>
          <t>C184</t>
        </is>
      </c>
      <c r="D182" s="17">
        <f>IF('Advanced Entry'!D182="","",IFERROR(MAX(0,MIN(10,ROUND(IF('Advanced Entry'!D$8="Decrease Risk",10-10*((IF('Advanced Entry'!D$5="Logarithm",LN(0.001+'Advanced Entry'!D182),IF('Advanced Entry'!D$5="Exponential",EXP('Advanced Entry'!D182),'Advanced Entry'!D182)))-'Advanced Entry'!D$6)/('Advanced Entry'!D$7-'Advanced Entry'!D$6),10*((IF('Advanced Entry'!D$5="Logarithm",LN(0.001+'Advanced Entry'!D182),IF('Advanced Entry'!D$5="Exponential",EXP('Advanced Entry'!D182),'Advanced Entry'!D182)))-'Advanced Entry'!D$6)/('Advanced Entry'!D$7-'Advanced Entry'!D$6)),1))),"No data"))</f>
        <v/>
      </c>
      <c r="E182" s="17">
        <f>IF('Advanced Entry'!E182="","",IFERROR(MAX(0,MIN(10,ROUND(IF('Advanced Entry'!E$8="Decrease Risk",10-10*((IF('Advanced Entry'!E$5="Logarithm",LN(0.001+'Advanced Entry'!E182),IF('Advanced Entry'!E$5="Exponential",EXP('Advanced Entry'!E182),'Advanced Entry'!E182)))-'Advanced Entry'!E$6)/('Advanced Entry'!E$7-'Advanced Entry'!E$6),10*((IF('Advanced Entry'!E$5="Logarithm",LN(0.001+'Advanced Entry'!E182),IF('Advanced Entry'!E$5="Exponential",EXP('Advanced Entry'!E182),'Advanced Entry'!E182)))-'Advanced Entry'!E$6)/('Advanced Entry'!E$7-'Advanced Entry'!E$6)),1))),"No data"))</f>
        <v/>
      </c>
      <c r="F182" s="17">
        <f>IF('Advanced Entry'!F182="","",IFERROR(MAX(0,MIN(10,ROUND(IF('Advanced Entry'!F$8="Decrease Risk",10-10*((IF('Advanced Entry'!F$5="Logarithm",LN(0.001+'Advanced Entry'!F182),IF('Advanced Entry'!F$5="Exponential",EXP('Advanced Entry'!F182),'Advanced Entry'!F182)))-'Advanced Entry'!F$6)/('Advanced Entry'!F$7-'Advanced Entry'!F$6),10*((IF('Advanced Entry'!F$5="Logarithm",LN(0.001+'Advanced Entry'!F182),IF('Advanced Entry'!F$5="Exponential",EXP('Advanced Entry'!F182),'Advanced Entry'!F182)))-'Advanced Entry'!F$6)/('Advanced Entry'!F$7-'Advanced Entry'!F$6)),1))),"No data"))</f>
        <v/>
      </c>
      <c r="G182" s="17">
        <f>IF('Advanced Entry'!G182="","",IFERROR(MAX(0,MIN(10,ROUND(IF('Advanced Entry'!G$8="Decrease Risk",10-10*((IF('Advanced Entry'!G$5="Logarithm",LN(0.001+'Advanced Entry'!G182),IF('Advanced Entry'!G$5="Exponential",EXP('Advanced Entry'!G182),'Advanced Entry'!G182)))-'Advanced Entry'!G$6)/('Advanced Entry'!G$7-'Advanced Entry'!G$6),10*((IF('Advanced Entry'!G$5="Logarithm",LN(0.001+'Advanced Entry'!G182),IF('Advanced Entry'!G$5="Exponential",EXP('Advanced Entry'!G182),'Advanced Entry'!G182)))-'Advanced Entry'!G$6)/('Advanced Entry'!G$7-'Advanced Entry'!G$6)),1))),"No data"))</f>
        <v/>
      </c>
      <c r="H182" s="17">
        <f>IF('Advanced Entry'!H182="","",IFERROR(MAX(0,MIN(10,ROUND(IF('Advanced Entry'!H$8="Decrease Risk",10-10*((IF('Advanced Entry'!H$5="Logarithm",LN(0.001+'Advanced Entry'!H182),IF('Advanced Entry'!H$5="Exponential",EXP('Advanced Entry'!H182),'Advanced Entry'!H182)))-'Advanced Entry'!H$6)/('Advanced Entry'!H$7-'Advanced Entry'!H$6),10*((IF('Advanced Entry'!H$5="Logarithm",LN(0.001+'Advanced Entry'!H182),IF('Advanced Entry'!H$5="Exponential",EXP('Advanced Entry'!H182),'Advanced Entry'!H182)))-'Advanced Entry'!H$6)/('Advanced Entry'!H$7-'Advanced Entry'!H$6)),1))),"No data"))</f>
        <v/>
      </c>
      <c r="I182" s="17">
        <f>IF('Advanced Entry'!I182="","",IFERROR(MAX(0,MIN(10,ROUND(IF('Advanced Entry'!I$8="Decrease Risk",10-10*((IF('Advanced Entry'!I$5="Logarithm",LN(0.001+'Advanced Entry'!I182),IF('Advanced Entry'!I$5="Exponential",EXP('Advanced Entry'!I182),'Advanced Entry'!I182)))-'Advanced Entry'!I$6)/('Advanced Entry'!I$7-'Advanced Entry'!I$6),10*((IF('Advanced Entry'!I$5="Logarithm",LN(0.001+'Advanced Entry'!I182),IF('Advanced Entry'!I$5="Exponential",EXP('Advanced Entry'!I182),'Advanced Entry'!I182)))-'Advanced Entry'!I$6)/('Advanced Entry'!I$7-'Advanced Entry'!I$6)),1))),"No data"))</f>
        <v/>
      </c>
      <c r="J182" s="17">
        <f>IF('Advanced Entry'!J182="","",IFERROR(MAX(0,MIN(10,ROUND(IF('Advanced Entry'!J$8="Decrease Risk",10-10*((IF('Advanced Entry'!J$5="Logarithm",LN(0.001+'Advanced Entry'!J182),IF('Advanced Entry'!J$5="Exponential",EXP('Advanced Entry'!J182),'Advanced Entry'!J182)))-'Advanced Entry'!J$6)/('Advanced Entry'!J$7-'Advanced Entry'!J$6),10*((IF('Advanced Entry'!J$5="Logarithm",LN(0.001+'Advanced Entry'!J182),IF('Advanced Entry'!J$5="Exponential",EXP('Advanced Entry'!J182),'Advanced Entry'!J182)))-'Advanced Entry'!J$6)/('Advanced Entry'!J$7-'Advanced Entry'!J$6)),1))),"No data"))</f>
        <v/>
      </c>
      <c r="K182" s="17">
        <f>IF('Advanced Entry'!K182="","",IFERROR(MAX(0,MIN(10,ROUND(IF('Advanced Entry'!K$8="Decrease Risk",10-10*((IF('Advanced Entry'!K$5="Logarithm",LN(0.001+'Advanced Entry'!K182),IF('Advanced Entry'!K$5="Exponential",EXP('Advanced Entry'!K182),'Advanced Entry'!K182)))-'Advanced Entry'!K$6)/('Advanced Entry'!K$7-'Advanced Entry'!K$6),10*((IF('Advanced Entry'!K$5="Logarithm",LN(0.001+'Advanced Entry'!K182),IF('Advanced Entry'!K$5="Exponential",EXP('Advanced Entry'!K182),'Advanced Entry'!K182)))-'Advanced Entry'!K$6)/('Advanced Entry'!K$7-'Advanced Entry'!K$6)),1))),"No data"))</f>
        <v/>
      </c>
      <c r="L182" s="17">
        <f>IF('Advanced Entry'!L182="","",IFERROR(MAX(0,MIN(10,ROUND(IF('Advanced Entry'!L$8="Decrease Risk",10-10*((IF('Advanced Entry'!L$5="Logarithm",LN(0.001+'Advanced Entry'!L182),IF('Advanced Entry'!L$5="Exponential",EXP('Advanced Entry'!L182),'Advanced Entry'!L182)))-'Advanced Entry'!L$6)/('Advanced Entry'!L$7-'Advanced Entry'!L$6),10*((IF('Advanced Entry'!L$5="Logarithm",LN(0.001+'Advanced Entry'!L182),IF('Advanced Entry'!L$5="Exponential",EXP('Advanced Entry'!L182),'Advanced Entry'!L182)))-'Advanced Entry'!L$6)/('Advanced Entry'!L$7-'Advanced Entry'!L$6)),1))),"No data"))</f>
        <v/>
      </c>
      <c r="M182" s="17">
        <f>IF('Advanced Entry'!M182="","",IFERROR(MAX(0,MIN(10,ROUND(IF('Advanced Entry'!M$8="Decrease Risk",10-10*((IF('Advanced Entry'!M$5="Logarithm",LN(0.001+'Advanced Entry'!M182),IF('Advanced Entry'!M$5="Exponential",EXP('Advanced Entry'!M182),'Advanced Entry'!M182)))-'Advanced Entry'!M$6)/('Advanced Entry'!M$7-'Advanced Entry'!M$6),10*((IF('Advanced Entry'!M$5="Logarithm",LN(0.001+'Advanced Entry'!M182),IF('Advanced Entry'!M$5="Exponential",EXP('Advanced Entry'!M182),'Advanced Entry'!M182)))-'Advanced Entry'!M$6)/('Advanced Entry'!M$7-'Advanced Entry'!M$6)),1))),"No data"))</f>
        <v/>
      </c>
      <c r="N182" s="17">
        <f>IF('Advanced Entry'!N182="","",IFERROR(MAX(0,MIN(10,ROUND(IF('Advanced Entry'!N$8="Decrease Risk",10-10*((IF('Advanced Entry'!N$5="Logarithm",LN(0.001+'Advanced Entry'!N182),IF('Advanced Entry'!N$5="Exponential",EXP('Advanced Entry'!N182),'Advanced Entry'!N182)))-'Advanced Entry'!N$6)/('Advanced Entry'!N$7-'Advanced Entry'!N$6),10*((IF('Advanced Entry'!N$5="Logarithm",LN(0.001+'Advanced Entry'!N182),IF('Advanced Entry'!N$5="Exponential",EXP('Advanced Entry'!N182),'Advanced Entry'!N182)))-'Advanced Entry'!N$6)/('Advanced Entry'!N$7-'Advanced Entry'!N$6)),1))),"No data"))</f>
        <v/>
      </c>
      <c r="O182" s="17">
        <f>IF('Advanced Entry'!O182="","",IFERROR(MAX(0,MIN(10,ROUND(IF('Advanced Entry'!O$8="Decrease Risk",10-10*((IF('Advanced Entry'!O$5="Logarithm",LN(0.001+'Advanced Entry'!O182),IF('Advanced Entry'!O$5="Exponential",EXP('Advanced Entry'!O182),'Advanced Entry'!O182)))-'Advanced Entry'!O$6)/('Advanced Entry'!O$7-'Advanced Entry'!O$6),10*((IF('Advanced Entry'!O$5="Logarithm",LN(0.001+'Advanced Entry'!O182),IF('Advanced Entry'!O$5="Exponential",EXP('Advanced Entry'!O182),'Advanced Entry'!O182)))-'Advanced Entry'!O$6)/('Advanced Entry'!O$7-'Advanced Entry'!O$6)),1))),"No data"))</f>
        <v/>
      </c>
      <c r="P182" s="17">
        <f>IF('Advanced Entry'!P182="","",IFERROR(MAX(0,MIN(10,ROUND(IF('Advanced Entry'!P$8="Decrease Risk",10-10*((IF('Advanced Entry'!P$5="Logarithm",LN(0.001+'Advanced Entry'!P182),IF('Advanced Entry'!P$5="Exponential",EXP('Advanced Entry'!P182),'Advanced Entry'!P182)))-'Advanced Entry'!P$6)/('Advanced Entry'!P$7-'Advanced Entry'!P$6),10*((IF('Advanced Entry'!P$5="Logarithm",LN(0.001+'Advanced Entry'!P182),IF('Advanced Entry'!P$5="Exponential",EXP('Advanced Entry'!P182),'Advanced Entry'!P182)))-'Advanced Entry'!P$6)/('Advanced Entry'!P$7-'Advanced Entry'!P$6)),1))),"No data"))</f>
        <v/>
      </c>
      <c r="Q182" s="17">
        <f>IF('Advanced Entry'!Q182="","",IFERROR(MAX(0,MIN(10,ROUND(IF('Advanced Entry'!Q$8="Decrease Risk",10-10*((IF('Advanced Entry'!Q$5="Logarithm",LN(0.001+'Advanced Entry'!Q182),IF('Advanced Entry'!Q$5="Exponential",EXP('Advanced Entry'!Q182),'Advanced Entry'!Q182)))-'Advanced Entry'!Q$6)/('Advanced Entry'!Q$7-'Advanced Entry'!Q$6),10*((IF('Advanced Entry'!Q$5="Logarithm",LN(0.001+'Advanced Entry'!Q182),IF('Advanced Entry'!Q$5="Exponential",EXP('Advanced Entry'!Q182),'Advanced Entry'!Q182)))-'Advanced Entry'!Q$6)/('Advanced Entry'!Q$7-'Advanced Entry'!Q$6)),1))),"No data"))</f>
        <v/>
      </c>
      <c r="R182" s="17">
        <f>IF('Advanced Entry'!R182="","",IFERROR(MAX(0,MIN(10,ROUND(IF('Advanced Entry'!R$8="Decrease Risk",10-10*((IF('Advanced Entry'!R$5="Logarithm",LN(0.001+'Advanced Entry'!R182),IF('Advanced Entry'!R$5="Exponential",EXP('Advanced Entry'!R182),'Advanced Entry'!R182)))-'Advanced Entry'!R$6)/('Advanced Entry'!R$7-'Advanced Entry'!R$6),10*((IF('Advanced Entry'!R$5="Logarithm",LN(0.001+'Advanced Entry'!R182),IF('Advanced Entry'!R$5="Exponential",EXP('Advanced Entry'!R182),'Advanced Entry'!R182)))-'Advanced Entry'!R$6)/('Advanced Entry'!R$7-'Advanced Entry'!R$6)),1))),"No data"))</f>
        <v/>
      </c>
      <c r="S182" s="17">
        <f>IF('Advanced Entry'!S182="","",IFERROR(MAX(0,MIN(10,ROUND(IF('Advanced Entry'!S$8="Decrease Risk",10-10*((IF('Advanced Entry'!S$5="Logarithm",LN(0.001+'Advanced Entry'!S182),IF('Advanced Entry'!S$5="Exponential",EXP('Advanced Entry'!S182),'Advanced Entry'!S182)))-'Advanced Entry'!S$6)/('Advanced Entry'!S$7-'Advanced Entry'!S$6),10*((IF('Advanced Entry'!S$5="Logarithm",LN(0.001+'Advanced Entry'!S182),IF('Advanced Entry'!S$5="Exponential",EXP('Advanced Entry'!S182),'Advanced Entry'!S182)))-'Advanced Entry'!S$6)/('Advanced Entry'!S$7-'Advanced Entry'!S$6)),1))),"No data"))</f>
        <v/>
      </c>
      <c r="T182" s="17">
        <f>IF('Advanced Entry'!T182="","",IFERROR(MAX(0,MIN(10,ROUND(IF('Advanced Entry'!T$8="Decrease Risk",10-10*((IF('Advanced Entry'!T$5="Logarithm",LN(0.001+'Advanced Entry'!T182),IF('Advanced Entry'!T$5="Exponential",EXP('Advanced Entry'!T182),'Advanced Entry'!T182)))-'Advanced Entry'!T$6)/('Advanced Entry'!T$7-'Advanced Entry'!T$6),10*((IF('Advanced Entry'!T$5="Logarithm",LN(0.001+'Advanced Entry'!T182),IF('Advanced Entry'!T$5="Exponential",EXP('Advanced Entry'!T182),'Advanced Entry'!T182)))-'Advanced Entry'!T$6)/('Advanced Entry'!T$7-'Advanced Entry'!T$6)),1))),"No data"))</f>
        <v/>
      </c>
      <c r="U182" s="17">
        <f>IF('Advanced Entry'!U182="","",IFERROR(MAX(0,MIN(10,ROUND(IF('Advanced Entry'!U$8="Decrease Risk",10-10*((IF('Advanced Entry'!U$5="Logarithm",LN(0.001+'Advanced Entry'!U182),IF('Advanced Entry'!U$5="Exponential",EXP('Advanced Entry'!U182),'Advanced Entry'!U182)))-'Advanced Entry'!U$6)/('Advanced Entry'!U$7-'Advanced Entry'!U$6),10*((IF('Advanced Entry'!U$5="Logarithm",LN(0.001+'Advanced Entry'!U182),IF('Advanced Entry'!U$5="Exponential",EXP('Advanced Entry'!U182),'Advanced Entry'!U182)))-'Advanced Entry'!U$6)/('Advanced Entry'!U$7-'Advanced Entry'!U$6)),1))),"No data"))</f>
        <v/>
      </c>
      <c r="V182" s="17">
        <f>IF('Advanced Entry'!V182="","",IFERROR(MAX(0,MIN(10,ROUND(IF('Advanced Entry'!V$8="Decrease Risk",10-10*((IF('Advanced Entry'!V$5="Logarithm",LN(0.001+'Advanced Entry'!V182),IF('Advanced Entry'!V$5="Exponential",EXP('Advanced Entry'!V182),'Advanced Entry'!V182)))-'Advanced Entry'!V$6)/('Advanced Entry'!V$7-'Advanced Entry'!V$6),10*((IF('Advanced Entry'!V$5="Logarithm",LN(0.001+'Advanced Entry'!V182),IF('Advanced Entry'!V$5="Exponential",EXP('Advanced Entry'!V182),'Advanced Entry'!V182)))-'Advanced Entry'!V$6)/('Advanced Entry'!V$7-'Advanced Entry'!V$6)),1))),"No data"))</f>
        <v/>
      </c>
      <c r="W182" s="17">
        <f>IF('Advanced Entry'!W182="","",IFERROR(MAX(0,MIN(10,ROUND(IF('Advanced Entry'!W$8="Decrease Risk",10-10*((IF('Advanced Entry'!W$5="Logarithm",LN(0.001+'Advanced Entry'!W182),IF('Advanced Entry'!W$5="Exponential",EXP('Advanced Entry'!W182),'Advanced Entry'!W182)))-'Advanced Entry'!W$6)/('Advanced Entry'!W$7-'Advanced Entry'!W$6),10*((IF('Advanced Entry'!W$5="Logarithm",LN(0.001+'Advanced Entry'!W182),IF('Advanced Entry'!W$5="Exponential",EXP('Advanced Entry'!W182),'Advanced Entry'!W182)))-'Advanced Entry'!W$6)/('Advanced Entry'!W$7-'Advanced Entry'!W$6)),1))),"No data"))</f>
        <v/>
      </c>
      <c r="X182" s="17">
        <f>IF('Advanced Entry'!X182="","",IFERROR(MAX(0,MIN(10,ROUND(IF('Advanced Entry'!X$8="Decrease Risk",10-10*((IF('Advanced Entry'!X$5="Logarithm",LN(0.001+'Advanced Entry'!X182),IF('Advanced Entry'!X$5="Exponential",EXP('Advanced Entry'!X182),'Advanced Entry'!X182)))-'Advanced Entry'!X$6)/('Advanced Entry'!X$7-'Advanced Entry'!X$6),10*((IF('Advanced Entry'!X$5="Logarithm",LN(0.001+'Advanced Entry'!X182),IF('Advanced Entry'!X$5="Exponential",EXP('Advanced Entry'!X182),'Advanced Entry'!X182)))-'Advanced Entry'!X$6)/('Advanced Entry'!X$7-'Advanced Entry'!X$6)),1))),"No data"))</f>
        <v/>
      </c>
      <c r="Y182" s="17">
        <f>IF('Advanced Entry'!Y182="","",IFERROR(MAX(0,MIN(10,ROUND(IF('Advanced Entry'!Y$8="Decrease Risk",10-10*((IF('Advanced Entry'!Y$5="Logarithm",LN(0.001+'Advanced Entry'!Y182),IF('Advanced Entry'!Y$5="Exponential",EXP('Advanced Entry'!Y182),'Advanced Entry'!Y182)))-'Advanced Entry'!Y$6)/('Advanced Entry'!Y$7-'Advanced Entry'!Y$6),10*((IF('Advanced Entry'!Y$5="Logarithm",LN(0.001+'Advanced Entry'!Y182),IF('Advanced Entry'!Y$5="Exponential",EXP('Advanced Entry'!Y182),'Advanced Entry'!Y182)))-'Advanced Entry'!Y$6)/('Advanced Entry'!Y$7-'Advanced Entry'!Y$6)),1))),"No data"))</f>
        <v/>
      </c>
      <c r="Z182" s="17">
        <f>IF('Advanced Entry'!Z182="","",IFERROR(MAX(0,MIN(10,ROUND(IF('Advanced Entry'!Z$8="Decrease Risk",10-10*((IF('Advanced Entry'!Z$5="Logarithm",LN(0.001+'Advanced Entry'!Z182),IF('Advanced Entry'!Z$5="Exponential",EXP('Advanced Entry'!Z182),'Advanced Entry'!Z182)))-'Advanced Entry'!Z$6)/('Advanced Entry'!Z$7-'Advanced Entry'!Z$6),10*((IF('Advanced Entry'!Z$5="Logarithm",LN(0.001+'Advanced Entry'!Z182),IF('Advanced Entry'!Z$5="Exponential",EXP('Advanced Entry'!Z182),'Advanced Entry'!Z182)))-'Advanced Entry'!Z$6)/('Advanced Entry'!Z$7-'Advanced Entry'!Z$6)),1))),"No data"))</f>
        <v/>
      </c>
      <c r="AA182" s="17">
        <f>IF('Advanced Entry'!AA182="","",IFERROR(MAX(0,MIN(10,ROUND(IF('Advanced Entry'!AA$8="Decrease Risk",10-10*((IF('Advanced Entry'!AA$5="Logarithm",LN(0.001+'Advanced Entry'!AA182),IF('Advanced Entry'!AA$5="Exponential",EXP('Advanced Entry'!AA182),'Advanced Entry'!AA182)))-'Advanced Entry'!AA$6)/('Advanced Entry'!AA$7-'Advanced Entry'!AA$6),10*((IF('Advanced Entry'!AA$5="Logarithm",LN(0.001+'Advanced Entry'!AA182),IF('Advanced Entry'!AA$5="Exponential",EXP('Advanced Entry'!AA182),'Advanced Entry'!AA182)))-'Advanced Entry'!AA$6)/('Advanced Entry'!AA$7-'Advanced Entry'!AA$6)),1))),"No data"))</f>
        <v/>
      </c>
      <c r="AB182" s="17">
        <f>IF('Advanced Entry'!AB182="","",IFERROR(MAX(0,MIN(10,ROUND(IF('Advanced Entry'!AB$8="Decrease Risk",10-10*((IF('Advanced Entry'!AB$5="Logarithm",LN(0.001+'Advanced Entry'!AB182),IF('Advanced Entry'!AB$5="Exponential",EXP('Advanced Entry'!AB182),'Advanced Entry'!AB182)))-'Advanced Entry'!AB$6)/('Advanced Entry'!AB$7-'Advanced Entry'!AB$6),10*((IF('Advanced Entry'!AB$5="Logarithm",LN(0.001+'Advanced Entry'!AB182),IF('Advanced Entry'!AB$5="Exponential",EXP('Advanced Entry'!AB182),'Advanced Entry'!AB182)))-'Advanced Entry'!AB$6)/('Advanced Entry'!AB$7-'Advanced Entry'!AB$6)),1))),"No data"))</f>
        <v/>
      </c>
    </row>
    <row r="183">
      <c r="A183" t="inlineStr">
        <is>
          <t>Songwe</t>
        </is>
      </c>
      <c r="B183" t="inlineStr">
        <is>
          <t>Mbozi District</t>
        </is>
      </c>
      <c r="C183" t="inlineStr">
        <is>
          <t>C183</t>
        </is>
      </c>
      <c r="D183" s="17">
        <f>IF('Advanced Entry'!D183="","",IFERROR(MAX(0,MIN(10,ROUND(IF('Advanced Entry'!D$8="Decrease Risk",10-10*((IF('Advanced Entry'!D$5="Logarithm",LN(0.001+'Advanced Entry'!D183),IF('Advanced Entry'!D$5="Exponential",EXP('Advanced Entry'!D183),'Advanced Entry'!D183)))-'Advanced Entry'!D$6)/('Advanced Entry'!D$7-'Advanced Entry'!D$6),10*((IF('Advanced Entry'!D$5="Logarithm",LN(0.001+'Advanced Entry'!D183),IF('Advanced Entry'!D$5="Exponential",EXP('Advanced Entry'!D183),'Advanced Entry'!D183)))-'Advanced Entry'!D$6)/('Advanced Entry'!D$7-'Advanced Entry'!D$6)),1))),"No data"))</f>
        <v/>
      </c>
      <c r="E183" s="17">
        <f>IF('Advanced Entry'!E183="","",IFERROR(MAX(0,MIN(10,ROUND(IF('Advanced Entry'!E$8="Decrease Risk",10-10*((IF('Advanced Entry'!E$5="Logarithm",LN(0.001+'Advanced Entry'!E183),IF('Advanced Entry'!E$5="Exponential",EXP('Advanced Entry'!E183),'Advanced Entry'!E183)))-'Advanced Entry'!E$6)/('Advanced Entry'!E$7-'Advanced Entry'!E$6),10*((IF('Advanced Entry'!E$5="Logarithm",LN(0.001+'Advanced Entry'!E183),IF('Advanced Entry'!E$5="Exponential",EXP('Advanced Entry'!E183),'Advanced Entry'!E183)))-'Advanced Entry'!E$6)/('Advanced Entry'!E$7-'Advanced Entry'!E$6)),1))),"No data"))</f>
        <v/>
      </c>
      <c r="F183" s="17">
        <f>IF('Advanced Entry'!F183="","",IFERROR(MAX(0,MIN(10,ROUND(IF('Advanced Entry'!F$8="Decrease Risk",10-10*((IF('Advanced Entry'!F$5="Logarithm",LN(0.001+'Advanced Entry'!F183),IF('Advanced Entry'!F$5="Exponential",EXP('Advanced Entry'!F183),'Advanced Entry'!F183)))-'Advanced Entry'!F$6)/('Advanced Entry'!F$7-'Advanced Entry'!F$6),10*((IF('Advanced Entry'!F$5="Logarithm",LN(0.001+'Advanced Entry'!F183),IF('Advanced Entry'!F$5="Exponential",EXP('Advanced Entry'!F183),'Advanced Entry'!F183)))-'Advanced Entry'!F$6)/('Advanced Entry'!F$7-'Advanced Entry'!F$6)),1))),"No data"))</f>
        <v/>
      </c>
      <c r="G183" s="17">
        <f>IF('Advanced Entry'!G183="","",IFERROR(MAX(0,MIN(10,ROUND(IF('Advanced Entry'!G$8="Decrease Risk",10-10*((IF('Advanced Entry'!G$5="Logarithm",LN(0.001+'Advanced Entry'!G183),IF('Advanced Entry'!G$5="Exponential",EXP('Advanced Entry'!G183),'Advanced Entry'!G183)))-'Advanced Entry'!G$6)/('Advanced Entry'!G$7-'Advanced Entry'!G$6),10*((IF('Advanced Entry'!G$5="Logarithm",LN(0.001+'Advanced Entry'!G183),IF('Advanced Entry'!G$5="Exponential",EXP('Advanced Entry'!G183),'Advanced Entry'!G183)))-'Advanced Entry'!G$6)/('Advanced Entry'!G$7-'Advanced Entry'!G$6)),1))),"No data"))</f>
        <v/>
      </c>
      <c r="H183" s="17">
        <f>IF('Advanced Entry'!H183="","",IFERROR(MAX(0,MIN(10,ROUND(IF('Advanced Entry'!H$8="Decrease Risk",10-10*((IF('Advanced Entry'!H$5="Logarithm",LN(0.001+'Advanced Entry'!H183),IF('Advanced Entry'!H$5="Exponential",EXP('Advanced Entry'!H183),'Advanced Entry'!H183)))-'Advanced Entry'!H$6)/('Advanced Entry'!H$7-'Advanced Entry'!H$6),10*((IF('Advanced Entry'!H$5="Logarithm",LN(0.001+'Advanced Entry'!H183),IF('Advanced Entry'!H$5="Exponential",EXP('Advanced Entry'!H183),'Advanced Entry'!H183)))-'Advanced Entry'!H$6)/('Advanced Entry'!H$7-'Advanced Entry'!H$6)),1))),"No data"))</f>
        <v/>
      </c>
      <c r="I183" s="17">
        <f>IF('Advanced Entry'!I183="","",IFERROR(MAX(0,MIN(10,ROUND(IF('Advanced Entry'!I$8="Decrease Risk",10-10*((IF('Advanced Entry'!I$5="Logarithm",LN(0.001+'Advanced Entry'!I183),IF('Advanced Entry'!I$5="Exponential",EXP('Advanced Entry'!I183),'Advanced Entry'!I183)))-'Advanced Entry'!I$6)/('Advanced Entry'!I$7-'Advanced Entry'!I$6),10*((IF('Advanced Entry'!I$5="Logarithm",LN(0.001+'Advanced Entry'!I183),IF('Advanced Entry'!I$5="Exponential",EXP('Advanced Entry'!I183),'Advanced Entry'!I183)))-'Advanced Entry'!I$6)/('Advanced Entry'!I$7-'Advanced Entry'!I$6)),1))),"No data"))</f>
        <v/>
      </c>
      <c r="J183" s="17">
        <f>IF('Advanced Entry'!J183="","",IFERROR(MAX(0,MIN(10,ROUND(IF('Advanced Entry'!J$8="Decrease Risk",10-10*((IF('Advanced Entry'!J$5="Logarithm",LN(0.001+'Advanced Entry'!J183),IF('Advanced Entry'!J$5="Exponential",EXP('Advanced Entry'!J183),'Advanced Entry'!J183)))-'Advanced Entry'!J$6)/('Advanced Entry'!J$7-'Advanced Entry'!J$6),10*((IF('Advanced Entry'!J$5="Logarithm",LN(0.001+'Advanced Entry'!J183),IF('Advanced Entry'!J$5="Exponential",EXP('Advanced Entry'!J183),'Advanced Entry'!J183)))-'Advanced Entry'!J$6)/('Advanced Entry'!J$7-'Advanced Entry'!J$6)),1))),"No data"))</f>
        <v/>
      </c>
      <c r="K183" s="17">
        <f>IF('Advanced Entry'!K183="","",IFERROR(MAX(0,MIN(10,ROUND(IF('Advanced Entry'!K$8="Decrease Risk",10-10*((IF('Advanced Entry'!K$5="Logarithm",LN(0.001+'Advanced Entry'!K183),IF('Advanced Entry'!K$5="Exponential",EXP('Advanced Entry'!K183),'Advanced Entry'!K183)))-'Advanced Entry'!K$6)/('Advanced Entry'!K$7-'Advanced Entry'!K$6),10*((IF('Advanced Entry'!K$5="Logarithm",LN(0.001+'Advanced Entry'!K183),IF('Advanced Entry'!K$5="Exponential",EXP('Advanced Entry'!K183),'Advanced Entry'!K183)))-'Advanced Entry'!K$6)/('Advanced Entry'!K$7-'Advanced Entry'!K$6)),1))),"No data"))</f>
        <v/>
      </c>
      <c r="L183" s="17">
        <f>IF('Advanced Entry'!L183="","",IFERROR(MAX(0,MIN(10,ROUND(IF('Advanced Entry'!L$8="Decrease Risk",10-10*((IF('Advanced Entry'!L$5="Logarithm",LN(0.001+'Advanced Entry'!L183),IF('Advanced Entry'!L$5="Exponential",EXP('Advanced Entry'!L183),'Advanced Entry'!L183)))-'Advanced Entry'!L$6)/('Advanced Entry'!L$7-'Advanced Entry'!L$6),10*((IF('Advanced Entry'!L$5="Logarithm",LN(0.001+'Advanced Entry'!L183),IF('Advanced Entry'!L$5="Exponential",EXP('Advanced Entry'!L183),'Advanced Entry'!L183)))-'Advanced Entry'!L$6)/('Advanced Entry'!L$7-'Advanced Entry'!L$6)),1))),"No data"))</f>
        <v/>
      </c>
      <c r="M183" s="17">
        <f>IF('Advanced Entry'!M183="","",IFERROR(MAX(0,MIN(10,ROUND(IF('Advanced Entry'!M$8="Decrease Risk",10-10*((IF('Advanced Entry'!M$5="Logarithm",LN(0.001+'Advanced Entry'!M183),IF('Advanced Entry'!M$5="Exponential",EXP('Advanced Entry'!M183),'Advanced Entry'!M183)))-'Advanced Entry'!M$6)/('Advanced Entry'!M$7-'Advanced Entry'!M$6),10*((IF('Advanced Entry'!M$5="Logarithm",LN(0.001+'Advanced Entry'!M183),IF('Advanced Entry'!M$5="Exponential",EXP('Advanced Entry'!M183),'Advanced Entry'!M183)))-'Advanced Entry'!M$6)/('Advanced Entry'!M$7-'Advanced Entry'!M$6)),1))),"No data"))</f>
        <v/>
      </c>
      <c r="N183" s="17">
        <f>IF('Advanced Entry'!N183="","",IFERROR(MAX(0,MIN(10,ROUND(IF('Advanced Entry'!N$8="Decrease Risk",10-10*((IF('Advanced Entry'!N$5="Logarithm",LN(0.001+'Advanced Entry'!N183),IF('Advanced Entry'!N$5="Exponential",EXP('Advanced Entry'!N183),'Advanced Entry'!N183)))-'Advanced Entry'!N$6)/('Advanced Entry'!N$7-'Advanced Entry'!N$6),10*((IF('Advanced Entry'!N$5="Logarithm",LN(0.001+'Advanced Entry'!N183),IF('Advanced Entry'!N$5="Exponential",EXP('Advanced Entry'!N183),'Advanced Entry'!N183)))-'Advanced Entry'!N$6)/('Advanced Entry'!N$7-'Advanced Entry'!N$6)),1))),"No data"))</f>
        <v/>
      </c>
      <c r="O183" s="17">
        <f>IF('Advanced Entry'!O183="","",IFERROR(MAX(0,MIN(10,ROUND(IF('Advanced Entry'!O$8="Decrease Risk",10-10*((IF('Advanced Entry'!O$5="Logarithm",LN(0.001+'Advanced Entry'!O183),IF('Advanced Entry'!O$5="Exponential",EXP('Advanced Entry'!O183),'Advanced Entry'!O183)))-'Advanced Entry'!O$6)/('Advanced Entry'!O$7-'Advanced Entry'!O$6),10*((IF('Advanced Entry'!O$5="Logarithm",LN(0.001+'Advanced Entry'!O183),IF('Advanced Entry'!O$5="Exponential",EXP('Advanced Entry'!O183),'Advanced Entry'!O183)))-'Advanced Entry'!O$6)/('Advanced Entry'!O$7-'Advanced Entry'!O$6)),1))),"No data"))</f>
        <v/>
      </c>
      <c r="P183" s="17">
        <f>IF('Advanced Entry'!P183="","",IFERROR(MAX(0,MIN(10,ROUND(IF('Advanced Entry'!P$8="Decrease Risk",10-10*((IF('Advanced Entry'!P$5="Logarithm",LN(0.001+'Advanced Entry'!P183),IF('Advanced Entry'!P$5="Exponential",EXP('Advanced Entry'!P183),'Advanced Entry'!P183)))-'Advanced Entry'!P$6)/('Advanced Entry'!P$7-'Advanced Entry'!P$6),10*((IF('Advanced Entry'!P$5="Logarithm",LN(0.001+'Advanced Entry'!P183),IF('Advanced Entry'!P$5="Exponential",EXP('Advanced Entry'!P183),'Advanced Entry'!P183)))-'Advanced Entry'!P$6)/('Advanced Entry'!P$7-'Advanced Entry'!P$6)),1))),"No data"))</f>
        <v/>
      </c>
      <c r="Q183" s="17">
        <f>IF('Advanced Entry'!Q183="","",IFERROR(MAX(0,MIN(10,ROUND(IF('Advanced Entry'!Q$8="Decrease Risk",10-10*((IF('Advanced Entry'!Q$5="Logarithm",LN(0.001+'Advanced Entry'!Q183),IF('Advanced Entry'!Q$5="Exponential",EXP('Advanced Entry'!Q183),'Advanced Entry'!Q183)))-'Advanced Entry'!Q$6)/('Advanced Entry'!Q$7-'Advanced Entry'!Q$6),10*((IF('Advanced Entry'!Q$5="Logarithm",LN(0.001+'Advanced Entry'!Q183),IF('Advanced Entry'!Q$5="Exponential",EXP('Advanced Entry'!Q183),'Advanced Entry'!Q183)))-'Advanced Entry'!Q$6)/('Advanced Entry'!Q$7-'Advanced Entry'!Q$6)),1))),"No data"))</f>
        <v/>
      </c>
      <c r="R183" s="17">
        <f>IF('Advanced Entry'!R183="","",IFERROR(MAX(0,MIN(10,ROUND(IF('Advanced Entry'!R$8="Decrease Risk",10-10*((IF('Advanced Entry'!R$5="Logarithm",LN(0.001+'Advanced Entry'!R183),IF('Advanced Entry'!R$5="Exponential",EXP('Advanced Entry'!R183),'Advanced Entry'!R183)))-'Advanced Entry'!R$6)/('Advanced Entry'!R$7-'Advanced Entry'!R$6),10*((IF('Advanced Entry'!R$5="Logarithm",LN(0.001+'Advanced Entry'!R183),IF('Advanced Entry'!R$5="Exponential",EXP('Advanced Entry'!R183),'Advanced Entry'!R183)))-'Advanced Entry'!R$6)/('Advanced Entry'!R$7-'Advanced Entry'!R$6)),1))),"No data"))</f>
        <v/>
      </c>
      <c r="S183" s="17">
        <f>IF('Advanced Entry'!S183="","",IFERROR(MAX(0,MIN(10,ROUND(IF('Advanced Entry'!S$8="Decrease Risk",10-10*((IF('Advanced Entry'!S$5="Logarithm",LN(0.001+'Advanced Entry'!S183),IF('Advanced Entry'!S$5="Exponential",EXP('Advanced Entry'!S183),'Advanced Entry'!S183)))-'Advanced Entry'!S$6)/('Advanced Entry'!S$7-'Advanced Entry'!S$6),10*((IF('Advanced Entry'!S$5="Logarithm",LN(0.001+'Advanced Entry'!S183),IF('Advanced Entry'!S$5="Exponential",EXP('Advanced Entry'!S183),'Advanced Entry'!S183)))-'Advanced Entry'!S$6)/('Advanced Entry'!S$7-'Advanced Entry'!S$6)),1))),"No data"))</f>
        <v/>
      </c>
      <c r="T183" s="17">
        <f>IF('Advanced Entry'!T183="","",IFERROR(MAX(0,MIN(10,ROUND(IF('Advanced Entry'!T$8="Decrease Risk",10-10*((IF('Advanced Entry'!T$5="Logarithm",LN(0.001+'Advanced Entry'!T183),IF('Advanced Entry'!T$5="Exponential",EXP('Advanced Entry'!T183),'Advanced Entry'!T183)))-'Advanced Entry'!T$6)/('Advanced Entry'!T$7-'Advanced Entry'!T$6),10*((IF('Advanced Entry'!T$5="Logarithm",LN(0.001+'Advanced Entry'!T183),IF('Advanced Entry'!T$5="Exponential",EXP('Advanced Entry'!T183),'Advanced Entry'!T183)))-'Advanced Entry'!T$6)/('Advanced Entry'!T$7-'Advanced Entry'!T$6)),1))),"No data"))</f>
        <v/>
      </c>
      <c r="U183" s="17">
        <f>IF('Advanced Entry'!U183="","",IFERROR(MAX(0,MIN(10,ROUND(IF('Advanced Entry'!U$8="Decrease Risk",10-10*((IF('Advanced Entry'!U$5="Logarithm",LN(0.001+'Advanced Entry'!U183),IF('Advanced Entry'!U$5="Exponential",EXP('Advanced Entry'!U183),'Advanced Entry'!U183)))-'Advanced Entry'!U$6)/('Advanced Entry'!U$7-'Advanced Entry'!U$6),10*((IF('Advanced Entry'!U$5="Logarithm",LN(0.001+'Advanced Entry'!U183),IF('Advanced Entry'!U$5="Exponential",EXP('Advanced Entry'!U183),'Advanced Entry'!U183)))-'Advanced Entry'!U$6)/('Advanced Entry'!U$7-'Advanced Entry'!U$6)),1))),"No data"))</f>
        <v/>
      </c>
      <c r="V183" s="17">
        <f>IF('Advanced Entry'!V183="","",IFERROR(MAX(0,MIN(10,ROUND(IF('Advanced Entry'!V$8="Decrease Risk",10-10*((IF('Advanced Entry'!V$5="Logarithm",LN(0.001+'Advanced Entry'!V183),IF('Advanced Entry'!V$5="Exponential",EXP('Advanced Entry'!V183),'Advanced Entry'!V183)))-'Advanced Entry'!V$6)/('Advanced Entry'!V$7-'Advanced Entry'!V$6),10*((IF('Advanced Entry'!V$5="Logarithm",LN(0.001+'Advanced Entry'!V183),IF('Advanced Entry'!V$5="Exponential",EXP('Advanced Entry'!V183),'Advanced Entry'!V183)))-'Advanced Entry'!V$6)/('Advanced Entry'!V$7-'Advanced Entry'!V$6)),1))),"No data"))</f>
        <v/>
      </c>
      <c r="W183" s="17">
        <f>IF('Advanced Entry'!W183="","",IFERROR(MAX(0,MIN(10,ROUND(IF('Advanced Entry'!W$8="Decrease Risk",10-10*((IF('Advanced Entry'!W$5="Logarithm",LN(0.001+'Advanced Entry'!W183),IF('Advanced Entry'!W$5="Exponential",EXP('Advanced Entry'!W183),'Advanced Entry'!W183)))-'Advanced Entry'!W$6)/('Advanced Entry'!W$7-'Advanced Entry'!W$6),10*((IF('Advanced Entry'!W$5="Logarithm",LN(0.001+'Advanced Entry'!W183),IF('Advanced Entry'!W$5="Exponential",EXP('Advanced Entry'!W183),'Advanced Entry'!W183)))-'Advanced Entry'!W$6)/('Advanced Entry'!W$7-'Advanced Entry'!W$6)),1))),"No data"))</f>
        <v/>
      </c>
      <c r="X183" s="17">
        <f>IF('Advanced Entry'!X183="","",IFERROR(MAX(0,MIN(10,ROUND(IF('Advanced Entry'!X$8="Decrease Risk",10-10*((IF('Advanced Entry'!X$5="Logarithm",LN(0.001+'Advanced Entry'!X183),IF('Advanced Entry'!X$5="Exponential",EXP('Advanced Entry'!X183),'Advanced Entry'!X183)))-'Advanced Entry'!X$6)/('Advanced Entry'!X$7-'Advanced Entry'!X$6),10*((IF('Advanced Entry'!X$5="Logarithm",LN(0.001+'Advanced Entry'!X183),IF('Advanced Entry'!X$5="Exponential",EXP('Advanced Entry'!X183),'Advanced Entry'!X183)))-'Advanced Entry'!X$6)/('Advanced Entry'!X$7-'Advanced Entry'!X$6)),1))),"No data"))</f>
        <v/>
      </c>
      <c r="Y183" s="17">
        <f>IF('Advanced Entry'!Y183="","",IFERROR(MAX(0,MIN(10,ROUND(IF('Advanced Entry'!Y$8="Decrease Risk",10-10*((IF('Advanced Entry'!Y$5="Logarithm",LN(0.001+'Advanced Entry'!Y183),IF('Advanced Entry'!Y$5="Exponential",EXP('Advanced Entry'!Y183),'Advanced Entry'!Y183)))-'Advanced Entry'!Y$6)/('Advanced Entry'!Y$7-'Advanced Entry'!Y$6),10*((IF('Advanced Entry'!Y$5="Logarithm",LN(0.001+'Advanced Entry'!Y183),IF('Advanced Entry'!Y$5="Exponential",EXP('Advanced Entry'!Y183),'Advanced Entry'!Y183)))-'Advanced Entry'!Y$6)/('Advanced Entry'!Y$7-'Advanced Entry'!Y$6)),1))),"No data"))</f>
        <v/>
      </c>
      <c r="Z183" s="17">
        <f>IF('Advanced Entry'!Z183="","",IFERROR(MAX(0,MIN(10,ROUND(IF('Advanced Entry'!Z$8="Decrease Risk",10-10*((IF('Advanced Entry'!Z$5="Logarithm",LN(0.001+'Advanced Entry'!Z183),IF('Advanced Entry'!Z$5="Exponential",EXP('Advanced Entry'!Z183),'Advanced Entry'!Z183)))-'Advanced Entry'!Z$6)/('Advanced Entry'!Z$7-'Advanced Entry'!Z$6),10*((IF('Advanced Entry'!Z$5="Logarithm",LN(0.001+'Advanced Entry'!Z183),IF('Advanced Entry'!Z$5="Exponential",EXP('Advanced Entry'!Z183),'Advanced Entry'!Z183)))-'Advanced Entry'!Z$6)/('Advanced Entry'!Z$7-'Advanced Entry'!Z$6)),1))),"No data"))</f>
        <v/>
      </c>
      <c r="AA183" s="17">
        <f>IF('Advanced Entry'!AA183="","",IFERROR(MAX(0,MIN(10,ROUND(IF('Advanced Entry'!AA$8="Decrease Risk",10-10*((IF('Advanced Entry'!AA$5="Logarithm",LN(0.001+'Advanced Entry'!AA183),IF('Advanced Entry'!AA$5="Exponential",EXP('Advanced Entry'!AA183),'Advanced Entry'!AA183)))-'Advanced Entry'!AA$6)/('Advanced Entry'!AA$7-'Advanced Entry'!AA$6),10*((IF('Advanced Entry'!AA$5="Logarithm",LN(0.001+'Advanced Entry'!AA183),IF('Advanced Entry'!AA$5="Exponential",EXP('Advanced Entry'!AA183),'Advanced Entry'!AA183)))-'Advanced Entry'!AA$6)/('Advanced Entry'!AA$7-'Advanced Entry'!AA$6)),1))),"No data"))</f>
        <v/>
      </c>
      <c r="AB183" s="17">
        <f>IF('Advanced Entry'!AB183="","",IFERROR(MAX(0,MIN(10,ROUND(IF('Advanced Entry'!AB$8="Decrease Risk",10-10*((IF('Advanced Entry'!AB$5="Logarithm",LN(0.001+'Advanced Entry'!AB183),IF('Advanced Entry'!AB$5="Exponential",EXP('Advanced Entry'!AB183),'Advanced Entry'!AB183)))-'Advanced Entry'!AB$6)/('Advanced Entry'!AB$7-'Advanced Entry'!AB$6),10*((IF('Advanced Entry'!AB$5="Logarithm",LN(0.001+'Advanced Entry'!AB183),IF('Advanced Entry'!AB$5="Exponential",EXP('Advanced Entry'!AB183),'Advanced Entry'!AB183)))-'Advanced Entry'!AB$6)/('Advanced Entry'!AB$7-'Advanced Entry'!AB$6)),1))),"No data"))</f>
        <v/>
      </c>
    </row>
    <row r="184">
      <c r="A184" t="inlineStr">
        <is>
          <t>Songwe</t>
        </is>
      </c>
      <c r="B184" t="inlineStr">
        <is>
          <t>Momba District</t>
        </is>
      </c>
      <c r="C184" t="inlineStr">
        <is>
          <t>C180</t>
        </is>
      </c>
      <c r="D184" s="17">
        <f>IF('Advanced Entry'!D184="","",IFERROR(MAX(0,MIN(10,ROUND(IF('Advanced Entry'!D$8="Decrease Risk",10-10*((IF('Advanced Entry'!D$5="Logarithm",LN(0.001+'Advanced Entry'!D184),IF('Advanced Entry'!D$5="Exponential",EXP('Advanced Entry'!D184),'Advanced Entry'!D184)))-'Advanced Entry'!D$6)/('Advanced Entry'!D$7-'Advanced Entry'!D$6),10*((IF('Advanced Entry'!D$5="Logarithm",LN(0.001+'Advanced Entry'!D184),IF('Advanced Entry'!D$5="Exponential",EXP('Advanced Entry'!D184),'Advanced Entry'!D184)))-'Advanced Entry'!D$6)/('Advanced Entry'!D$7-'Advanced Entry'!D$6)),1))),"No data"))</f>
        <v/>
      </c>
      <c r="E184" s="17">
        <f>IF('Advanced Entry'!E184="","",IFERROR(MAX(0,MIN(10,ROUND(IF('Advanced Entry'!E$8="Decrease Risk",10-10*((IF('Advanced Entry'!E$5="Logarithm",LN(0.001+'Advanced Entry'!E184),IF('Advanced Entry'!E$5="Exponential",EXP('Advanced Entry'!E184),'Advanced Entry'!E184)))-'Advanced Entry'!E$6)/('Advanced Entry'!E$7-'Advanced Entry'!E$6),10*((IF('Advanced Entry'!E$5="Logarithm",LN(0.001+'Advanced Entry'!E184),IF('Advanced Entry'!E$5="Exponential",EXP('Advanced Entry'!E184),'Advanced Entry'!E184)))-'Advanced Entry'!E$6)/('Advanced Entry'!E$7-'Advanced Entry'!E$6)),1))),"No data"))</f>
        <v/>
      </c>
      <c r="F184" s="17">
        <f>IF('Advanced Entry'!F184="","",IFERROR(MAX(0,MIN(10,ROUND(IF('Advanced Entry'!F$8="Decrease Risk",10-10*((IF('Advanced Entry'!F$5="Logarithm",LN(0.001+'Advanced Entry'!F184),IF('Advanced Entry'!F$5="Exponential",EXP('Advanced Entry'!F184),'Advanced Entry'!F184)))-'Advanced Entry'!F$6)/('Advanced Entry'!F$7-'Advanced Entry'!F$6),10*((IF('Advanced Entry'!F$5="Logarithm",LN(0.001+'Advanced Entry'!F184),IF('Advanced Entry'!F$5="Exponential",EXP('Advanced Entry'!F184),'Advanced Entry'!F184)))-'Advanced Entry'!F$6)/('Advanced Entry'!F$7-'Advanced Entry'!F$6)),1))),"No data"))</f>
        <v/>
      </c>
      <c r="G184" s="17">
        <f>IF('Advanced Entry'!G184="","",IFERROR(MAX(0,MIN(10,ROUND(IF('Advanced Entry'!G$8="Decrease Risk",10-10*((IF('Advanced Entry'!G$5="Logarithm",LN(0.001+'Advanced Entry'!G184),IF('Advanced Entry'!G$5="Exponential",EXP('Advanced Entry'!G184),'Advanced Entry'!G184)))-'Advanced Entry'!G$6)/('Advanced Entry'!G$7-'Advanced Entry'!G$6),10*((IF('Advanced Entry'!G$5="Logarithm",LN(0.001+'Advanced Entry'!G184),IF('Advanced Entry'!G$5="Exponential",EXP('Advanced Entry'!G184),'Advanced Entry'!G184)))-'Advanced Entry'!G$6)/('Advanced Entry'!G$7-'Advanced Entry'!G$6)),1))),"No data"))</f>
        <v/>
      </c>
      <c r="H184" s="17">
        <f>IF('Advanced Entry'!H184="","",IFERROR(MAX(0,MIN(10,ROUND(IF('Advanced Entry'!H$8="Decrease Risk",10-10*((IF('Advanced Entry'!H$5="Logarithm",LN(0.001+'Advanced Entry'!H184),IF('Advanced Entry'!H$5="Exponential",EXP('Advanced Entry'!H184),'Advanced Entry'!H184)))-'Advanced Entry'!H$6)/('Advanced Entry'!H$7-'Advanced Entry'!H$6),10*((IF('Advanced Entry'!H$5="Logarithm",LN(0.001+'Advanced Entry'!H184),IF('Advanced Entry'!H$5="Exponential",EXP('Advanced Entry'!H184),'Advanced Entry'!H184)))-'Advanced Entry'!H$6)/('Advanced Entry'!H$7-'Advanced Entry'!H$6)),1))),"No data"))</f>
        <v/>
      </c>
      <c r="I184" s="17">
        <f>IF('Advanced Entry'!I184="","",IFERROR(MAX(0,MIN(10,ROUND(IF('Advanced Entry'!I$8="Decrease Risk",10-10*((IF('Advanced Entry'!I$5="Logarithm",LN(0.001+'Advanced Entry'!I184),IF('Advanced Entry'!I$5="Exponential",EXP('Advanced Entry'!I184),'Advanced Entry'!I184)))-'Advanced Entry'!I$6)/('Advanced Entry'!I$7-'Advanced Entry'!I$6),10*((IF('Advanced Entry'!I$5="Logarithm",LN(0.001+'Advanced Entry'!I184),IF('Advanced Entry'!I$5="Exponential",EXP('Advanced Entry'!I184),'Advanced Entry'!I184)))-'Advanced Entry'!I$6)/('Advanced Entry'!I$7-'Advanced Entry'!I$6)),1))),"No data"))</f>
        <v/>
      </c>
      <c r="J184" s="17">
        <f>IF('Advanced Entry'!J184="","",IFERROR(MAX(0,MIN(10,ROUND(IF('Advanced Entry'!J$8="Decrease Risk",10-10*((IF('Advanced Entry'!J$5="Logarithm",LN(0.001+'Advanced Entry'!J184),IF('Advanced Entry'!J$5="Exponential",EXP('Advanced Entry'!J184),'Advanced Entry'!J184)))-'Advanced Entry'!J$6)/('Advanced Entry'!J$7-'Advanced Entry'!J$6),10*((IF('Advanced Entry'!J$5="Logarithm",LN(0.001+'Advanced Entry'!J184),IF('Advanced Entry'!J$5="Exponential",EXP('Advanced Entry'!J184),'Advanced Entry'!J184)))-'Advanced Entry'!J$6)/('Advanced Entry'!J$7-'Advanced Entry'!J$6)),1))),"No data"))</f>
        <v/>
      </c>
      <c r="K184" s="17">
        <f>IF('Advanced Entry'!K184="","",IFERROR(MAX(0,MIN(10,ROUND(IF('Advanced Entry'!K$8="Decrease Risk",10-10*((IF('Advanced Entry'!K$5="Logarithm",LN(0.001+'Advanced Entry'!K184),IF('Advanced Entry'!K$5="Exponential",EXP('Advanced Entry'!K184),'Advanced Entry'!K184)))-'Advanced Entry'!K$6)/('Advanced Entry'!K$7-'Advanced Entry'!K$6),10*((IF('Advanced Entry'!K$5="Logarithm",LN(0.001+'Advanced Entry'!K184),IF('Advanced Entry'!K$5="Exponential",EXP('Advanced Entry'!K184),'Advanced Entry'!K184)))-'Advanced Entry'!K$6)/('Advanced Entry'!K$7-'Advanced Entry'!K$6)),1))),"No data"))</f>
        <v/>
      </c>
      <c r="L184" s="17">
        <f>IF('Advanced Entry'!L184="","",IFERROR(MAX(0,MIN(10,ROUND(IF('Advanced Entry'!L$8="Decrease Risk",10-10*((IF('Advanced Entry'!L$5="Logarithm",LN(0.001+'Advanced Entry'!L184),IF('Advanced Entry'!L$5="Exponential",EXP('Advanced Entry'!L184),'Advanced Entry'!L184)))-'Advanced Entry'!L$6)/('Advanced Entry'!L$7-'Advanced Entry'!L$6),10*((IF('Advanced Entry'!L$5="Logarithm",LN(0.001+'Advanced Entry'!L184),IF('Advanced Entry'!L$5="Exponential",EXP('Advanced Entry'!L184),'Advanced Entry'!L184)))-'Advanced Entry'!L$6)/('Advanced Entry'!L$7-'Advanced Entry'!L$6)),1))),"No data"))</f>
        <v/>
      </c>
      <c r="M184" s="17">
        <f>IF('Advanced Entry'!M184="","",IFERROR(MAX(0,MIN(10,ROUND(IF('Advanced Entry'!M$8="Decrease Risk",10-10*((IF('Advanced Entry'!M$5="Logarithm",LN(0.001+'Advanced Entry'!M184),IF('Advanced Entry'!M$5="Exponential",EXP('Advanced Entry'!M184),'Advanced Entry'!M184)))-'Advanced Entry'!M$6)/('Advanced Entry'!M$7-'Advanced Entry'!M$6),10*((IF('Advanced Entry'!M$5="Logarithm",LN(0.001+'Advanced Entry'!M184),IF('Advanced Entry'!M$5="Exponential",EXP('Advanced Entry'!M184),'Advanced Entry'!M184)))-'Advanced Entry'!M$6)/('Advanced Entry'!M$7-'Advanced Entry'!M$6)),1))),"No data"))</f>
        <v/>
      </c>
      <c r="N184" s="17">
        <f>IF('Advanced Entry'!N184="","",IFERROR(MAX(0,MIN(10,ROUND(IF('Advanced Entry'!N$8="Decrease Risk",10-10*((IF('Advanced Entry'!N$5="Logarithm",LN(0.001+'Advanced Entry'!N184),IF('Advanced Entry'!N$5="Exponential",EXP('Advanced Entry'!N184),'Advanced Entry'!N184)))-'Advanced Entry'!N$6)/('Advanced Entry'!N$7-'Advanced Entry'!N$6),10*((IF('Advanced Entry'!N$5="Logarithm",LN(0.001+'Advanced Entry'!N184),IF('Advanced Entry'!N$5="Exponential",EXP('Advanced Entry'!N184),'Advanced Entry'!N184)))-'Advanced Entry'!N$6)/('Advanced Entry'!N$7-'Advanced Entry'!N$6)),1))),"No data"))</f>
        <v/>
      </c>
      <c r="O184" s="17">
        <f>IF('Advanced Entry'!O184="","",IFERROR(MAX(0,MIN(10,ROUND(IF('Advanced Entry'!O$8="Decrease Risk",10-10*((IF('Advanced Entry'!O$5="Logarithm",LN(0.001+'Advanced Entry'!O184),IF('Advanced Entry'!O$5="Exponential",EXP('Advanced Entry'!O184),'Advanced Entry'!O184)))-'Advanced Entry'!O$6)/('Advanced Entry'!O$7-'Advanced Entry'!O$6),10*((IF('Advanced Entry'!O$5="Logarithm",LN(0.001+'Advanced Entry'!O184),IF('Advanced Entry'!O$5="Exponential",EXP('Advanced Entry'!O184),'Advanced Entry'!O184)))-'Advanced Entry'!O$6)/('Advanced Entry'!O$7-'Advanced Entry'!O$6)),1))),"No data"))</f>
        <v/>
      </c>
      <c r="P184" s="17">
        <f>IF('Advanced Entry'!P184="","",IFERROR(MAX(0,MIN(10,ROUND(IF('Advanced Entry'!P$8="Decrease Risk",10-10*((IF('Advanced Entry'!P$5="Logarithm",LN(0.001+'Advanced Entry'!P184),IF('Advanced Entry'!P$5="Exponential",EXP('Advanced Entry'!P184),'Advanced Entry'!P184)))-'Advanced Entry'!P$6)/('Advanced Entry'!P$7-'Advanced Entry'!P$6),10*((IF('Advanced Entry'!P$5="Logarithm",LN(0.001+'Advanced Entry'!P184),IF('Advanced Entry'!P$5="Exponential",EXP('Advanced Entry'!P184),'Advanced Entry'!P184)))-'Advanced Entry'!P$6)/('Advanced Entry'!P$7-'Advanced Entry'!P$6)),1))),"No data"))</f>
        <v/>
      </c>
      <c r="Q184" s="17">
        <f>IF('Advanced Entry'!Q184="","",IFERROR(MAX(0,MIN(10,ROUND(IF('Advanced Entry'!Q$8="Decrease Risk",10-10*((IF('Advanced Entry'!Q$5="Logarithm",LN(0.001+'Advanced Entry'!Q184),IF('Advanced Entry'!Q$5="Exponential",EXP('Advanced Entry'!Q184),'Advanced Entry'!Q184)))-'Advanced Entry'!Q$6)/('Advanced Entry'!Q$7-'Advanced Entry'!Q$6),10*((IF('Advanced Entry'!Q$5="Logarithm",LN(0.001+'Advanced Entry'!Q184),IF('Advanced Entry'!Q$5="Exponential",EXP('Advanced Entry'!Q184),'Advanced Entry'!Q184)))-'Advanced Entry'!Q$6)/('Advanced Entry'!Q$7-'Advanced Entry'!Q$6)),1))),"No data"))</f>
        <v/>
      </c>
      <c r="R184" s="17">
        <f>IF('Advanced Entry'!R184="","",IFERROR(MAX(0,MIN(10,ROUND(IF('Advanced Entry'!R$8="Decrease Risk",10-10*((IF('Advanced Entry'!R$5="Logarithm",LN(0.001+'Advanced Entry'!R184),IF('Advanced Entry'!R$5="Exponential",EXP('Advanced Entry'!R184),'Advanced Entry'!R184)))-'Advanced Entry'!R$6)/('Advanced Entry'!R$7-'Advanced Entry'!R$6),10*((IF('Advanced Entry'!R$5="Logarithm",LN(0.001+'Advanced Entry'!R184),IF('Advanced Entry'!R$5="Exponential",EXP('Advanced Entry'!R184),'Advanced Entry'!R184)))-'Advanced Entry'!R$6)/('Advanced Entry'!R$7-'Advanced Entry'!R$6)),1))),"No data"))</f>
        <v/>
      </c>
      <c r="S184" s="17">
        <f>IF('Advanced Entry'!S184="","",IFERROR(MAX(0,MIN(10,ROUND(IF('Advanced Entry'!S$8="Decrease Risk",10-10*((IF('Advanced Entry'!S$5="Logarithm",LN(0.001+'Advanced Entry'!S184),IF('Advanced Entry'!S$5="Exponential",EXP('Advanced Entry'!S184),'Advanced Entry'!S184)))-'Advanced Entry'!S$6)/('Advanced Entry'!S$7-'Advanced Entry'!S$6),10*((IF('Advanced Entry'!S$5="Logarithm",LN(0.001+'Advanced Entry'!S184),IF('Advanced Entry'!S$5="Exponential",EXP('Advanced Entry'!S184),'Advanced Entry'!S184)))-'Advanced Entry'!S$6)/('Advanced Entry'!S$7-'Advanced Entry'!S$6)),1))),"No data"))</f>
        <v/>
      </c>
      <c r="T184" s="17">
        <f>IF('Advanced Entry'!T184="","",IFERROR(MAX(0,MIN(10,ROUND(IF('Advanced Entry'!T$8="Decrease Risk",10-10*((IF('Advanced Entry'!T$5="Logarithm",LN(0.001+'Advanced Entry'!T184),IF('Advanced Entry'!T$5="Exponential",EXP('Advanced Entry'!T184),'Advanced Entry'!T184)))-'Advanced Entry'!T$6)/('Advanced Entry'!T$7-'Advanced Entry'!T$6),10*((IF('Advanced Entry'!T$5="Logarithm",LN(0.001+'Advanced Entry'!T184),IF('Advanced Entry'!T$5="Exponential",EXP('Advanced Entry'!T184),'Advanced Entry'!T184)))-'Advanced Entry'!T$6)/('Advanced Entry'!T$7-'Advanced Entry'!T$6)),1))),"No data"))</f>
        <v/>
      </c>
      <c r="U184" s="17">
        <f>IF('Advanced Entry'!U184="","",IFERROR(MAX(0,MIN(10,ROUND(IF('Advanced Entry'!U$8="Decrease Risk",10-10*((IF('Advanced Entry'!U$5="Logarithm",LN(0.001+'Advanced Entry'!U184),IF('Advanced Entry'!U$5="Exponential",EXP('Advanced Entry'!U184),'Advanced Entry'!U184)))-'Advanced Entry'!U$6)/('Advanced Entry'!U$7-'Advanced Entry'!U$6),10*((IF('Advanced Entry'!U$5="Logarithm",LN(0.001+'Advanced Entry'!U184),IF('Advanced Entry'!U$5="Exponential",EXP('Advanced Entry'!U184),'Advanced Entry'!U184)))-'Advanced Entry'!U$6)/('Advanced Entry'!U$7-'Advanced Entry'!U$6)),1))),"No data"))</f>
        <v/>
      </c>
      <c r="V184" s="17">
        <f>IF('Advanced Entry'!V184="","",IFERROR(MAX(0,MIN(10,ROUND(IF('Advanced Entry'!V$8="Decrease Risk",10-10*((IF('Advanced Entry'!V$5="Logarithm",LN(0.001+'Advanced Entry'!V184),IF('Advanced Entry'!V$5="Exponential",EXP('Advanced Entry'!V184),'Advanced Entry'!V184)))-'Advanced Entry'!V$6)/('Advanced Entry'!V$7-'Advanced Entry'!V$6),10*((IF('Advanced Entry'!V$5="Logarithm",LN(0.001+'Advanced Entry'!V184),IF('Advanced Entry'!V$5="Exponential",EXP('Advanced Entry'!V184),'Advanced Entry'!V184)))-'Advanced Entry'!V$6)/('Advanced Entry'!V$7-'Advanced Entry'!V$6)),1))),"No data"))</f>
        <v/>
      </c>
      <c r="W184" s="17">
        <f>IF('Advanced Entry'!W184="","",IFERROR(MAX(0,MIN(10,ROUND(IF('Advanced Entry'!W$8="Decrease Risk",10-10*((IF('Advanced Entry'!W$5="Logarithm",LN(0.001+'Advanced Entry'!W184),IF('Advanced Entry'!W$5="Exponential",EXP('Advanced Entry'!W184),'Advanced Entry'!W184)))-'Advanced Entry'!W$6)/('Advanced Entry'!W$7-'Advanced Entry'!W$6),10*((IF('Advanced Entry'!W$5="Logarithm",LN(0.001+'Advanced Entry'!W184),IF('Advanced Entry'!W$5="Exponential",EXP('Advanced Entry'!W184),'Advanced Entry'!W184)))-'Advanced Entry'!W$6)/('Advanced Entry'!W$7-'Advanced Entry'!W$6)),1))),"No data"))</f>
        <v/>
      </c>
      <c r="X184" s="17">
        <f>IF('Advanced Entry'!X184="","",IFERROR(MAX(0,MIN(10,ROUND(IF('Advanced Entry'!X$8="Decrease Risk",10-10*((IF('Advanced Entry'!X$5="Logarithm",LN(0.001+'Advanced Entry'!X184),IF('Advanced Entry'!X$5="Exponential",EXP('Advanced Entry'!X184),'Advanced Entry'!X184)))-'Advanced Entry'!X$6)/('Advanced Entry'!X$7-'Advanced Entry'!X$6),10*((IF('Advanced Entry'!X$5="Logarithm",LN(0.001+'Advanced Entry'!X184),IF('Advanced Entry'!X$5="Exponential",EXP('Advanced Entry'!X184),'Advanced Entry'!X184)))-'Advanced Entry'!X$6)/('Advanced Entry'!X$7-'Advanced Entry'!X$6)),1))),"No data"))</f>
        <v/>
      </c>
      <c r="Y184" s="17">
        <f>IF('Advanced Entry'!Y184="","",IFERROR(MAX(0,MIN(10,ROUND(IF('Advanced Entry'!Y$8="Decrease Risk",10-10*((IF('Advanced Entry'!Y$5="Logarithm",LN(0.001+'Advanced Entry'!Y184),IF('Advanced Entry'!Y$5="Exponential",EXP('Advanced Entry'!Y184),'Advanced Entry'!Y184)))-'Advanced Entry'!Y$6)/('Advanced Entry'!Y$7-'Advanced Entry'!Y$6),10*((IF('Advanced Entry'!Y$5="Logarithm",LN(0.001+'Advanced Entry'!Y184),IF('Advanced Entry'!Y$5="Exponential",EXP('Advanced Entry'!Y184),'Advanced Entry'!Y184)))-'Advanced Entry'!Y$6)/('Advanced Entry'!Y$7-'Advanced Entry'!Y$6)),1))),"No data"))</f>
        <v/>
      </c>
      <c r="Z184" s="17">
        <f>IF('Advanced Entry'!Z184="","",IFERROR(MAX(0,MIN(10,ROUND(IF('Advanced Entry'!Z$8="Decrease Risk",10-10*((IF('Advanced Entry'!Z$5="Logarithm",LN(0.001+'Advanced Entry'!Z184),IF('Advanced Entry'!Z$5="Exponential",EXP('Advanced Entry'!Z184),'Advanced Entry'!Z184)))-'Advanced Entry'!Z$6)/('Advanced Entry'!Z$7-'Advanced Entry'!Z$6),10*((IF('Advanced Entry'!Z$5="Logarithm",LN(0.001+'Advanced Entry'!Z184),IF('Advanced Entry'!Z$5="Exponential",EXP('Advanced Entry'!Z184),'Advanced Entry'!Z184)))-'Advanced Entry'!Z$6)/('Advanced Entry'!Z$7-'Advanced Entry'!Z$6)),1))),"No data"))</f>
        <v/>
      </c>
      <c r="AA184" s="17">
        <f>IF('Advanced Entry'!AA184="","",IFERROR(MAX(0,MIN(10,ROUND(IF('Advanced Entry'!AA$8="Decrease Risk",10-10*((IF('Advanced Entry'!AA$5="Logarithm",LN(0.001+'Advanced Entry'!AA184),IF('Advanced Entry'!AA$5="Exponential",EXP('Advanced Entry'!AA184),'Advanced Entry'!AA184)))-'Advanced Entry'!AA$6)/('Advanced Entry'!AA$7-'Advanced Entry'!AA$6),10*((IF('Advanced Entry'!AA$5="Logarithm",LN(0.001+'Advanced Entry'!AA184),IF('Advanced Entry'!AA$5="Exponential",EXP('Advanced Entry'!AA184),'Advanced Entry'!AA184)))-'Advanced Entry'!AA$6)/('Advanced Entry'!AA$7-'Advanced Entry'!AA$6)),1))),"No data"))</f>
        <v/>
      </c>
      <c r="AB184" s="17">
        <f>IF('Advanced Entry'!AB184="","",IFERROR(MAX(0,MIN(10,ROUND(IF('Advanced Entry'!AB$8="Decrease Risk",10-10*((IF('Advanced Entry'!AB$5="Logarithm",LN(0.001+'Advanced Entry'!AB184),IF('Advanced Entry'!AB$5="Exponential",EXP('Advanced Entry'!AB184),'Advanced Entry'!AB184)))-'Advanced Entry'!AB$6)/('Advanced Entry'!AB$7-'Advanced Entry'!AB$6),10*((IF('Advanced Entry'!AB$5="Logarithm",LN(0.001+'Advanced Entry'!AB184),IF('Advanced Entry'!AB$5="Exponential",EXP('Advanced Entry'!AB184),'Advanced Entry'!AB184)))-'Advanced Entry'!AB$6)/('Advanced Entry'!AB$7-'Advanced Entry'!AB$6)),1))),"No data"))</f>
        <v/>
      </c>
    </row>
    <row r="185">
      <c r="A185" t="inlineStr">
        <is>
          <t>Songwe</t>
        </is>
      </c>
      <c r="B185" t="inlineStr">
        <is>
          <t>Songwe District</t>
        </is>
      </c>
      <c r="C185" t="inlineStr">
        <is>
          <t>C182</t>
        </is>
      </c>
      <c r="D185" s="17">
        <f>IF('Advanced Entry'!D185="","",IFERROR(MAX(0,MIN(10,ROUND(IF('Advanced Entry'!D$8="Decrease Risk",10-10*((IF('Advanced Entry'!D$5="Logarithm",LN(0.001+'Advanced Entry'!D185),IF('Advanced Entry'!D$5="Exponential",EXP('Advanced Entry'!D185),'Advanced Entry'!D185)))-'Advanced Entry'!D$6)/('Advanced Entry'!D$7-'Advanced Entry'!D$6),10*((IF('Advanced Entry'!D$5="Logarithm",LN(0.001+'Advanced Entry'!D185),IF('Advanced Entry'!D$5="Exponential",EXP('Advanced Entry'!D185),'Advanced Entry'!D185)))-'Advanced Entry'!D$6)/('Advanced Entry'!D$7-'Advanced Entry'!D$6)),1))),"No data"))</f>
        <v/>
      </c>
      <c r="E185" s="17">
        <f>IF('Advanced Entry'!E185="","",IFERROR(MAX(0,MIN(10,ROUND(IF('Advanced Entry'!E$8="Decrease Risk",10-10*((IF('Advanced Entry'!E$5="Logarithm",LN(0.001+'Advanced Entry'!E185),IF('Advanced Entry'!E$5="Exponential",EXP('Advanced Entry'!E185),'Advanced Entry'!E185)))-'Advanced Entry'!E$6)/('Advanced Entry'!E$7-'Advanced Entry'!E$6),10*((IF('Advanced Entry'!E$5="Logarithm",LN(0.001+'Advanced Entry'!E185),IF('Advanced Entry'!E$5="Exponential",EXP('Advanced Entry'!E185),'Advanced Entry'!E185)))-'Advanced Entry'!E$6)/('Advanced Entry'!E$7-'Advanced Entry'!E$6)),1))),"No data"))</f>
        <v/>
      </c>
      <c r="F185" s="17">
        <f>IF('Advanced Entry'!F185="","",IFERROR(MAX(0,MIN(10,ROUND(IF('Advanced Entry'!F$8="Decrease Risk",10-10*((IF('Advanced Entry'!F$5="Logarithm",LN(0.001+'Advanced Entry'!F185),IF('Advanced Entry'!F$5="Exponential",EXP('Advanced Entry'!F185),'Advanced Entry'!F185)))-'Advanced Entry'!F$6)/('Advanced Entry'!F$7-'Advanced Entry'!F$6),10*((IF('Advanced Entry'!F$5="Logarithm",LN(0.001+'Advanced Entry'!F185),IF('Advanced Entry'!F$5="Exponential",EXP('Advanced Entry'!F185),'Advanced Entry'!F185)))-'Advanced Entry'!F$6)/('Advanced Entry'!F$7-'Advanced Entry'!F$6)),1))),"No data"))</f>
        <v/>
      </c>
      <c r="G185" s="17">
        <f>IF('Advanced Entry'!G185="","",IFERROR(MAX(0,MIN(10,ROUND(IF('Advanced Entry'!G$8="Decrease Risk",10-10*((IF('Advanced Entry'!G$5="Logarithm",LN(0.001+'Advanced Entry'!G185),IF('Advanced Entry'!G$5="Exponential",EXP('Advanced Entry'!G185),'Advanced Entry'!G185)))-'Advanced Entry'!G$6)/('Advanced Entry'!G$7-'Advanced Entry'!G$6),10*((IF('Advanced Entry'!G$5="Logarithm",LN(0.001+'Advanced Entry'!G185),IF('Advanced Entry'!G$5="Exponential",EXP('Advanced Entry'!G185),'Advanced Entry'!G185)))-'Advanced Entry'!G$6)/('Advanced Entry'!G$7-'Advanced Entry'!G$6)),1))),"No data"))</f>
        <v/>
      </c>
      <c r="H185" s="17">
        <f>IF('Advanced Entry'!H185="","",IFERROR(MAX(0,MIN(10,ROUND(IF('Advanced Entry'!H$8="Decrease Risk",10-10*((IF('Advanced Entry'!H$5="Logarithm",LN(0.001+'Advanced Entry'!H185),IF('Advanced Entry'!H$5="Exponential",EXP('Advanced Entry'!H185),'Advanced Entry'!H185)))-'Advanced Entry'!H$6)/('Advanced Entry'!H$7-'Advanced Entry'!H$6),10*((IF('Advanced Entry'!H$5="Logarithm",LN(0.001+'Advanced Entry'!H185),IF('Advanced Entry'!H$5="Exponential",EXP('Advanced Entry'!H185),'Advanced Entry'!H185)))-'Advanced Entry'!H$6)/('Advanced Entry'!H$7-'Advanced Entry'!H$6)),1))),"No data"))</f>
        <v/>
      </c>
      <c r="I185" s="17">
        <f>IF('Advanced Entry'!I185="","",IFERROR(MAX(0,MIN(10,ROUND(IF('Advanced Entry'!I$8="Decrease Risk",10-10*((IF('Advanced Entry'!I$5="Logarithm",LN(0.001+'Advanced Entry'!I185),IF('Advanced Entry'!I$5="Exponential",EXP('Advanced Entry'!I185),'Advanced Entry'!I185)))-'Advanced Entry'!I$6)/('Advanced Entry'!I$7-'Advanced Entry'!I$6),10*((IF('Advanced Entry'!I$5="Logarithm",LN(0.001+'Advanced Entry'!I185),IF('Advanced Entry'!I$5="Exponential",EXP('Advanced Entry'!I185),'Advanced Entry'!I185)))-'Advanced Entry'!I$6)/('Advanced Entry'!I$7-'Advanced Entry'!I$6)),1))),"No data"))</f>
        <v/>
      </c>
      <c r="J185" s="17">
        <f>IF('Advanced Entry'!J185="","",IFERROR(MAX(0,MIN(10,ROUND(IF('Advanced Entry'!J$8="Decrease Risk",10-10*((IF('Advanced Entry'!J$5="Logarithm",LN(0.001+'Advanced Entry'!J185),IF('Advanced Entry'!J$5="Exponential",EXP('Advanced Entry'!J185),'Advanced Entry'!J185)))-'Advanced Entry'!J$6)/('Advanced Entry'!J$7-'Advanced Entry'!J$6),10*((IF('Advanced Entry'!J$5="Logarithm",LN(0.001+'Advanced Entry'!J185),IF('Advanced Entry'!J$5="Exponential",EXP('Advanced Entry'!J185),'Advanced Entry'!J185)))-'Advanced Entry'!J$6)/('Advanced Entry'!J$7-'Advanced Entry'!J$6)),1))),"No data"))</f>
        <v/>
      </c>
      <c r="K185" s="17">
        <f>IF('Advanced Entry'!K185="","",IFERROR(MAX(0,MIN(10,ROUND(IF('Advanced Entry'!K$8="Decrease Risk",10-10*((IF('Advanced Entry'!K$5="Logarithm",LN(0.001+'Advanced Entry'!K185),IF('Advanced Entry'!K$5="Exponential",EXP('Advanced Entry'!K185),'Advanced Entry'!K185)))-'Advanced Entry'!K$6)/('Advanced Entry'!K$7-'Advanced Entry'!K$6),10*((IF('Advanced Entry'!K$5="Logarithm",LN(0.001+'Advanced Entry'!K185),IF('Advanced Entry'!K$5="Exponential",EXP('Advanced Entry'!K185),'Advanced Entry'!K185)))-'Advanced Entry'!K$6)/('Advanced Entry'!K$7-'Advanced Entry'!K$6)),1))),"No data"))</f>
        <v/>
      </c>
      <c r="L185" s="17">
        <f>IF('Advanced Entry'!L185="","",IFERROR(MAX(0,MIN(10,ROUND(IF('Advanced Entry'!L$8="Decrease Risk",10-10*((IF('Advanced Entry'!L$5="Logarithm",LN(0.001+'Advanced Entry'!L185),IF('Advanced Entry'!L$5="Exponential",EXP('Advanced Entry'!L185),'Advanced Entry'!L185)))-'Advanced Entry'!L$6)/('Advanced Entry'!L$7-'Advanced Entry'!L$6),10*((IF('Advanced Entry'!L$5="Logarithm",LN(0.001+'Advanced Entry'!L185),IF('Advanced Entry'!L$5="Exponential",EXP('Advanced Entry'!L185),'Advanced Entry'!L185)))-'Advanced Entry'!L$6)/('Advanced Entry'!L$7-'Advanced Entry'!L$6)),1))),"No data"))</f>
        <v/>
      </c>
      <c r="M185" s="17">
        <f>IF('Advanced Entry'!M185="","",IFERROR(MAX(0,MIN(10,ROUND(IF('Advanced Entry'!M$8="Decrease Risk",10-10*((IF('Advanced Entry'!M$5="Logarithm",LN(0.001+'Advanced Entry'!M185),IF('Advanced Entry'!M$5="Exponential",EXP('Advanced Entry'!M185),'Advanced Entry'!M185)))-'Advanced Entry'!M$6)/('Advanced Entry'!M$7-'Advanced Entry'!M$6),10*((IF('Advanced Entry'!M$5="Logarithm",LN(0.001+'Advanced Entry'!M185),IF('Advanced Entry'!M$5="Exponential",EXP('Advanced Entry'!M185),'Advanced Entry'!M185)))-'Advanced Entry'!M$6)/('Advanced Entry'!M$7-'Advanced Entry'!M$6)),1))),"No data"))</f>
        <v/>
      </c>
      <c r="N185" s="17">
        <f>IF('Advanced Entry'!N185="","",IFERROR(MAX(0,MIN(10,ROUND(IF('Advanced Entry'!N$8="Decrease Risk",10-10*((IF('Advanced Entry'!N$5="Logarithm",LN(0.001+'Advanced Entry'!N185),IF('Advanced Entry'!N$5="Exponential",EXP('Advanced Entry'!N185),'Advanced Entry'!N185)))-'Advanced Entry'!N$6)/('Advanced Entry'!N$7-'Advanced Entry'!N$6),10*((IF('Advanced Entry'!N$5="Logarithm",LN(0.001+'Advanced Entry'!N185),IF('Advanced Entry'!N$5="Exponential",EXP('Advanced Entry'!N185),'Advanced Entry'!N185)))-'Advanced Entry'!N$6)/('Advanced Entry'!N$7-'Advanced Entry'!N$6)),1))),"No data"))</f>
        <v/>
      </c>
      <c r="O185" s="17">
        <f>IF('Advanced Entry'!O185="","",IFERROR(MAX(0,MIN(10,ROUND(IF('Advanced Entry'!O$8="Decrease Risk",10-10*((IF('Advanced Entry'!O$5="Logarithm",LN(0.001+'Advanced Entry'!O185),IF('Advanced Entry'!O$5="Exponential",EXP('Advanced Entry'!O185),'Advanced Entry'!O185)))-'Advanced Entry'!O$6)/('Advanced Entry'!O$7-'Advanced Entry'!O$6),10*((IF('Advanced Entry'!O$5="Logarithm",LN(0.001+'Advanced Entry'!O185),IF('Advanced Entry'!O$5="Exponential",EXP('Advanced Entry'!O185),'Advanced Entry'!O185)))-'Advanced Entry'!O$6)/('Advanced Entry'!O$7-'Advanced Entry'!O$6)),1))),"No data"))</f>
        <v/>
      </c>
      <c r="P185" s="17">
        <f>IF('Advanced Entry'!P185="","",IFERROR(MAX(0,MIN(10,ROUND(IF('Advanced Entry'!P$8="Decrease Risk",10-10*((IF('Advanced Entry'!P$5="Logarithm",LN(0.001+'Advanced Entry'!P185),IF('Advanced Entry'!P$5="Exponential",EXP('Advanced Entry'!P185),'Advanced Entry'!P185)))-'Advanced Entry'!P$6)/('Advanced Entry'!P$7-'Advanced Entry'!P$6),10*((IF('Advanced Entry'!P$5="Logarithm",LN(0.001+'Advanced Entry'!P185),IF('Advanced Entry'!P$5="Exponential",EXP('Advanced Entry'!P185),'Advanced Entry'!P185)))-'Advanced Entry'!P$6)/('Advanced Entry'!P$7-'Advanced Entry'!P$6)),1))),"No data"))</f>
        <v/>
      </c>
      <c r="Q185" s="17">
        <f>IF('Advanced Entry'!Q185="","",IFERROR(MAX(0,MIN(10,ROUND(IF('Advanced Entry'!Q$8="Decrease Risk",10-10*((IF('Advanced Entry'!Q$5="Logarithm",LN(0.001+'Advanced Entry'!Q185),IF('Advanced Entry'!Q$5="Exponential",EXP('Advanced Entry'!Q185),'Advanced Entry'!Q185)))-'Advanced Entry'!Q$6)/('Advanced Entry'!Q$7-'Advanced Entry'!Q$6),10*((IF('Advanced Entry'!Q$5="Logarithm",LN(0.001+'Advanced Entry'!Q185),IF('Advanced Entry'!Q$5="Exponential",EXP('Advanced Entry'!Q185),'Advanced Entry'!Q185)))-'Advanced Entry'!Q$6)/('Advanced Entry'!Q$7-'Advanced Entry'!Q$6)),1))),"No data"))</f>
        <v/>
      </c>
      <c r="R185" s="17">
        <f>IF('Advanced Entry'!R185="","",IFERROR(MAX(0,MIN(10,ROUND(IF('Advanced Entry'!R$8="Decrease Risk",10-10*((IF('Advanced Entry'!R$5="Logarithm",LN(0.001+'Advanced Entry'!R185),IF('Advanced Entry'!R$5="Exponential",EXP('Advanced Entry'!R185),'Advanced Entry'!R185)))-'Advanced Entry'!R$6)/('Advanced Entry'!R$7-'Advanced Entry'!R$6),10*((IF('Advanced Entry'!R$5="Logarithm",LN(0.001+'Advanced Entry'!R185),IF('Advanced Entry'!R$5="Exponential",EXP('Advanced Entry'!R185),'Advanced Entry'!R185)))-'Advanced Entry'!R$6)/('Advanced Entry'!R$7-'Advanced Entry'!R$6)),1))),"No data"))</f>
        <v/>
      </c>
      <c r="S185" s="17">
        <f>IF('Advanced Entry'!S185="","",IFERROR(MAX(0,MIN(10,ROUND(IF('Advanced Entry'!S$8="Decrease Risk",10-10*((IF('Advanced Entry'!S$5="Logarithm",LN(0.001+'Advanced Entry'!S185),IF('Advanced Entry'!S$5="Exponential",EXP('Advanced Entry'!S185),'Advanced Entry'!S185)))-'Advanced Entry'!S$6)/('Advanced Entry'!S$7-'Advanced Entry'!S$6),10*((IF('Advanced Entry'!S$5="Logarithm",LN(0.001+'Advanced Entry'!S185),IF('Advanced Entry'!S$5="Exponential",EXP('Advanced Entry'!S185),'Advanced Entry'!S185)))-'Advanced Entry'!S$6)/('Advanced Entry'!S$7-'Advanced Entry'!S$6)),1))),"No data"))</f>
        <v/>
      </c>
      <c r="T185" s="17">
        <f>IF('Advanced Entry'!T185="","",IFERROR(MAX(0,MIN(10,ROUND(IF('Advanced Entry'!T$8="Decrease Risk",10-10*((IF('Advanced Entry'!T$5="Logarithm",LN(0.001+'Advanced Entry'!T185),IF('Advanced Entry'!T$5="Exponential",EXP('Advanced Entry'!T185),'Advanced Entry'!T185)))-'Advanced Entry'!T$6)/('Advanced Entry'!T$7-'Advanced Entry'!T$6),10*((IF('Advanced Entry'!T$5="Logarithm",LN(0.001+'Advanced Entry'!T185),IF('Advanced Entry'!T$5="Exponential",EXP('Advanced Entry'!T185),'Advanced Entry'!T185)))-'Advanced Entry'!T$6)/('Advanced Entry'!T$7-'Advanced Entry'!T$6)),1))),"No data"))</f>
        <v/>
      </c>
      <c r="U185" s="17">
        <f>IF('Advanced Entry'!U185="","",IFERROR(MAX(0,MIN(10,ROUND(IF('Advanced Entry'!U$8="Decrease Risk",10-10*((IF('Advanced Entry'!U$5="Logarithm",LN(0.001+'Advanced Entry'!U185),IF('Advanced Entry'!U$5="Exponential",EXP('Advanced Entry'!U185),'Advanced Entry'!U185)))-'Advanced Entry'!U$6)/('Advanced Entry'!U$7-'Advanced Entry'!U$6),10*((IF('Advanced Entry'!U$5="Logarithm",LN(0.001+'Advanced Entry'!U185),IF('Advanced Entry'!U$5="Exponential",EXP('Advanced Entry'!U185),'Advanced Entry'!U185)))-'Advanced Entry'!U$6)/('Advanced Entry'!U$7-'Advanced Entry'!U$6)),1))),"No data"))</f>
        <v/>
      </c>
      <c r="V185" s="17">
        <f>IF('Advanced Entry'!V185="","",IFERROR(MAX(0,MIN(10,ROUND(IF('Advanced Entry'!V$8="Decrease Risk",10-10*((IF('Advanced Entry'!V$5="Logarithm",LN(0.001+'Advanced Entry'!V185),IF('Advanced Entry'!V$5="Exponential",EXP('Advanced Entry'!V185),'Advanced Entry'!V185)))-'Advanced Entry'!V$6)/('Advanced Entry'!V$7-'Advanced Entry'!V$6),10*((IF('Advanced Entry'!V$5="Logarithm",LN(0.001+'Advanced Entry'!V185),IF('Advanced Entry'!V$5="Exponential",EXP('Advanced Entry'!V185),'Advanced Entry'!V185)))-'Advanced Entry'!V$6)/('Advanced Entry'!V$7-'Advanced Entry'!V$6)),1))),"No data"))</f>
        <v/>
      </c>
      <c r="W185" s="17">
        <f>IF('Advanced Entry'!W185="","",IFERROR(MAX(0,MIN(10,ROUND(IF('Advanced Entry'!W$8="Decrease Risk",10-10*((IF('Advanced Entry'!W$5="Logarithm",LN(0.001+'Advanced Entry'!W185),IF('Advanced Entry'!W$5="Exponential",EXP('Advanced Entry'!W185),'Advanced Entry'!W185)))-'Advanced Entry'!W$6)/('Advanced Entry'!W$7-'Advanced Entry'!W$6),10*((IF('Advanced Entry'!W$5="Logarithm",LN(0.001+'Advanced Entry'!W185),IF('Advanced Entry'!W$5="Exponential",EXP('Advanced Entry'!W185),'Advanced Entry'!W185)))-'Advanced Entry'!W$6)/('Advanced Entry'!W$7-'Advanced Entry'!W$6)),1))),"No data"))</f>
        <v/>
      </c>
      <c r="X185" s="17">
        <f>IF('Advanced Entry'!X185="","",IFERROR(MAX(0,MIN(10,ROUND(IF('Advanced Entry'!X$8="Decrease Risk",10-10*((IF('Advanced Entry'!X$5="Logarithm",LN(0.001+'Advanced Entry'!X185),IF('Advanced Entry'!X$5="Exponential",EXP('Advanced Entry'!X185),'Advanced Entry'!X185)))-'Advanced Entry'!X$6)/('Advanced Entry'!X$7-'Advanced Entry'!X$6),10*((IF('Advanced Entry'!X$5="Logarithm",LN(0.001+'Advanced Entry'!X185),IF('Advanced Entry'!X$5="Exponential",EXP('Advanced Entry'!X185),'Advanced Entry'!X185)))-'Advanced Entry'!X$6)/('Advanced Entry'!X$7-'Advanced Entry'!X$6)),1))),"No data"))</f>
        <v/>
      </c>
      <c r="Y185" s="17">
        <f>IF('Advanced Entry'!Y185="","",IFERROR(MAX(0,MIN(10,ROUND(IF('Advanced Entry'!Y$8="Decrease Risk",10-10*((IF('Advanced Entry'!Y$5="Logarithm",LN(0.001+'Advanced Entry'!Y185),IF('Advanced Entry'!Y$5="Exponential",EXP('Advanced Entry'!Y185),'Advanced Entry'!Y185)))-'Advanced Entry'!Y$6)/('Advanced Entry'!Y$7-'Advanced Entry'!Y$6),10*((IF('Advanced Entry'!Y$5="Logarithm",LN(0.001+'Advanced Entry'!Y185),IF('Advanced Entry'!Y$5="Exponential",EXP('Advanced Entry'!Y185),'Advanced Entry'!Y185)))-'Advanced Entry'!Y$6)/('Advanced Entry'!Y$7-'Advanced Entry'!Y$6)),1))),"No data"))</f>
        <v/>
      </c>
      <c r="Z185" s="17">
        <f>IF('Advanced Entry'!Z185="","",IFERROR(MAX(0,MIN(10,ROUND(IF('Advanced Entry'!Z$8="Decrease Risk",10-10*((IF('Advanced Entry'!Z$5="Logarithm",LN(0.001+'Advanced Entry'!Z185),IF('Advanced Entry'!Z$5="Exponential",EXP('Advanced Entry'!Z185),'Advanced Entry'!Z185)))-'Advanced Entry'!Z$6)/('Advanced Entry'!Z$7-'Advanced Entry'!Z$6),10*((IF('Advanced Entry'!Z$5="Logarithm",LN(0.001+'Advanced Entry'!Z185),IF('Advanced Entry'!Z$5="Exponential",EXP('Advanced Entry'!Z185),'Advanced Entry'!Z185)))-'Advanced Entry'!Z$6)/('Advanced Entry'!Z$7-'Advanced Entry'!Z$6)),1))),"No data"))</f>
        <v/>
      </c>
      <c r="AA185" s="17">
        <f>IF('Advanced Entry'!AA185="","",IFERROR(MAX(0,MIN(10,ROUND(IF('Advanced Entry'!AA$8="Decrease Risk",10-10*((IF('Advanced Entry'!AA$5="Logarithm",LN(0.001+'Advanced Entry'!AA185),IF('Advanced Entry'!AA$5="Exponential",EXP('Advanced Entry'!AA185),'Advanced Entry'!AA185)))-'Advanced Entry'!AA$6)/('Advanced Entry'!AA$7-'Advanced Entry'!AA$6),10*((IF('Advanced Entry'!AA$5="Logarithm",LN(0.001+'Advanced Entry'!AA185),IF('Advanced Entry'!AA$5="Exponential",EXP('Advanced Entry'!AA185),'Advanced Entry'!AA185)))-'Advanced Entry'!AA$6)/('Advanced Entry'!AA$7-'Advanced Entry'!AA$6)),1))),"No data"))</f>
        <v/>
      </c>
      <c r="AB185" s="17">
        <f>IF('Advanced Entry'!AB185="","",IFERROR(MAX(0,MIN(10,ROUND(IF('Advanced Entry'!AB$8="Decrease Risk",10-10*((IF('Advanced Entry'!AB$5="Logarithm",LN(0.001+'Advanced Entry'!AB185),IF('Advanced Entry'!AB$5="Exponential",EXP('Advanced Entry'!AB185),'Advanced Entry'!AB185)))-'Advanced Entry'!AB$6)/('Advanced Entry'!AB$7-'Advanced Entry'!AB$6),10*((IF('Advanced Entry'!AB$5="Logarithm",LN(0.001+'Advanced Entry'!AB185),IF('Advanced Entry'!AB$5="Exponential",EXP('Advanced Entry'!AB185),'Advanced Entry'!AB185)))-'Advanced Entry'!AB$6)/('Advanced Entry'!AB$7-'Advanced Entry'!AB$6)),1))),"No data"))</f>
        <v/>
      </c>
    </row>
    <row r="186">
      <c r="A186" t="inlineStr">
        <is>
          <t>Songwe</t>
        </is>
      </c>
      <c r="B186" t="inlineStr">
        <is>
          <t>Tunduma Town</t>
        </is>
      </c>
      <c r="C186" t="inlineStr">
        <is>
          <t>C181</t>
        </is>
      </c>
      <c r="D186" s="17">
        <f>IF('Advanced Entry'!D186="","",IFERROR(MAX(0,MIN(10,ROUND(IF('Advanced Entry'!D$8="Decrease Risk",10-10*((IF('Advanced Entry'!D$5="Logarithm",LN(0.001+'Advanced Entry'!D186),IF('Advanced Entry'!D$5="Exponential",EXP('Advanced Entry'!D186),'Advanced Entry'!D186)))-'Advanced Entry'!D$6)/('Advanced Entry'!D$7-'Advanced Entry'!D$6),10*((IF('Advanced Entry'!D$5="Logarithm",LN(0.001+'Advanced Entry'!D186),IF('Advanced Entry'!D$5="Exponential",EXP('Advanced Entry'!D186),'Advanced Entry'!D186)))-'Advanced Entry'!D$6)/('Advanced Entry'!D$7-'Advanced Entry'!D$6)),1))),"No data"))</f>
        <v/>
      </c>
      <c r="E186" s="17">
        <f>IF('Advanced Entry'!E186="","",IFERROR(MAX(0,MIN(10,ROUND(IF('Advanced Entry'!E$8="Decrease Risk",10-10*((IF('Advanced Entry'!E$5="Logarithm",LN(0.001+'Advanced Entry'!E186),IF('Advanced Entry'!E$5="Exponential",EXP('Advanced Entry'!E186),'Advanced Entry'!E186)))-'Advanced Entry'!E$6)/('Advanced Entry'!E$7-'Advanced Entry'!E$6),10*((IF('Advanced Entry'!E$5="Logarithm",LN(0.001+'Advanced Entry'!E186),IF('Advanced Entry'!E$5="Exponential",EXP('Advanced Entry'!E186),'Advanced Entry'!E186)))-'Advanced Entry'!E$6)/('Advanced Entry'!E$7-'Advanced Entry'!E$6)),1))),"No data"))</f>
        <v/>
      </c>
      <c r="F186" s="17">
        <f>IF('Advanced Entry'!F186="","",IFERROR(MAX(0,MIN(10,ROUND(IF('Advanced Entry'!F$8="Decrease Risk",10-10*((IF('Advanced Entry'!F$5="Logarithm",LN(0.001+'Advanced Entry'!F186),IF('Advanced Entry'!F$5="Exponential",EXP('Advanced Entry'!F186),'Advanced Entry'!F186)))-'Advanced Entry'!F$6)/('Advanced Entry'!F$7-'Advanced Entry'!F$6),10*((IF('Advanced Entry'!F$5="Logarithm",LN(0.001+'Advanced Entry'!F186),IF('Advanced Entry'!F$5="Exponential",EXP('Advanced Entry'!F186),'Advanced Entry'!F186)))-'Advanced Entry'!F$6)/('Advanced Entry'!F$7-'Advanced Entry'!F$6)),1))),"No data"))</f>
        <v/>
      </c>
      <c r="G186" s="17">
        <f>IF('Advanced Entry'!G186="","",IFERROR(MAX(0,MIN(10,ROUND(IF('Advanced Entry'!G$8="Decrease Risk",10-10*((IF('Advanced Entry'!G$5="Logarithm",LN(0.001+'Advanced Entry'!G186),IF('Advanced Entry'!G$5="Exponential",EXP('Advanced Entry'!G186),'Advanced Entry'!G186)))-'Advanced Entry'!G$6)/('Advanced Entry'!G$7-'Advanced Entry'!G$6),10*((IF('Advanced Entry'!G$5="Logarithm",LN(0.001+'Advanced Entry'!G186),IF('Advanced Entry'!G$5="Exponential",EXP('Advanced Entry'!G186),'Advanced Entry'!G186)))-'Advanced Entry'!G$6)/('Advanced Entry'!G$7-'Advanced Entry'!G$6)),1))),"No data"))</f>
        <v/>
      </c>
      <c r="H186" s="17">
        <f>IF('Advanced Entry'!H186="","",IFERROR(MAX(0,MIN(10,ROUND(IF('Advanced Entry'!H$8="Decrease Risk",10-10*((IF('Advanced Entry'!H$5="Logarithm",LN(0.001+'Advanced Entry'!H186),IF('Advanced Entry'!H$5="Exponential",EXP('Advanced Entry'!H186),'Advanced Entry'!H186)))-'Advanced Entry'!H$6)/('Advanced Entry'!H$7-'Advanced Entry'!H$6),10*((IF('Advanced Entry'!H$5="Logarithm",LN(0.001+'Advanced Entry'!H186),IF('Advanced Entry'!H$5="Exponential",EXP('Advanced Entry'!H186),'Advanced Entry'!H186)))-'Advanced Entry'!H$6)/('Advanced Entry'!H$7-'Advanced Entry'!H$6)),1))),"No data"))</f>
        <v/>
      </c>
      <c r="I186" s="17">
        <f>IF('Advanced Entry'!I186="","",IFERROR(MAX(0,MIN(10,ROUND(IF('Advanced Entry'!I$8="Decrease Risk",10-10*((IF('Advanced Entry'!I$5="Logarithm",LN(0.001+'Advanced Entry'!I186),IF('Advanced Entry'!I$5="Exponential",EXP('Advanced Entry'!I186),'Advanced Entry'!I186)))-'Advanced Entry'!I$6)/('Advanced Entry'!I$7-'Advanced Entry'!I$6),10*((IF('Advanced Entry'!I$5="Logarithm",LN(0.001+'Advanced Entry'!I186),IF('Advanced Entry'!I$5="Exponential",EXP('Advanced Entry'!I186),'Advanced Entry'!I186)))-'Advanced Entry'!I$6)/('Advanced Entry'!I$7-'Advanced Entry'!I$6)),1))),"No data"))</f>
        <v/>
      </c>
      <c r="J186" s="17">
        <f>IF('Advanced Entry'!J186="","",IFERROR(MAX(0,MIN(10,ROUND(IF('Advanced Entry'!J$8="Decrease Risk",10-10*((IF('Advanced Entry'!J$5="Logarithm",LN(0.001+'Advanced Entry'!J186),IF('Advanced Entry'!J$5="Exponential",EXP('Advanced Entry'!J186),'Advanced Entry'!J186)))-'Advanced Entry'!J$6)/('Advanced Entry'!J$7-'Advanced Entry'!J$6),10*((IF('Advanced Entry'!J$5="Logarithm",LN(0.001+'Advanced Entry'!J186),IF('Advanced Entry'!J$5="Exponential",EXP('Advanced Entry'!J186),'Advanced Entry'!J186)))-'Advanced Entry'!J$6)/('Advanced Entry'!J$7-'Advanced Entry'!J$6)),1))),"No data"))</f>
        <v/>
      </c>
      <c r="K186" s="17">
        <f>IF('Advanced Entry'!K186="","",IFERROR(MAX(0,MIN(10,ROUND(IF('Advanced Entry'!K$8="Decrease Risk",10-10*((IF('Advanced Entry'!K$5="Logarithm",LN(0.001+'Advanced Entry'!K186),IF('Advanced Entry'!K$5="Exponential",EXP('Advanced Entry'!K186),'Advanced Entry'!K186)))-'Advanced Entry'!K$6)/('Advanced Entry'!K$7-'Advanced Entry'!K$6),10*((IF('Advanced Entry'!K$5="Logarithm",LN(0.001+'Advanced Entry'!K186),IF('Advanced Entry'!K$5="Exponential",EXP('Advanced Entry'!K186),'Advanced Entry'!K186)))-'Advanced Entry'!K$6)/('Advanced Entry'!K$7-'Advanced Entry'!K$6)),1))),"No data"))</f>
        <v/>
      </c>
      <c r="L186" s="17">
        <f>IF('Advanced Entry'!L186="","",IFERROR(MAX(0,MIN(10,ROUND(IF('Advanced Entry'!L$8="Decrease Risk",10-10*((IF('Advanced Entry'!L$5="Logarithm",LN(0.001+'Advanced Entry'!L186),IF('Advanced Entry'!L$5="Exponential",EXP('Advanced Entry'!L186),'Advanced Entry'!L186)))-'Advanced Entry'!L$6)/('Advanced Entry'!L$7-'Advanced Entry'!L$6),10*((IF('Advanced Entry'!L$5="Logarithm",LN(0.001+'Advanced Entry'!L186),IF('Advanced Entry'!L$5="Exponential",EXP('Advanced Entry'!L186),'Advanced Entry'!L186)))-'Advanced Entry'!L$6)/('Advanced Entry'!L$7-'Advanced Entry'!L$6)),1))),"No data"))</f>
        <v/>
      </c>
      <c r="M186" s="17">
        <f>IF('Advanced Entry'!M186="","",IFERROR(MAX(0,MIN(10,ROUND(IF('Advanced Entry'!M$8="Decrease Risk",10-10*((IF('Advanced Entry'!M$5="Logarithm",LN(0.001+'Advanced Entry'!M186),IF('Advanced Entry'!M$5="Exponential",EXP('Advanced Entry'!M186),'Advanced Entry'!M186)))-'Advanced Entry'!M$6)/('Advanced Entry'!M$7-'Advanced Entry'!M$6),10*((IF('Advanced Entry'!M$5="Logarithm",LN(0.001+'Advanced Entry'!M186),IF('Advanced Entry'!M$5="Exponential",EXP('Advanced Entry'!M186),'Advanced Entry'!M186)))-'Advanced Entry'!M$6)/('Advanced Entry'!M$7-'Advanced Entry'!M$6)),1))),"No data"))</f>
        <v/>
      </c>
      <c r="N186" s="17">
        <f>IF('Advanced Entry'!N186="","",IFERROR(MAX(0,MIN(10,ROUND(IF('Advanced Entry'!N$8="Decrease Risk",10-10*((IF('Advanced Entry'!N$5="Logarithm",LN(0.001+'Advanced Entry'!N186),IF('Advanced Entry'!N$5="Exponential",EXP('Advanced Entry'!N186),'Advanced Entry'!N186)))-'Advanced Entry'!N$6)/('Advanced Entry'!N$7-'Advanced Entry'!N$6),10*((IF('Advanced Entry'!N$5="Logarithm",LN(0.001+'Advanced Entry'!N186),IF('Advanced Entry'!N$5="Exponential",EXP('Advanced Entry'!N186),'Advanced Entry'!N186)))-'Advanced Entry'!N$6)/('Advanced Entry'!N$7-'Advanced Entry'!N$6)),1))),"No data"))</f>
        <v/>
      </c>
      <c r="O186" s="17">
        <f>IF('Advanced Entry'!O186="","",IFERROR(MAX(0,MIN(10,ROUND(IF('Advanced Entry'!O$8="Decrease Risk",10-10*((IF('Advanced Entry'!O$5="Logarithm",LN(0.001+'Advanced Entry'!O186),IF('Advanced Entry'!O$5="Exponential",EXP('Advanced Entry'!O186),'Advanced Entry'!O186)))-'Advanced Entry'!O$6)/('Advanced Entry'!O$7-'Advanced Entry'!O$6),10*((IF('Advanced Entry'!O$5="Logarithm",LN(0.001+'Advanced Entry'!O186),IF('Advanced Entry'!O$5="Exponential",EXP('Advanced Entry'!O186),'Advanced Entry'!O186)))-'Advanced Entry'!O$6)/('Advanced Entry'!O$7-'Advanced Entry'!O$6)),1))),"No data"))</f>
        <v/>
      </c>
      <c r="P186" s="17">
        <f>IF('Advanced Entry'!P186="","",IFERROR(MAX(0,MIN(10,ROUND(IF('Advanced Entry'!P$8="Decrease Risk",10-10*((IF('Advanced Entry'!P$5="Logarithm",LN(0.001+'Advanced Entry'!P186),IF('Advanced Entry'!P$5="Exponential",EXP('Advanced Entry'!P186),'Advanced Entry'!P186)))-'Advanced Entry'!P$6)/('Advanced Entry'!P$7-'Advanced Entry'!P$6),10*((IF('Advanced Entry'!P$5="Logarithm",LN(0.001+'Advanced Entry'!P186),IF('Advanced Entry'!P$5="Exponential",EXP('Advanced Entry'!P186),'Advanced Entry'!P186)))-'Advanced Entry'!P$6)/('Advanced Entry'!P$7-'Advanced Entry'!P$6)),1))),"No data"))</f>
        <v/>
      </c>
      <c r="Q186" s="17">
        <f>IF('Advanced Entry'!Q186="","",IFERROR(MAX(0,MIN(10,ROUND(IF('Advanced Entry'!Q$8="Decrease Risk",10-10*((IF('Advanced Entry'!Q$5="Logarithm",LN(0.001+'Advanced Entry'!Q186),IF('Advanced Entry'!Q$5="Exponential",EXP('Advanced Entry'!Q186),'Advanced Entry'!Q186)))-'Advanced Entry'!Q$6)/('Advanced Entry'!Q$7-'Advanced Entry'!Q$6),10*((IF('Advanced Entry'!Q$5="Logarithm",LN(0.001+'Advanced Entry'!Q186),IF('Advanced Entry'!Q$5="Exponential",EXP('Advanced Entry'!Q186),'Advanced Entry'!Q186)))-'Advanced Entry'!Q$6)/('Advanced Entry'!Q$7-'Advanced Entry'!Q$6)),1))),"No data"))</f>
        <v/>
      </c>
      <c r="R186" s="17">
        <f>IF('Advanced Entry'!R186="","",IFERROR(MAX(0,MIN(10,ROUND(IF('Advanced Entry'!R$8="Decrease Risk",10-10*((IF('Advanced Entry'!R$5="Logarithm",LN(0.001+'Advanced Entry'!R186),IF('Advanced Entry'!R$5="Exponential",EXP('Advanced Entry'!R186),'Advanced Entry'!R186)))-'Advanced Entry'!R$6)/('Advanced Entry'!R$7-'Advanced Entry'!R$6),10*((IF('Advanced Entry'!R$5="Logarithm",LN(0.001+'Advanced Entry'!R186),IF('Advanced Entry'!R$5="Exponential",EXP('Advanced Entry'!R186),'Advanced Entry'!R186)))-'Advanced Entry'!R$6)/('Advanced Entry'!R$7-'Advanced Entry'!R$6)),1))),"No data"))</f>
        <v/>
      </c>
      <c r="S186" s="17">
        <f>IF('Advanced Entry'!S186="","",IFERROR(MAX(0,MIN(10,ROUND(IF('Advanced Entry'!S$8="Decrease Risk",10-10*((IF('Advanced Entry'!S$5="Logarithm",LN(0.001+'Advanced Entry'!S186),IF('Advanced Entry'!S$5="Exponential",EXP('Advanced Entry'!S186),'Advanced Entry'!S186)))-'Advanced Entry'!S$6)/('Advanced Entry'!S$7-'Advanced Entry'!S$6),10*((IF('Advanced Entry'!S$5="Logarithm",LN(0.001+'Advanced Entry'!S186),IF('Advanced Entry'!S$5="Exponential",EXP('Advanced Entry'!S186),'Advanced Entry'!S186)))-'Advanced Entry'!S$6)/('Advanced Entry'!S$7-'Advanced Entry'!S$6)),1))),"No data"))</f>
        <v/>
      </c>
      <c r="T186" s="17">
        <f>IF('Advanced Entry'!T186="","",IFERROR(MAX(0,MIN(10,ROUND(IF('Advanced Entry'!T$8="Decrease Risk",10-10*((IF('Advanced Entry'!T$5="Logarithm",LN(0.001+'Advanced Entry'!T186),IF('Advanced Entry'!T$5="Exponential",EXP('Advanced Entry'!T186),'Advanced Entry'!T186)))-'Advanced Entry'!T$6)/('Advanced Entry'!T$7-'Advanced Entry'!T$6),10*((IF('Advanced Entry'!T$5="Logarithm",LN(0.001+'Advanced Entry'!T186),IF('Advanced Entry'!T$5="Exponential",EXP('Advanced Entry'!T186),'Advanced Entry'!T186)))-'Advanced Entry'!T$6)/('Advanced Entry'!T$7-'Advanced Entry'!T$6)),1))),"No data"))</f>
        <v/>
      </c>
      <c r="U186" s="17">
        <f>IF('Advanced Entry'!U186="","",IFERROR(MAX(0,MIN(10,ROUND(IF('Advanced Entry'!U$8="Decrease Risk",10-10*((IF('Advanced Entry'!U$5="Logarithm",LN(0.001+'Advanced Entry'!U186),IF('Advanced Entry'!U$5="Exponential",EXP('Advanced Entry'!U186),'Advanced Entry'!U186)))-'Advanced Entry'!U$6)/('Advanced Entry'!U$7-'Advanced Entry'!U$6),10*((IF('Advanced Entry'!U$5="Logarithm",LN(0.001+'Advanced Entry'!U186),IF('Advanced Entry'!U$5="Exponential",EXP('Advanced Entry'!U186),'Advanced Entry'!U186)))-'Advanced Entry'!U$6)/('Advanced Entry'!U$7-'Advanced Entry'!U$6)),1))),"No data"))</f>
        <v/>
      </c>
      <c r="V186" s="17">
        <f>IF('Advanced Entry'!V186="","",IFERROR(MAX(0,MIN(10,ROUND(IF('Advanced Entry'!V$8="Decrease Risk",10-10*((IF('Advanced Entry'!V$5="Logarithm",LN(0.001+'Advanced Entry'!V186),IF('Advanced Entry'!V$5="Exponential",EXP('Advanced Entry'!V186),'Advanced Entry'!V186)))-'Advanced Entry'!V$6)/('Advanced Entry'!V$7-'Advanced Entry'!V$6),10*((IF('Advanced Entry'!V$5="Logarithm",LN(0.001+'Advanced Entry'!V186),IF('Advanced Entry'!V$5="Exponential",EXP('Advanced Entry'!V186),'Advanced Entry'!V186)))-'Advanced Entry'!V$6)/('Advanced Entry'!V$7-'Advanced Entry'!V$6)),1))),"No data"))</f>
        <v/>
      </c>
      <c r="W186" s="17">
        <f>IF('Advanced Entry'!W186="","",IFERROR(MAX(0,MIN(10,ROUND(IF('Advanced Entry'!W$8="Decrease Risk",10-10*((IF('Advanced Entry'!W$5="Logarithm",LN(0.001+'Advanced Entry'!W186),IF('Advanced Entry'!W$5="Exponential",EXP('Advanced Entry'!W186),'Advanced Entry'!W186)))-'Advanced Entry'!W$6)/('Advanced Entry'!W$7-'Advanced Entry'!W$6),10*((IF('Advanced Entry'!W$5="Logarithm",LN(0.001+'Advanced Entry'!W186),IF('Advanced Entry'!W$5="Exponential",EXP('Advanced Entry'!W186),'Advanced Entry'!W186)))-'Advanced Entry'!W$6)/('Advanced Entry'!W$7-'Advanced Entry'!W$6)),1))),"No data"))</f>
        <v/>
      </c>
      <c r="X186" s="17">
        <f>IF('Advanced Entry'!X186="","",IFERROR(MAX(0,MIN(10,ROUND(IF('Advanced Entry'!X$8="Decrease Risk",10-10*((IF('Advanced Entry'!X$5="Logarithm",LN(0.001+'Advanced Entry'!X186),IF('Advanced Entry'!X$5="Exponential",EXP('Advanced Entry'!X186),'Advanced Entry'!X186)))-'Advanced Entry'!X$6)/('Advanced Entry'!X$7-'Advanced Entry'!X$6),10*((IF('Advanced Entry'!X$5="Logarithm",LN(0.001+'Advanced Entry'!X186),IF('Advanced Entry'!X$5="Exponential",EXP('Advanced Entry'!X186),'Advanced Entry'!X186)))-'Advanced Entry'!X$6)/('Advanced Entry'!X$7-'Advanced Entry'!X$6)),1))),"No data"))</f>
        <v/>
      </c>
      <c r="Y186" s="17">
        <f>IF('Advanced Entry'!Y186="","",IFERROR(MAX(0,MIN(10,ROUND(IF('Advanced Entry'!Y$8="Decrease Risk",10-10*((IF('Advanced Entry'!Y$5="Logarithm",LN(0.001+'Advanced Entry'!Y186),IF('Advanced Entry'!Y$5="Exponential",EXP('Advanced Entry'!Y186),'Advanced Entry'!Y186)))-'Advanced Entry'!Y$6)/('Advanced Entry'!Y$7-'Advanced Entry'!Y$6),10*((IF('Advanced Entry'!Y$5="Logarithm",LN(0.001+'Advanced Entry'!Y186),IF('Advanced Entry'!Y$5="Exponential",EXP('Advanced Entry'!Y186),'Advanced Entry'!Y186)))-'Advanced Entry'!Y$6)/('Advanced Entry'!Y$7-'Advanced Entry'!Y$6)),1))),"No data"))</f>
        <v/>
      </c>
      <c r="Z186" s="17">
        <f>IF('Advanced Entry'!Z186="","",IFERROR(MAX(0,MIN(10,ROUND(IF('Advanced Entry'!Z$8="Decrease Risk",10-10*((IF('Advanced Entry'!Z$5="Logarithm",LN(0.001+'Advanced Entry'!Z186),IF('Advanced Entry'!Z$5="Exponential",EXP('Advanced Entry'!Z186),'Advanced Entry'!Z186)))-'Advanced Entry'!Z$6)/('Advanced Entry'!Z$7-'Advanced Entry'!Z$6),10*((IF('Advanced Entry'!Z$5="Logarithm",LN(0.001+'Advanced Entry'!Z186),IF('Advanced Entry'!Z$5="Exponential",EXP('Advanced Entry'!Z186),'Advanced Entry'!Z186)))-'Advanced Entry'!Z$6)/('Advanced Entry'!Z$7-'Advanced Entry'!Z$6)),1))),"No data"))</f>
        <v/>
      </c>
      <c r="AA186" s="17">
        <f>IF('Advanced Entry'!AA186="","",IFERROR(MAX(0,MIN(10,ROUND(IF('Advanced Entry'!AA$8="Decrease Risk",10-10*((IF('Advanced Entry'!AA$5="Logarithm",LN(0.001+'Advanced Entry'!AA186),IF('Advanced Entry'!AA$5="Exponential",EXP('Advanced Entry'!AA186),'Advanced Entry'!AA186)))-'Advanced Entry'!AA$6)/('Advanced Entry'!AA$7-'Advanced Entry'!AA$6),10*((IF('Advanced Entry'!AA$5="Logarithm",LN(0.001+'Advanced Entry'!AA186),IF('Advanced Entry'!AA$5="Exponential",EXP('Advanced Entry'!AA186),'Advanced Entry'!AA186)))-'Advanced Entry'!AA$6)/('Advanced Entry'!AA$7-'Advanced Entry'!AA$6)),1))),"No data"))</f>
        <v/>
      </c>
      <c r="AB186" s="17">
        <f>IF('Advanced Entry'!AB186="","",IFERROR(MAX(0,MIN(10,ROUND(IF('Advanced Entry'!AB$8="Decrease Risk",10-10*((IF('Advanced Entry'!AB$5="Logarithm",LN(0.001+'Advanced Entry'!AB186),IF('Advanced Entry'!AB$5="Exponential",EXP('Advanced Entry'!AB186),'Advanced Entry'!AB186)))-'Advanced Entry'!AB$6)/('Advanced Entry'!AB$7-'Advanced Entry'!AB$6),10*((IF('Advanced Entry'!AB$5="Logarithm",LN(0.001+'Advanced Entry'!AB186),IF('Advanced Entry'!AB$5="Exponential",EXP('Advanced Entry'!AB186),'Advanced Entry'!AB186)))-'Advanced Entry'!AB$6)/('Advanced Entry'!AB$7-'Advanced Entry'!AB$6)),1))),"No data"))</f>
        <v/>
      </c>
    </row>
    <row r="187">
      <c r="A187" t="inlineStr">
        <is>
          <t>Tabora</t>
        </is>
      </c>
      <c r="B187" t="inlineStr">
        <is>
          <t>Igunga District</t>
        </is>
      </c>
      <c r="C187" t="inlineStr">
        <is>
          <t>C101</t>
        </is>
      </c>
      <c r="D187" s="17">
        <f>IF('Advanced Entry'!D187="","",IFERROR(MAX(0,MIN(10,ROUND(IF('Advanced Entry'!D$8="Decrease Risk",10-10*((IF('Advanced Entry'!D$5="Logarithm",LN(0.001+'Advanced Entry'!D187),IF('Advanced Entry'!D$5="Exponential",EXP('Advanced Entry'!D187),'Advanced Entry'!D187)))-'Advanced Entry'!D$6)/('Advanced Entry'!D$7-'Advanced Entry'!D$6),10*((IF('Advanced Entry'!D$5="Logarithm",LN(0.001+'Advanced Entry'!D187),IF('Advanced Entry'!D$5="Exponential",EXP('Advanced Entry'!D187),'Advanced Entry'!D187)))-'Advanced Entry'!D$6)/('Advanced Entry'!D$7-'Advanced Entry'!D$6)),1))),"No data"))</f>
        <v/>
      </c>
      <c r="E187" s="17">
        <f>IF('Advanced Entry'!E187="","",IFERROR(MAX(0,MIN(10,ROUND(IF('Advanced Entry'!E$8="Decrease Risk",10-10*((IF('Advanced Entry'!E$5="Logarithm",LN(0.001+'Advanced Entry'!E187),IF('Advanced Entry'!E$5="Exponential",EXP('Advanced Entry'!E187),'Advanced Entry'!E187)))-'Advanced Entry'!E$6)/('Advanced Entry'!E$7-'Advanced Entry'!E$6),10*((IF('Advanced Entry'!E$5="Logarithm",LN(0.001+'Advanced Entry'!E187),IF('Advanced Entry'!E$5="Exponential",EXP('Advanced Entry'!E187),'Advanced Entry'!E187)))-'Advanced Entry'!E$6)/('Advanced Entry'!E$7-'Advanced Entry'!E$6)),1))),"No data"))</f>
        <v/>
      </c>
      <c r="F187" s="17">
        <f>IF('Advanced Entry'!F187="","",IFERROR(MAX(0,MIN(10,ROUND(IF('Advanced Entry'!F$8="Decrease Risk",10-10*((IF('Advanced Entry'!F$5="Logarithm",LN(0.001+'Advanced Entry'!F187),IF('Advanced Entry'!F$5="Exponential",EXP('Advanced Entry'!F187),'Advanced Entry'!F187)))-'Advanced Entry'!F$6)/('Advanced Entry'!F$7-'Advanced Entry'!F$6),10*((IF('Advanced Entry'!F$5="Logarithm",LN(0.001+'Advanced Entry'!F187),IF('Advanced Entry'!F$5="Exponential",EXP('Advanced Entry'!F187),'Advanced Entry'!F187)))-'Advanced Entry'!F$6)/('Advanced Entry'!F$7-'Advanced Entry'!F$6)),1))),"No data"))</f>
        <v/>
      </c>
      <c r="G187" s="17">
        <f>IF('Advanced Entry'!G187="","",IFERROR(MAX(0,MIN(10,ROUND(IF('Advanced Entry'!G$8="Decrease Risk",10-10*((IF('Advanced Entry'!G$5="Logarithm",LN(0.001+'Advanced Entry'!G187),IF('Advanced Entry'!G$5="Exponential",EXP('Advanced Entry'!G187),'Advanced Entry'!G187)))-'Advanced Entry'!G$6)/('Advanced Entry'!G$7-'Advanced Entry'!G$6),10*((IF('Advanced Entry'!G$5="Logarithm",LN(0.001+'Advanced Entry'!G187),IF('Advanced Entry'!G$5="Exponential",EXP('Advanced Entry'!G187),'Advanced Entry'!G187)))-'Advanced Entry'!G$6)/('Advanced Entry'!G$7-'Advanced Entry'!G$6)),1))),"No data"))</f>
        <v/>
      </c>
      <c r="H187" s="17">
        <f>IF('Advanced Entry'!H187="","",IFERROR(MAX(0,MIN(10,ROUND(IF('Advanced Entry'!H$8="Decrease Risk",10-10*((IF('Advanced Entry'!H$5="Logarithm",LN(0.001+'Advanced Entry'!H187),IF('Advanced Entry'!H$5="Exponential",EXP('Advanced Entry'!H187),'Advanced Entry'!H187)))-'Advanced Entry'!H$6)/('Advanced Entry'!H$7-'Advanced Entry'!H$6),10*((IF('Advanced Entry'!H$5="Logarithm",LN(0.001+'Advanced Entry'!H187),IF('Advanced Entry'!H$5="Exponential",EXP('Advanced Entry'!H187),'Advanced Entry'!H187)))-'Advanced Entry'!H$6)/('Advanced Entry'!H$7-'Advanced Entry'!H$6)),1))),"No data"))</f>
        <v/>
      </c>
      <c r="I187" s="17">
        <f>IF('Advanced Entry'!I187="","",IFERROR(MAX(0,MIN(10,ROUND(IF('Advanced Entry'!I$8="Decrease Risk",10-10*((IF('Advanced Entry'!I$5="Logarithm",LN(0.001+'Advanced Entry'!I187),IF('Advanced Entry'!I$5="Exponential",EXP('Advanced Entry'!I187),'Advanced Entry'!I187)))-'Advanced Entry'!I$6)/('Advanced Entry'!I$7-'Advanced Entry'!I$6),10*((IF('Advanced Entry'!I$5="Logarithm",LN(0.001+'Advanced Entry'!I187),IF('Advanced Entry'!I$5="Exponential",EXP('Advanced Entry'!I187),'Advanced Entry'!I187)))-'Advanced Entry'!I$6)/('Advanced Entry'!I$7-'Advanced Entry'!I$6)),1))),"No data"))</f>
        <v/>
      </c>
      <c r="J187" s="17">
        <f>IF('Advanced Entry'!J187="","",IFERROR(MAX(0,MIN(10,ROUND(IF('Advanced Entry'!J$8="Decrease Risk",10-10*((IF('Advanced Entry'!J$5="Logarithm",LN(0.001+'Advanced Entry'!J187),IF('Advanced Entry'!J$5="Exponential",EXP('Advanced Entry'!J187),'Advanced Entry'!J187)))-'Advanced Entry'!J$6)/('Advanced Entry'!J$7-'Advanced Entry'!J$6),10*((IF('Advanced Entry'!J$5="Logarithm",LN(0.001+'Advanced Entry'!J187),IF('Advanced Entry'!J$5="Exponential",EXP('Advanced Entry'!J187),'Advanced Entry'!J187)))-'Advanced Entry'!J$6)/('Advanced Entry'!J$7-'Advanced Entry'!J$6)),1))),"No data"))</f>
        <v/>
      </c>
      <c r="K187" s="17">
        <f>IF('Advanced Entry'!K187="","",IFERROR(MAX(0,MIN(10,ROUND(IF('Advanced Entry'!K$8="Decrease Risk",10-10*((IF('Advanced Entry'!K$5="Logarithm",LN(0.001+'Advanced Entry'!K187),IF('Advanced Entry'!K$5="Exponential",EXP('Advanced Entry'!K187),'Advanced Entry'!K187)))-'Advanced Entry'!K$6)/('Advanced Entry'!K$7-'Advanced Entry'!K$6),10*((IF('Advanced Entry'!K$5="Logarithm",LN(0.001+'Advanced Entry'!K187),IF('Advanced Entry'!K$5="Exponential",EXP('Advanced Entry'!K187),'Advanced Entry'!K187)))-'Advanced Entry'!K$6)/('Advanced Entry'!K$7-'Advanced Entry'!K$6)),1))),"No data"))</f>
        <v/>
      </c>
      <c r="L187" s="17">
        <f>IF('Advanced Entry'!L187="","",IFERROR(MAX(0,MIN(10,ROUND(IF('Advanced Entry'!L$8="Decrease Risk",10-10*((IF('Advanced Entry'!L$5="Logarithm",LN(0.001+'Advanced Entry'!L187),IF('Advanced Entry'!L$5="Exponential",EXP('Advanced Entry'!L187),'Advanced Entry'!L187)))-'Advanced Entry'!L$6)/('Advanced Entry'!L$7-'Advanced Entry'!L$6),10*((IF('Advanced Entry'!L$5="Logarithm",LN(0.001+'Advanced Entry'!L187),IF('Advanced Entry'!L$5="Exponential",EXP('Advanced Entry'!L187),'Advanced Entry'!L187)))-'Advanced Entry'!L$6)/('Advanced Entry'!L$7-'Advanced Entry'!L$6)),1))),"No data"))</f>
        <v/>
      </c>
      <c r="M187" s="17">
        <f>IF('Advanced Entry'!M187="","",IFERROR(MAX(0,MIN(10,ROUND(IF('Advanced Entry'!M$8="Decrease Risk",10-10*((IF('Advanced Entry'!M$5="Logarithm",LN(0.001+'Advanced Entry'!M187),IF('Advanced Entry'!M$5="Exponential",EXP('Advanced Entry'!M187),'Advanced Entry'!M187)))-'Advanced Entry'!M$6)/('Advanced Entry'!M$7-'Advanced Entry'!M$6),10*((IF('Advanced Entry'!M$5="Logarithm",LN(0.001+'Advanced Entry'!M187),IF('Advanced Entry'!M$5="Exponential",EXP('Advanced Entry'!M187),'Advanced Entry'!M187)))-'Advanced Entry'!M$6)/('Advanced Entry'!M$7-'Advanced Entry'!M$6)),1))),"No data"))</f>
        <v/>
      </c>
      <c r="N187" s="17">
        <f>IF('Advanced Entry'!N187="","",IFERROR(MAX(0,MIN(10,ROUND(IF('Advanced Entry'!N$8="Decrease Risk",10-10*((IF('Advanced Entry'!N$5="Logarithm",LN(0.001+'Advanced Entry'!N187),IF('Advanced Entry'!N$5="Exponential",EXP('Advanced Entry'!N187),'Advanced Entry'!N187)))-'Advanced Entry'!N$6)/('Advanced Entry'!N$7-'Advanced Entry'!N$6),10*((IF('Advanced Entry'!N$5="Logarithm",LN(0.001+'Advanced Entry'!N187),IF('Advanced Entry'!N$5="Exponential",EXP('Advanced Entry'!N187),'Advanced Entry'!N187)))-'Advanced Entry'!N$6)/('Advanced Entry'!N$7-'Advanced Entry'!N$6)),1))),"No data"))</f>
        <v/>
      </c>
      <c r="O187" s="17">
        <f>IF('Advanced Entry'!O187="","",IFERROR(MAX(0,MIN(10,ROUND(IF('Advanced Entry'!O$8="Decrease Risk",10-10*((IF('Advanced Entry'!O$5="Logarithm",LN(0.001+'Advanced Entry'!O187),IF('Advanced Entry'!O$5="Exponential",EXP('Advanced Entry'!O187),'Advanced Entry'!O187)))-'Advanced Entry'!O$6)/('Advanced Entry'!O$7-'Advanced Entry'!O$6),10*((IF('Advanced Entry'!O$5="Logarithm",LN(0.001+'Advanced Entry'!O187),IF('Advanced Entry'!O$5="Exponential",EXP('Advanced Entry'!O187),'Advanced Entry'!O187)))-'Advanced Entry'!O$6)/('Advanced Entry'!O$7-'Advanced Entry'!O$6)),1))),"No data"))</f>
        <v/>
      </c>
      <c r="P187" s="17">
        <f>IF('Advanced Entry'!P187="","",IFERROR(MAX(0,MIN(10,ROUND(IF('Advanced Entry'!P$8="Decrease Risk",10-10*((IF('Advanced Entry'!P$5="Logarithm",LN(0.001+'Advanced Entry'!P187),IF('Advanced Entry'!P$5="Exponential",EXP('Advanced Entry'!P187),'Advanced Entry'!P187)))-'Advanced Entry'!P$6)/('Advanced Entry'!P$7-'Advanced Entry'!P$6),10*((IF('Advanced Entry'!P$5="Logarithm",LN(0.001+'Advanced Entry'!P187),IF('Advanced Entry'!P$5="Exponential",EXP('Advanced Entry'!P187),'Advanced Entry'!P187)))-'Advanced Entry'!P$6)/('Advanced Entry'!P$7-'Advanced Entry'!P$6)),1))),"No data"))</f>
        <v/>
      </c>
      <c r="Q187" s="17">
        <f>IF('Advanced Entry'!Q187="","",IFERROR(MAX(0,MIN(10,ROUND(IF('Advanced Entry'!Q$8="Decrease Risk",10-10*((IF('Advanced Entry'!Q$5="Logarithm",LN(0.001+'Advanced Entry'!Q187),IF('Advanced Entry'!Q$5="Exponential",EXP('Advanced Entry'!Q187),'Advanced Entry'!Q187)))-'Advanced Entry'!Q$6)/('Advanced Entry'!Q$7-'Advanced Entry'!Q$6),10*((IF('Advanced Entry'!Q$5="Logarithm",LN(0.001+'Advanced Entry'!Q187),IF('Advanced Entry'!Q$5="Exponential",EXP('Advanced Entry'!Q187),'Advanced Entry'!Q187)))-'Advanced Entry'!Q$6)/('Advanced Entry'!Q$7-'Advanced Entry'!Q$6)),1))),"No data"))</f>
        <v/>
      </c>
      <c r="R187" s="17">
        <f>IF('Advanced Entry'!R187="","",IFERROR(MAX(0,MIN(10,ROUND(IF('Advanced Entry'!R$8="Decrease Risk",10-10*((IF('Advanced Entry'!R$5="Logarithm",LN(0.001+'Advanced Entry'!R187),IF('Advanced Entry'!R$5="Exponential",EXP('Advanced Entry'!R187),'Advanced Entry'!R187)))-'Advanced Entry'!R$6)/('Advanced Entry'!R$7-'Advanced Entry'!R$6),10*((IF('Advanced Entry'!R$5="Logarithm",LN(0.001+'Advanced Entry'!R187),IF('Advanced Entry'!R$5="Exponential",EXP('Advanced Entry'!R187),'Advanced Entry'!R187)))-'Advanced Entry'!R$6)/('Advanced Entry'!R$7-'Advanced Entry'!R$6)),1))),"No data"))</f>
        <v/>
      </c>
      <c r="S187" s="17">
        <f>IF('Advanced Entry'!S187="","",IFERROR(MAX(0,MIN(10,ROUND(IF('Advanced Entry'!S$8="Decrease Risk",10-10*((IF('Advanced Entry'!S$5="Logarithm",LN(0.001+'Advanced Entry'!S187),IF('Advanced Entry'!S$5="Exponential",EXP('Advanced Entry'!S187),'Advanced Entry'!S187)))-'Advanced Entry'!S$6)/('Advanced Entry'!S$7-'Advanced Entry'!S$6),10*((IF('Advanced Entry'!S$5="Logarithm",LN(0.001+'Advanced Entry'!S187),IF('Advanced Entry'!S$5="Exponential",EXP('Advanced Entry'!S187),'Advanced Entry'!S187)))-'Advanced Entry'!S$6)/('Advanced Entry'!S$7-'Advanced Entry'!S$6)),1))),"No data"))</f>
        <v/>
      </c>
      <c r="T187" s="17">
        <f>IF('Advanced Entry'!T187="","",IFERROR(MAX(0,MIN(10,ROUND(IF('Advanced Entry'!T$8="Decrease Risk",10-10*((IF('Advanced Entry'!T$5="Logarithm",LN(0.001+'Advanced Entry'!T187),IF('Advanced Entry'!T$5="Exponential",EXP('Advanced Entry'!T187),'Advanced Entry'!T187)))-'Advanced Entry'!T$6)/('Advanced Entry'!T$7-'Advanced Entry'!T$6),10*((IF('Advanced Entry'!T$5="Logarithm",LN(0.001+'Advanced Entry'!T187),IF('Advanced Entry'!T$5="Exponential",EXP('Advanced Entry'!T187),'Advanced Entry'!T187)))-'Advanced Entry'!T$6)/('Advanced Entry'!T$7-'Advanced Entry'!T$6)),1))),"No data"))</f>
        <v/>
      </c>
      <c r="U187" s="17">
        <f>IF('Advanced Entry'!U187="","",IFERROR(MAX(0,MIN(10,ROUND(IF('Advanced Entry'!U$8="Decrease Risk",10-10*((IF('Advanced Entry'!U$5="Logarithm",LN(0.001+'Advanced Entry'!U187),IF('Advanced Entry'!U$5="Exponential",EXP('Advanced Entry'!U187),'Advanced Entry'!U187)))-'Advanced Entry'!U$6)/('Advanced Entry'!U$7-'Advanced Entry'!U$6),10*((IF('Advanced Entry'!U$5="Logarithm",LN(0.001+'Advanced Entry'!U187),IF('Advanced Entry'!U$5="Exponential",EXP('Advanced Entry'!U187),'Advanced Entry'!U187)))-'Advanced Entry'!U$6)/('Advanced Entry'!U$7-'Advanced Entry'!U$6)),1))),"No data"))</f>
        <v/>
      </c>
      <c r="V187" s="17">
        <f>IF('Advanced Entry'!V187="","",IFERROR(MAX(0,MIN(10,ROUND(IF('Advanced Entry'!V$8="Decrease Risk",10-10*((IF('Advanced Entry'!V$5="Logarithm",LN(0.001+'Advanced Entry'!V187),IF('Advanced Entry'!V$5="Exponential",EXP('Advanced Entry'!V187),'Advanced Entry'!V187)))-'Advanced Entry'!V$6)/('Advanced Entry'!V$7-'Advanced Entry'!V$6),10*((IF('Advanced Entry'!V$5="Logarithm",LN(0.001+'Advanced Entry'!V187),IF('Advanced Entry'!V$5="Exponential",EXP('Advanced Entry'!V187),'Advanced Entry'!V187)))-'Advanced Entry'!V$6)/('Advanced Entry'!V$7-'Advanced Entry'!V$6)),1))),"No data"))</f>
        <v/>
      </c>
      <c r="W187" s="17">
        <f>IF('Advanced Entry'!W187="","",IFERROR(MAX(0,MIN(10,ROUND(IF('Advanced Entry'!W$8="Decrease Risk",10-10*((IF('Advanced Entry'!W$5="Logarithm",LN(0.001+'Advanced Entry'!W187),IF('Advanced Entry'!W$5="Exponential",EXP('Advanced Entry'!W187),'Advanced Entry'!W187)))-'Advanced Entry'!W$6)/('Advanced Entry'!W$7-'Advanced Entry'!W$6),10*((IF('Advanced Entry'!W$5="Logarithm",LN(0.001+'Advanced Entry'!W187),IF('Advanced Entry'!W$5="Exponential",EXP('Advanced Entry'!W187),'Advanced Entry'!W187)))-'Advanced Entry'!W$6)/('Advanced Entry'!W$7-'Advanced Entry'!W$6)),1))),"No data"))</f>
        <v/>
      </c>
      <c r="X187" s="17">
        <f>IF('Advanced Entry'!X187="","",IFERROR(MAX(0,MIN(10,ROUND(IF('Advanced Entry'!X$8="Decrease Risk",10-10*((IF('Advanced Entry'!X$5="Logarithm",LN(0.001+'Advanced Entry'!X187),IF('Advanced Entry'!X$5="Exponential",EXP('Advanced Entry'!X187),'Advanced Entry'!X187)))-'Advanced Entry'!X$6)/('Advanced Entry'!X$7-'Advanced Entry'!X$6),10*((IF('Advanced Entry'!X$5="Logarithm",LN(0.001+'Advanced Entry'!X187),IF('Advanced Entry'!X$5="Exponential",EXP('Advanced Entry'!X187),'Advanced Entry'!X187)))-'Advanced Entry'!X$6)/('Advanced Entry'!X$7-'Advanced Entry'!X$6)),1))),"No data"))</f>
        <v/>
      </c>
      <c r="Y187" s="17">
        <f>IF('Advanced Entry'!Y187="","",IFERROR(MAX(0,MIN(10,ROUND(IF('Advanced Entry'!Y$8="Decrease Risk",10-10*((IF('Advanced Entry'!Y$5="Logarithm",LN(0.001+'Advanced Entry'!Y187),IF('Advanced Entry'!Y$5="Exponential",EXP('Advanced Entry'!Y187),'Advanced Entry'!Y187)))-'Advanced Entry'!Y$6)/('Advanced Entry'!Y$7-'Advanced Entry'!Y$6),10*((IF('Advanced Entry'!Y$5="Logarithm",LN(0.001+'Advanced Entry'!Y187),IF('Advanced Entry'!Y$5="Exponential",EXP('Advanced Entry'!Y187),'Advanced Entry'!Y187)))-'Advanced Entry'!Y$6)/('Advanced Entry'!Y$7-'Advanced Entry'!Y$6)),1))),"No data"))</f>
        <v/>
      </c>
      <c r="Z187" s="17">
        <f>IF('Advanced Entry'!Z187="","",IFERROR(MAX(0,MIN(10,ROUND(IF('Advanced Entry'!Z$8="Decrease Risk",10-10*((IF('Advanced Entry'!Z$5="Logarithm",LN(0.001+'Advanced Entry'!Z187),IF('Advanced Entry'!Z$5="Exponential",EXP('Advanced Entry'!Z187),'Advanced Entry'!Z187)))-'Advanced Entry'!Z$6)/('Advanced Entry'!Z$7-'Advanced Entry'!Z$6),10*((IF('Advanced Entry'!Z$5="Logarithm",LN(0.001+'Advanced Entry'!Z187),IF('Advanced Entry'!Z$5="Exponential",EXP('Advanced Entry'!Z187),'Advanced Entry'!Z187)))-'Advanced Entry'!Z$6)/('Advanced Entry'!Z$7-'Advanced Entry'!Z$6)),1))),"No data"))</f>
        <v/>
      </c>
      <c r="AA187" s="17">
        <f>IF('Advanced Entry'!AA187="","",IFERROR(MAX(0,MIN(10,ROUND(IF('Advanced Entry'!AA$8="Decrease Risk",10-10*((IF('Advanced Entry'!AA$5="Logarithm",LN(0.001+'Advanced Entry'!AA187),IF('Advanced Entry'!AA$5="Exponential",EXP('Advanced Entry'!AA187),'Advanced Entry'!AA187)))-'Advanced Entry'!AA$6)/('Advanced Entry'!AA$7-'Advanced Entry'!AA$6),10*((IF('Advanced Entry'!AA$5="Logarithm",LN(0.001+'Advanced Entry'!AA187),IF('Advanced Entry'!AA$5="Exponential",EXP('Advanced Entry'!AA187),'Advanced Entry'!AA187)))-'Advanced Entry'!AA$6)/('Advanced Entry'!AA$7-'Advanced Entry'!AA$6)),1))),"No data"))</f>
        <v/>
      </c>
      <c r="AB187" s="17">
        <f>IF('Advanced Entry'!AB187="","",IFERROR(MAX(0,MIN(10,ROUND(IF('Advanced Entry'!AB$8="Decrease Risk",10-10*((IF('Advanced Entry'!AB$5="Logarithm",LN(0.001+'Advanced Entry'!AB187),IF('Advanced Entry'!AB$5="Exponential",EXP('Advanced Entry'!AB187),'Advanced Entry'!AB187)))-'Advanced Entry'!AB$6)/('Advanced Entry'!AB$7-'Advanced Entry'!AB$6),10*((IF('Advanced Entry'!AB$5="Logarithm",LN(0.001+'Advanced Entry'!AB187),IF('Advanced Entry'!AB$5="Exponential",EXP('Advanced Entry'!AB187),'Advanced Entry'!AB187)))-'Advanced Entry'!AB$6)/('Advanced Entry'!AB$7-'Advanced Entry'!AB$6)),1))),"No data"))</f>
        <v/>
      </c>
    </row>
    <row r="188">
      <c r="A188" t="inlineStr">
        <is>
          <t>Tabora</t>
        </is>
      </c>
      <c r="B188" t="inlineStr">
        <is>
          <t>Kaliua District</t>
        </is>
      </c>
      <c r="C188" t="inlineStr">
        <is>
          <t>C106</t>
        </is>
      </c>
      <c r="D188" s="17">
        <f>IF('Advanced Entry'!D188="","",IFERROR(MAX(0,MIN(10,ROUND(IF('Advanced Entry'!D$8="Decrease Risk",10-10*((IF('Advanced Entry'!D$5="Logarithm",LN(0.001+'Advanced Entry'!D188),IF('Advanced Entry'!D$5="Exponential",EXP('Advanced Entry'!D188),'Advanced Entry'!D188)))-'Advanced Entry'!D$6)/('Advanced Entry'!D$7-'Advanced Entry'!D$6),10*((IF('Advanced Entry'!D$5="Logarithm",LN(0.001+'Advanced Entry'!D188),IF('Advanced Entry'!D$5="Exponential",EXP('Advanced Entry'!D188),'Advanced Entry'!D188)))-'Advanced Entry'!D$6)/('Advanced Entry'!D$7-'Advanced Entry'!D$6)),1))),"No data"))</f>
        <v/>
      </c>
      <c r="E188" s="17">
        <f>IF('Advanced Entry'!E188="","",IFERROR(MAX(0,MIN(10,ROUND(IF('Advanced Entry'!E$8="Decrease Risk",10-10*((IF('Advanced Entry'!E$5="Logarithm",LN(0.001+'Advanced Entry'!E188),IF('Advanced Entry'!E$5="Exponential",EXP('Advanced Entry'!E188),'Advanced Entry'!E188)))-'Advanced Entry'!E$6)/('Advanced Entry'!E$7-'Advanced Entry'!E$6),10*((IF('Advanced Entry'!E$5="Logarithm",LN(0.001+'Advanced Entry'!E188),IF('Advanced Entry'!E$5="Exponential",EXP('Advanced Entry'!E188),'Advanced Entry'!E188)))-'Advanced Entry'!E$6)/('Advanced Entry'!E$7-'Advanced Entry'!E$6)),1))),"No data"))</f>
        <v/>
      </c>
      <c r="F188" s="17">
        <f>IF('Advanced Entry'!F188="","",IFERROR(MAX(0,MIN(10,ROUND(IF('Advanced Entry'!F$8="Decrease Risk",10-10*((IF('Advanced Entry'!F$5="Logarithm",LN(0.001+'Advanced Entry'!F188),IF('Advanced Entry'!F$5="Exponential",EXP('Advanced Entry'!F188),'Advanced Entry'!F188)))-'Advanced Entry'!F$6)/('Advanced Entry'!F$7-'Advanced Entry'!F$6),10*((IF('Advanced Entry'!F$5="Logarithm",LN(0.001+'Advanced Entry'!F188),IF('Advanced Entry'!F$5="Exponential",EXP('Advanced Entry'!F188),'Advanced Entry'!F188)))-'Advanced Entry'!F$6)/('Advanced Entry'!F$7-'Advanced Entry'!F$6)),1))),"No data"))</f>
        <v/>
      </c>
      <c r="G188" s="17">
        <f>IF('Advanced Entry'!G188="","",IFERROR(MAX(0,MIN(10,ROUND(IF('Advanced Entry'!G$8="Decrease Risk",10-10*((IF('Advanced Entry'!G$5="Logarithm",LN(0.001+'Advanced Entry'!G188),IF('Advanced Entry'!G$5="Exponential",EXP('Advanced Entry'!G188),'Advanced Entry'!G188)))-'Advanced Entry'!G$6)/('Advanced Entry'!G$7-'Advanced Entry'!G$6),10*((IF('Advanced Entry'!G$5="Logarithm",LN(0.001+'Advanced Entry'!G188),IF('Advanced Entry'!G$5="Exponential",EXP('Advanced Entry'!G188),'Advanced Entry'!G188)))-'Advanced Entry'!G$6)/('Advanced Entry'!G$7-'Advanced Entry'!G$6)),1))),"No data"))</f>
        <v/>
      </c>
      <c r="H188" s="17">
        <f>IF('Advanced Entry'!H188="","",IFERROR(MAX(0,MIN(10,ROUND(IF('Advanced Entry'!H$8="Decrease Risk",10-10*((IF('Advanced Entry'!H$5="Logarithm",LN(0.001+'Advanced Entry'!H188),IF('Advanced Entry'!H$5="Exponential",EXP('Advanced Entry'!H188),'Advanced Entry'!H188)))-'Advanced Entry'!H$6)/('Advanced Entry'!H$7-'Advanced Entry'!H$6),10*((IF('Advanced Entry'!H$5="Logarithm",LN(0.001+'Advanced Entry'!H188),IF('Advanced Entry'!H$5="Exponential",EXP('Advanced Entry'!H188),'Advanced Entry'!H188)))-'Advanced Entry'!H$6)/('Advanced Entry'!H$7-'Advanced Entry'!H$6)),1))),"No data"))</f>
        <v/>
      </c>
      <c r="I188" s="17">
        <f>IF('Advanced Entry'!I188="","",IFERROR(MAX(0,MIN(10,ROUND(IF('Advanced Entry'!I$8="Decrease Risk",10-10*((IF('Advanced Entry'!I$5="Logarithm",LN(0.001+'Advanced Entry'!I188),IF('Advanced Entry'!I$5="Exponential",EXP('Advanced Entry'!I188),'Advanced Entry'!I188)))-'Advanced Entry'!I$6)/('Advanced Entry'!I$7-'Advanced Entry'!I$6),10*((IF('Advanced Entry'!I$5="Logarithm",LN(0.001+'Advanced Entry'!I188),IF('Advanced Entry'!I$5="Exponential",EXP('Advanced Entry'!I188),'Advanced Entry'!I188)))-'Advanced Entry'!I$6)/('Advanced Entry'!I$7-'Advanced Entry'!I$6)),1))),"No data"))</f>
        <v/>
      </c>
      <c r="J188" s="17">
        <f>IF('Advanced Entry'!J188="","",IFERROR(MAX(0,MIN(10,ROUND(IF('Advanced Entry'!J$8="Decrease Risk",10-10*((IF('Advanced Entry'!J$5="Logarithm",LN(0.001+'Advanced Entry'!J188),IF('Advanced Entry'!J$5="Exponential",EXP('Advanced Entry'!J188),'Advanced Entry'!J188)))-'Advanced Entry'!J$6)/('Advanced Entry'!J$7-'Advanced Entry'!J$6),10*((IF('Advanced Entry'!J$5="Logarithm",LN(0.001+'Advanced Entry'!J188),IF('Advanced Entry'!J$5="Exponential",EXP('Advanced Entry'!J188),'Advanced Entry'!J188)))-'Advanced Entry'!J$6)/('Advanced Entry'!J$7-'Advanced Entry'!J$6)),1))),"No data"))</f>
        <v/>
      </c>
      <c r="K188" s="17">
        <f>IF('Advanced Entry'!K188="","",IFERROR(MAX(0,MIN(10,ROUND(IF('Advanced Entry'!K$8="Decrease Risk",10-10*((IF('Advanced Entry'!K$5="Logarithm",LN(0.001+'Advanced Entry'!K188),IF('Advanced Entry'!K$5="Exponential",EXP('Advanced Entry'!K188),'Advanced Entry'!K188)))-'Advanced Entry'!K$6)/('Advanced Entry'!K$7-'Advanced Entry'!K$6),10*((IF('Advanced Entry'!K$5="Logarithm",LN(0.001+'Advanced Entry'!K188),IF('Advanced Entry'!K$5="Exponential",EXP('Advanced Entry'!K188),'Advanced Entry'!K188)))-'Advanced Entry'!K$6)/('Advanced Entry'!K$7-'Advanced Entry'!K$6)),1))),"No data"))</f>
        <v/>
      </c>
      <c r="L188" s="17">
        <f>IF('Advanced Entry'!L188="","",IFERROR(MAX(0,MIN(10,ROUND(IF('Advanced Entry'!L$8="Decrease Risk",10-10*((IF('Advanced Entry'!L$5="Logarithm",LN(0.001+'Advanced Entry'!L188),IF('Advanced Entry'!L$5="Exponential",EXP('Advanced Entry'!L188),'Advanced Entry'!L188)))-'Advanced Entry'!L$6)/('Advanced Entry'!L$7-'Advanced Entry'!L$6),10*((IF('Advanced Entry'!L$5="Logarithm",LN(0.001+'Advanced Entry'!L188),IF('Advanced Entry'!L$5="Exponential",EXP('Advanced Entry'!L188),'Advanced Entry'!L188)))-'Advanced Entry'!L$6)/('Advanced Entry'!L$7-'Advanced Entry'!L$6)),1))),"No data"))</f>
        <v/>
      </c>
      <c r="M188" s="17">
        <f>IF('Advanced Entry'!M188="","",IFERROR(MAX(0,MIN(10,ROUND(IF('Advanced Entry'!M$8="Decrease Risk",10-10*((IF('Advanced Entry'!M$5="Logarithm",LN(0.001+'Advanced Entry'!M188),IF('Advanced Entry'!M$5="Exponential",EXP('Advanced Entry'!M188),'Advanced Entry'!M188)))-'Advanced Entry'!M$6)/('Advanced Entry'!M$7-'Advanced Entry'!M$6),10*((IF('Advanced Entry'!M$5="Logarithm",LN(0.001+'Advanced Entry'!M188),IF('Advanced Entry'!M$5="Exponential",EXP('Advanced Entry'!M188),'Advanced Entry'!M188)))-'Advanced Entry'!M$6)/('Advanced Entry'!M$7-'Advanced Entry'!M$6)),1))),"No data"))</f>
        <v/>
      </c>
      <c r="N188" s="17">
        <f>IF('Advanced Entry'!N188="","",IFERROR(MAX(0,MIN(10,ROUND(IF('Advanced Entry'!N$8="Decrease Risk",10-10*((IF('Advanced Entry'!N$5="Logarithm",LN(0.001+'Advanced Entry'!N188),IF('Advanced Entry'!N$5="Exponential",EXP('Advanced Entry'!N188),'Advanced Entry'!N188)))-'Advanced Entry'!N$6)/('Advanced Entry'!N$7-'Advanced Entry'!N$6),10*((IF('Advanced Entry'!N$5="Logarithm",LN(0.001+'Advanced Entry'!N188),IF('Advanced Entry'!N$5="Exponential",EXP('Advanced Entry'!N188),'Advanced Entry'!N188)))-'Advanced Entry'!N$6)/('Advanced Entry'!N$7-'Advanced Entry'!N$6)),1))),"No data"))</f>
        <v/>
      </c>
      <c r="O188" s="17">
        <f>IF('Advanced Entry'!O188="","",IFERROR(MAX(0,MIN(10,ROUND(IF('Advanced Entry'!O$8="Decrease Risk",10-10*((IF('Advanced Entry'!O$5="Logarithm",LN(0.001+'Advanced Entry'!O188),IF('Advanced Entry'!O$5="Exponential",EXP('Advanced Entry'!O188),'Advanced Entry'!O188)))-'Advanced Entry'!O$6)/('Advanced Entry'!O$7-'Advanced Entry'!O$6),10*((IF('Advanced Entry'!O$5="Logarithm",LN(0.001+'Advanced Entry'!O188),IF('Advanced Entry'!O$5="Exponential",EXP('Advanced Entry'!O188),'Advanced Entry'!O188)))-'Advanced Entry'!O$6)/('Advanced Entry'!O$7-'Advanced Entry'!O$6)),1))),"No data"))</f>
        <v/>
      </c>
      <c r="P188" s="17">
        <f>IF('Advanced Entry'!P188="","",IFERROR(MAX(0,MIN(10,ROUND(IF('Advanced Entry'!P$8="Decrease Risk",10-10*((IF('Advanced Entry'!P$5="Logarithm",LN(0.001+'Advanced Entry'!P188),IF('Advanced Entry'!P$5="Exponential",EXP('Advanced Entry'!P188),'Advanced Entry'!P188)))-'Advanced Entry'!P$6)/('Advanced Entry'!P$7-'Advanced Entry'!P$6),10*((IF('Advanced Entry'!P$5="Logarithm",LN(0.001+'Advanced Entry'!P188),IF('Advanced Entry'!P$5="Exponential",EXP('Advanced Entry'!P188),'Advanced Entry'!P188)))-'Advanced Entry'!P$6)/('Advanced Entry'!P$7-'Advanced Entry'!P$6)),1))),"No data"))</f>
        <v/>
      </c>
      <c r="Q188" s="17">
        <f>IF('Advanced Entry'!Q188="","",IFERROR(MAX(0,MIN(10,ROUND(IF('Advanced Entry'!Q$8="Decrease Risk",10-10*((IF('Advanced Entry'!Q$5="Logarithm",LN(0.001+'Advanced Entry'!Q188),IF('Advanced Entry'!Q$5="Exponential",EXP('Advanced Entry'!Q188),'Advanced Entry'!Q188)))-'Advanced Entry'!Q$6)/('Advanced Entry'!Q$7-'Advanced Entry'!Q$6),10*((IF('Advanced Entry'!Q$5="Logarithm",LN(0.001+'Advanced Entry'!Q188),IF('Advanced Entry'!Q$5="Exponential",EXP('Advanced Entry'!Q188),'Advanced Entry'!Q188)))-'Advanced Entry'!Q$6)/('Advanced Entry'!Q$7-'Advanced Entry'!Q$6)),1))),"No data"))</f>
        <v/>
      </c>
      <c r="R188" s="17">
        <f>IF('Advanced Entry'!R188="","",IFERROR(MAX(0,MIN(10,ROUND(IF('Advanced Entry'!R$8="Decrease Risk",10-10*((IF('Advanced Entry'!R$5="Logarithm",LN(0.001+'Advanced Entry'!R188),IF('Advanced Entry'!R$5="Exponential",EXP('Advanced Entry'!R188),'Advanced Entry'!R188)))-'Advanced Entry'!R$6)/('Advanced Entry'!R$7-'Advanced Entry'!R$6),10*((IF('Advanced Entry'!R$5="Logarithm",LN(0.001+'Advanced Entry'!R188),IF('Advanced Entry'!R$5="Exponential",EXP('Advanced Entry'!R188),'Advanced Entry'!R188)))-'Advanced Entry'!R$6)/('Advanced Entry'!R$7-'Advanced Entry'!R$6)),1))),"No data"))</f>
        <v/>
      </c>
      <c r="S188" s="17">
        <f>IF('Advanced Entry'!S188="","",IFERROR(MAX(0,MIN(10,ROUND(IF('Advanced Entry'!S$8="Decrease Risk",10-10*((IF('Advanced Entry'!S$5="Logarithm",LN(0.001+'Advanced Entry'!S188),IF('Advanced Entry'!S$5="Exponential",EXP('Advanced Entry'!S188),'Advanced Entry'!S188)))-'Advanced Entry'!S$6)/('Advanced Entry'!S$7-'Advanced Entry'!S$6),10*((IF('Advanced Entry'!S$5="Logarithm",LN(0.001+'Advanced Entry'!S188),IF('Advanced Entry'!S$5="Exponential",EXP('Advanced Entry'!S188),'Advanced Entry'!S188)))-'Advanced Entry'!S$6)/('Advanced Entry'!S$7-'Advanced Entry'!S$6)),1))),"No data"))</f>
        <v/>
      </c>
      <c r="T188" s="17">
        <f>IF('Advanced Entry'!T188="","",IFERROR(MAX(0,MIN(10,ROUND(IF('Advanced Entry'!T$8="Decrease Risk",10-10*((IF('Advanced Entry'!T$5="Logarithm",LN(0.001+'Advanced Entry'!T188),IF('Advanced Entry'!T$5="Exponential",EXP('Advanced Entry'!T188),'Advanced Entry'!T188)))-'Advanced Entry'!T$6)/('Advanced Entry'!T$7-'Advanced Entry'!T$6),10*((IF('Advanced Entry'!T$5="Logarithm",LN(0.001+'Advanced Entry'!T188),IF('Advanced Entry'!T$5="Exponential",EXP('Advanced Entry'!T188),'Advanced Entry'!T188)))-'Advanced Entry'!T$6)/('Advanced Entry'!T$7-'Advanced Entry'!T$6)),1))),"No data"))</f>
        <v/>
      </c>
      <c r="U188" s="17">
        <f>IF('Advanced Entry'!U188="","",IFERROR(MAX(0,MIN(10,ROUND(IF('Advanced Entry'!U$8="Decrease Risk",10-10*((IF('Advanced Entry'!U$5="Logarithm",LN(0.001+'Advanced Entry'!U188),IF('Advanced Entry'!U$5="Exponential",EXP('Advanced Entry'!U188),'Advanced Entry'!U188)))-'Advanced Entry'!U$6)/('Advanced Entry'!U$7-'Advanced Entry'!U$6),10*((IF('Advanced Entry'!U$5="Logarithm",LN(0.001+'Advanced Entry'!U188),IF('Advanced Entry'!U$5="Exponential",EXP('Advanced Entry'!U188),'Advanced Entry'!U188)))-'Advanced Entry'!U$6)/('Advanced Entry'!U$7-'Advanced Entry'!U$6)),1))),"No data"))</f>
        <v/>
      </c>
      <c r="V188" s="17">
        <f>IF('Advanced Entry'!V188="","",IFERROR(MAX(0,MIN(10,ROUND(IF('Advanced Entry'!V$8="Decrease Risk",10-10*((IF('Advanced Entry'!V$5="Logarithm",LN(0.001+'Advanced Entry'!V188),IF('Advanced Entry'!V$5="Exponential",EXP('Advanced Entry'!V188),'Advanced Entry'!V188)))-'Advanced Entry'!V$6)/('Advanced Entry'!V$7-'Advanced Entry'!V$6),10*((IF('Advanced Entry'!V$5="Logarithm",LN(0.001+'Advanced Entry'!V188),IF('Advanced Entry'!V$5="Exponential",EXP('Advanced Entry'!V188),'Advanced Entry'!V188)))-'Advanced Entry'!V$6)/('Advanced Entry'!V$7-'Advanced Entry'!V$6)),1))),"No data"))</f>
        <v/>
      </c>
      <c r="W188" s="17">
        <f>IF('Advanced Entry'!W188="","",IFERROR(MAX(0,MIN(10,ROUND(IF('Advanced Entry'!W$8="Decrease Risk",10-10*((IF('Advanced Entry'!W$5="Logarithm",LN(0.001+'Advanced Entry'!W188),IF('Advanced Entry'!W$5="Exponential",EXP('Advanced Entry'!W188),'Advanced Entry'!W188)))-'Advanced Entry'!W$6)/('Advanced Entry'!W$7-'Advanced Entry'!W$6),10*((IF('Advanced Entry'!W$5="Logarithm",LN(0.001+'Advanced Entry'!W188),IF('Advanced Entry'!W$5="Exponential",EXP('Advanced Entry'!W188),'Advanced Entry'!W188)))-'Advanced Entry'!W$6)/('Advanced Entry'!W$7-'Advanced Entry'!W$6)),1))),"No data"))</f>
        <v/>
      </c>
      <c r="X188" s="17">
        <f>IF('Advanced Entry'!X188="","",IFERROR(MAX(0,MIN(10,ROUND(IF('Advanced Entry'!X$8="Decrease Risk",10-10*((IF('Advanced Entry'!X$5="Logarithm",LN(0.001+'Advanced Entry'!X188),IF('Advanced Entry'!X$5="Exponential",EXP('Advanced Entry'!X188),'Advanced Entry'!X188)))-'Advanced Entry'!X$6)/('Advanced Entry'!X$7-'Advanced Entry'!X$6),10*((IF('Advanced Entry'!X$5="Logarithm",LN(0.001+'Advanced Entry'!X188),IF('Advanced Entry'!X$5="Exponential",EXP('Advanced Entry'!X188),'Advanced Entry'!X188)))-'Advanced Entry'!X$6)/('Advanced Entry'!X$7-'Advanced Entry'!X$6)),1))),"No data"))</f>
        <v/>
      </c>
      <c r="Y188" s="17">
        <f>IF('Advanced Entry'!Y188="","",IFERROR(MAX(0,MIN(10,ROUND(IF('Advanced Entry'!Y$8="Decrease Risk",10-10*((IF('Advanced Entry'!Y$5="Logarithm",LN(0.001+'Advanced Entry'!Y188),IF('Advanced Entry'!Y$5="Exponential",EXP('Advanced Entry'!Y188),'Advanced Entry'!Y188)))-'Advanced Entry'!Y$6)/('Advanced Entry'!Y$7-'Advanced Entry'!Y$6),10*((IF('Advanced Entry'!Y$5="Logarithm",LN(0.001+'Advanced Entry'!Y188),IF('Advanced Entry'!Y$5="Exponential",EXP('Advanced Entry'!Y188),'Advanced Entry'!Y188)))-'Advanced Entry'!Y$6)/('Advanced Entry'!Y$7-'Advanced Entry'!Y$6)),1))),"No data"))</f>
        <v/>
      </c>
      <c r="Z188" s="17">
        <f>IF('Advanced Entry'!Z188="","",IFERROR(MAX(0,MIN(10,ROUND(IF('Advanced Entry'!Z$8="Decrease Risk",10-10*((IF('Advanced Entry'!Z$5="Logarithm",LN(0.001+'Advanced Entry'!Z188),IF('Advanced Entry'!Z$5="Exponential",EXP('Advanced Entry'!Z188),'Advanced Entry'!Z188)))-'Advanced Entry'!Z$6)/('Advanced Entry'!Z$7-'Advanced Entry'!Z$6),10*((IF('Advanced Entry'!Z$5="Logarithm",LN(0.001+'Advanced Entry'!Z188),IF('Advanced Entry'!Z$5="Exponential",EXP('Advanced Entry'!Z188),'Advanced Entry'!Z188)))-'Advanced Entry'!Z$6)/('Advanced Entry'!Z$7-'Advanced Entry'!Z$6)),1))),"No data"))</f>
        <v/>
      </c>
      <c r="AA188" s="17">
        <f>IF('Advanced Entry'!AA188="","",IFERROR(MAX(0,MIN(10,ROUND(IF('Advanced Entry'!AA$8="Decrease Risk",10-10*((IF('Advanced Entry'!AA$5="Logarithm",LN(0.001+'Advanced Entry'!AA188),IF('Advanced Entry'!AA$5="Exponential",EXP('Advanced Entry'!AA188),'Advanced Entry'!AA188)))-'Advanced Entry'!AA$6)/('Advanced Entry'!AA$7-'Advanced Entry'!AA$6),10*((IF('Advanced Entry'!AA$5="Logarithm",LN(0.001+'Advanced Entry'!AA188),IF('Advanced Entry'!AA$5="Exponential",EXP('Advanced Entry'!AA188),'Advanced Entry'!AA188)))-'Advanced Entry'!AA$6)/('Advanced Entry'!AA$7-'Advanced Entry'!AA$6)),1))),"No data"))</f>
        <v/>
      </c>
      <c r="AB188" s="17">
        <f>IF('Advanced Entry'!AB188="","",IFERROR(MAX(0,MIN(10,ROUND(IF('Advanced Entry'!AB$8="Decrease Risk",10-10*((IF('Advanced Entry'!AB$5="Logarithm",LN(0.001+'Advanced Entry'!AB188),IF('Advanced Entry'!AB$5="Exponential",EXP('Advanced Entry'!AB188),'Advanced Entry'!AB188)))-'Advanced Entry'!AB$6)/('Advanced Entry'!AB$7-'Advanced Entry'!AB$6),10*((IF('Advanced Entry'!AB$5="Logarithm",LN(0.001+'Advanced Entry'!AB188),IF('Advanced Entry'!AB$5="Exponential",EXP('Advanced Entry'!AB188),'Advanced Entry'!AB188)))-'Advanced Entry'!AB$6)/('Advanced Entry'!AB$7-'Advanced Entry'!AB$6)),1))),"No data"))</f>
        <v/>
      </c>
    </row>
    <row r="189">
      <c r="A189" t="inlineStr">
        <is>
          <t>Tabora</t>
        </is>
      </c>
      <c r="B189" t="inlineStr">
        <is>
          <t>Nzega District</t>
        </is>
      </c>
      <c r="C189" t="inlineStr">
        <is>
          <t>C100</t>
        </is>
      </c>
      <c r="D189" s="17">
        <f>IF('Advanced Entry'!D189="","",IFERROR(MAX(0,MIN(10,ROUND(IF('Advanced Entry'!D$8="Decrease Risk",10-10*((IF('Advanced Entry'!D$5="Logarithm",LN(0.001+'Advanced Entry'!D189),IF('Advanced Entry'!D$5="Exponential",EXP('Advanced Entry'!D189),'Advanced Entry'!D189)))-'Advanced Entry'!D$6)/('Advanced Entry'!D$7-'Advanced Entry'!D$6),10*((IF('Advanced Entry'!D$5="Logarithm",LN(0.001+'Advanced Entry'!D189),IF('Advanced Entry'!D$5="Exponential",EXP('Advanced Entry'!D189),'Advanced Entry'!D189)))-'Advanced Entry'!D$6)/('Advanced Entry'!D$7-'Advanced Entry'!D$6)),1))),"No data"))</f>
        <v/>
      </c>
      <c r="E189" s="17">
        <f>IF('Advanced Entry'!E189="","",IFERROR(MAX(0,MIN(10,ROUND(IF('Advanced Entry'!E$8="Decrease Risk",10-10*((IF('Advanced Entry'!E$5="Logarithm",LN(0.001+'Advanced Entry'!E189),IF('Advanced Entry'!E$5="Exponential",EXP('Advanced Entry'!E189),'Advanced Entry'!E189)))-'Advanced Entry'!E$6)/('Advanced Entry'!E$7-'Advanced Entry'!E$6),10*((IF('Advanced Entry'!E$5="Logarithm",LN(0.001+'Advanced Entry'!E189),IF('Advanced Entry'!E$5="Exponential",EXP('Advanced Entry'!E189),'Advanced Entry'!E189)))-'Advanced Entry'!E$6)/('Advanced Entry'!E$7-'Advanced Entry'!E$6)),1))),"No data"))</f>
        <v/>
      </c>
      <c r="F189" s="17">
        <f>IF('Advanced Entry'!F189="","",IFERROR(MAX(0,MIN(10,ROUND(IF('Advanced Entry'!F$8="Decrease Risk",10-10*((IF('Advanced Entry'!F$5="Logarithm",LN(0.001+'Advanced Entry'!F189),IF('Advanced Entry'!F$5="Exponential",EXP('Advanced Entry'!F189),'Advanced Entry'!F189)))-'Advanced Entry'!F$6)/('Advanced Entry'!F$7-'Advanced Entry'!F$6),10*((IF('Advanced Entry'!F$5="Logarithm",LN(0.001+'Advanced Entry'!F189),IF('Advanced Entry'!F$5="Exponential",EXP('Advanced Entry'!F189),'Advanced Entry'!F189)))-'Advanced Entry'!F$6)/('Advanced Entry'!F$7-'Advanced Entry'!F$6)),1))),"No data"))</f>
        <v/>
      </c>
      <c r="G189" s="17">
        <f>IF('Advanced Entry'!G189="","",IFERROR(MAX(0,MIN(10,ROUND(IF('Advanced Entry'!G$8="Decrease Risk",10-10*((IF('Advanced Entry'!G$5="Logarithm",LN(0.001+'Advanced Entry'!G189),IF('Advanced Entry'!G$5="Exponential",EXP('Advanced Entry'!G189),'Advanced Entry'!G189)))-'Advanced Entry'!G$6)/('Advanced Entry'!G$7-'Advanced Entry'!G$6),10*((IF('Advanced Entry'!G$5="Logarithm",LN(0.001+'Advanced Entry'!G189),IF('Advanced Entry'!G$5="Exponential",EXP('Advanced Entry'!G189),'Advanced Entry'!G189)))-'Advanced Entry'!G$6)/('Advanced Entry'!G$7-'Advanced Entry'!G$6)),1))),"No data"))</f>
        <v/>
      </c>
      <c r="H189" s="17">
        <f>IF('Advanced Entry'!H189="","",IFERROR(MAX(0,MIN(10,ROUND(IF('Advanced Entry'!H$8="Decrease Risk",10-10*((IF('Advanced Entry'!H$5="Logarithm",LN(0.001+'Advanced Entry'!H189),IF('Advanced Entry'!H$5="Exponential",EXP('Advanced Entry'!H189),'Advanced Entry'!H189)))-'Advanced Entry'!H$6)/('Advanced Entry'!H$7-'Advanced Entry'!H$6),10*((IF('Advanced Entry'!H$5="Logarithm",LN(0.001+'Advanced Entry'!H189),IF('Advanced Entry'!H$5="Exponential",EXP('Advanced Entry'!H189),'Advanced Entry'!H189)))-'Advanced Entry'!H$6)/('Advanced Entry'!H$7-'Advanced Entry'!H$6)),1))),"No data"))</f>
        <v/>
      </c>
      <c r="I189" s="17">
        <f>IF('Advanced Entry'!I189="","",IFERROR(MAX(0,MIN(10,ROUND(IF('Advanced Entry'!I$8="Decrease Risk",10-10*((IF('Advanced Entry'!I$5="Logarithm",LN(0.001+'Advanced Entry'!I189),IF('Advanced Entry'!I$5="Exponential",EXP('Advanced Entry'!I189),'Advanced Entry'!I189)))-'Advanced Entry'!I$6)/('Advanced Entry'!I$7-'Advanced Entry'!I$6),10*((IF('Advanced Entry'!I$5="Logarithm",LN(0.001+'Advanced Entry'!I189),IF('Advanced Entry'!I$5="Exponential",EXP('Advanced Entry'!I189),'Advanced Entry'!I189)))-'Advanced Entry'!I$6)/('Advanced Entry'!I$7-'Advanced Entry'!I$6)),1))),"No data"))</f>
        <v/>
      </c>
      <c r="J189" s="17">
        <f>IF('Advanced Entry'!J189="","",IFERROR(MAX(0,MIN(10,ROUND(IF('Advanced Entry'!J$8="Decrease Risk",10-10*((IF('Advanced Entry'!J$5="Logarithm",LN(0.001+'Advanced Entry'!J189),IF('Advanced Entry'!J$5="Exponential",EXP('Advanced Entry'!J189),'Advanced Entry'!J189)))-'Advanced Entry'!J$6)/('Advanced Entry'!J$7-'Advanced Entry'!J$6),10*((IF('Advanced Entry'!J$5="Logarithm",LN(0.001+'Advanced Entry'!J189),IF('Advanced Entry'!J$5="Exponential",EXP('Advanced Entry'!J189),'Advanced Entry'!J189)))-'Advanced Entry'!J$6)/('Advanced Entry'!J$7-'Advanced Entry'!J$6)),1))),"No data"))</f>
        <v/>
      </c>
      <c r="K189" s="17">
        <f>IF('Advanced Entry'!K189="","",IFERROR(MAX(0,MIN(10,ROUND(IF('Advanced Entry'!K$8="Decrease Risk",10-10*((IF('Advanced Entry'!K$5="Logarithm",LN(0.001+'Advanced Entry'!K189),IF('Advanced Entry'!K$5="Exponential",EXP('Advanced Entry'!K189),'Advanced Entry'!K189)))-'Advanced Entry'!K$6)/('Advanced Entry'!K$7-'Advanced Entry'!K$6),10*((IF('Advanced Entry'!K$5="Logarithm",LN(0.001+'Advanced Entry'!K189),IF('Advanced Entry'!K$5="Exponential",EXP('Advanced Entry'!K189),'Advanced Entry'!K189)))-'Advanced Entry'!K$6)/('Advanced Entry'!K$7-'Advanced Entry'!K$6)),1))),"No data"))</f>
        <v/>
      </c>
      <c r="L189" s="17">
        <f>IF('Advanced Entry'!L189="","",IFERROR(MAX(0,MIN(10,ROUND(IF('Advanced Entry'!L$8="Decrease Risk",10-10*((IF('Advanced Entry'!L$5="Logarithm",LN(0.001+'Advanced Entry'!L189),IF('Advanced Entry'!L$5="Exponential",EXP('Advanced Entry'!L189),'Advanced Entry'!L189)))-'Advanced Entry'!L$6)/('Advanced Entry'!L$7-'Advanced Entry'!L$6),10*((IF('Advanced Entry'!L$5="Logarithm",LN(0.001+'Advanced Entry'!L189),IF('Advanced Entry'!L$5="Exponential",EXP('Advanced Entry'!L189),'Advanced Entry'!L189)))-'Advanced Entry'!L$6)/('Advanced Entry'!L$7-'Advanced Entry'!L$6)),1))),"No data"))</f>
        <v/>
      </c>
      <c r="M189" s="17">
        <f>IF('Advanced Entry'!M189="","",IFERROR(MAX(0,MIN(10,ROUND(IF('Advanced Entry'!M$8="Decrease Risk",10-10*((IF('Advanced Entry'!M$5="Logarithm",LN(0.001+'Advanced Entry'!M189),IF('Advanced Entry'!M$5="Exponential",EXP('Advanced Entry'!M189),'Advanced Entry'!M189)))-'Advanced Entry'!M$6)/('Advanced Entry'!M$7-'Advanced Entry'!M$6),10*((IF('Advanced Entry'!M$5="Logarithm",LN(0.001+'Advanced Entry'!M189),IF('Advanced Entry'!M$5="Exponential",EXP('Advanced Entry'!M189),'Advanced Entry'!M189)))-'Advanced Entry'!M$6)/('Advanced Entry'!M$7-'Advanced Entry'!M$6)),1))),"No data"))</f>
        <v/>
      </c>
      <c r="N189" s="17">
        <f>IF('Advanced Entry'!N189="","",IFERROR(MAX(0,MIN(10,ROUND(IF('Advanced Entry'!N$8="Decrease Risk",10-10*((IF('Advanced Entry'!N$5="Logarithm",LN(0.001+'Advanced Entry'!N189),IF('Advanced Entry'!N$5="Exponential",EXP('Advanced Entry'!N189),'Advanced Entry'!N189)))-'Advanced Entry'!N$6)/('Advanced Entry'!N$7-'Advanced Entry'!N$6),10*((IF('Advanced Entry'!N$5="Logarithm",LN(0.001+'Advanced Entry'!N189),IF('Advanced Entry'!N$5="Exponential",EXP('Advanced Entry'!N189),'Advanced Entry'!N189)))-'Advanced Entry'!N$6)/('Advanced Entry'!N$7-'Advanced Entry'!N$6)),1))),"No data"))</f>
        <v/>
      </c>
      <c r="O189" s="17">
        <f>IF('Advanced Entry'!O189="","",IFERROR(MAX(0,MIN(10,ROUND(IF('Advanced Entry'!O$8="Decrease Risk",10-10*((IF('Advanced Entry'!O$5="Logarithm",LN(0.001+'Advanced Entry'!O189),IF('Advanced Entry'!O$5="Exponential",EXP('Advanced Entry'!O189),'Advanced Entry'!O189)))-'Advanced Entry'!O$6)/('Advanced Entry'!O$7-'Advanced Entry'!O$6),10*((IF('Advanced Entry'!O$5="Logarithm",LN(0.001+'Advanced Entry'!O189),IF('Advanced Entry'!O$5="Exponential",EXP('Advanced Entry'!O189),'Advanced Entry'!O189)))-'Advanced Entry'!O$6)/('Advanced Entry'!O$7-'Advanced Entry'!O$6)),1))),"No data"))</f>
        <v/>
      </c>
      <c r="P189" s="17">
        <f>IF('Advanced Entry'!P189="","",IFERROR(MAX(0,MIN(10,ROUND(IF('Advanced Entry'!P$8="Decrease Risk",10-10*((IF('Advanced Entry'!P$5="Logarithm",LN(0.001+'Advanced Entry'!P189),IF('Advanced Entry'!P$5="Exponential",EXP('Advanced Entry'!P189),'Advanced Entry'!P189)))-'Advanced Entry'!P$6)/('Advanced Entry'!P$7-'Advanced Entry'!P$6),10*((IF('Advanced Entry'!P$5="Logarithm",LN(0.001+'Advanced Entry'!P189),IF('Advanced Entry'!P$5="Exponential",EXP('Advanced Entry'!P189),'Advanced Entry'!P189)))-'Advanced Entry'!P$6)/('Advanced Entry'!P$7-'Advanced Entry'!P$6)),1))),"No data"))</f>
        <v/>
      </c>
      <c r="Q189" s="17">
        <f>IF('Advanced Entry'!Q189="","",IFERROR(MAX(0,MIN(10,ROUND(IF('Advanced Entry'!Q$8="Decrease Risk",10-10*((IF('Advanced Entry'!Q$5="Logarithm",LN(0.001+'Advanced Entry'!Q189),IF('Advanced Entry'!Q$5="Exponential",EXP('Advanced Entry'!Q189),'Advanced Entry'!Q189)))-'Advanced Entry'!Q$6)/('Advanced Entry'!Q$7-'Advanced Entry'!Q$6),10*((IF('Advanced Entry'!Q$5="Logarithm",LN(0.001+'Advanced Entry'!Q189),IF('Advanced Entry'!Q$5="Exponential",EXP('Advanced Entry'!Q189),'Advanced Entry'!Q189)))-'Advanced Entry'!Q$6)/('Advanced Entry'!Q$7-'Advanced Entry'!Q$6)),1))),"No data"))</f>
        <v/>
      </c>
      <c r="R189" s="17">
        <f>IF('Advanced Entry'!R189="","",IFERROR(MAX(0,MIN(10,ROUND(IF('Advanced Entry'!R$8="Decrease Risk",10-10*((IF('Advanced Entry'!R$5="Logarithm",LN(0.001+'Advanced Entry'!R189),IF('Advanced Entry'!R$5="Exponential",EXP('Advanced Entry'!R189),'Advanced Entry'!R189)))-'Advanced Entry'!R$6)/('Advanced Entry'!R$7-'Advanced Entry'!R$6),10*((IF('Advanced Entry'!R$5="Logarithm",LN(0.001+'Advanced Entry'!R189),IF('Advanced Entry'!R$5="Exponential",EXP('Advanced Entry'!R189),'Advanced Entry'!R189)))-'Advanced Entry'!R$6)/('Advanced Entry'!R$7-'Advanced Entry'!R$6)),1))),"No data"))</f>
        <v/>
      </c>
      <c r="S189" s="17">
        <f>IF('Advanced Entry'!S189="","",IFERROR(MAX(0,MIN(10,ROUND(IF('Advanced Entry'!S$8="Decrease Risk",10-10*((IF('Advanced Entry'!S$5="Logarithm",LN(0.001+'Advanced Entry'!S189),IF('Advanced Entry'!S$5="Exponential",EXP('Advanced Entry'!S189),'Advanced Entry'!S189)))-'Advanced Entry'!S$6)/('Advanced Entry'!S$7-'Advanced Entry'!S$6),10*((IF('Advanced Entry'!S$5="Logarithm",LN(0.001+'Advanced Entry'!S189),IF('Advanced Entry'!S$5="Exponential",EXP('Advanced Entry'!S189),'Advanced Entry'!S189)))-'Advanced Entry'!S$6)/('Advanced Entry'!S$7-'Advanced Entry'!S$6)),1))),"No data"))</f>
        <v/>
      </c>
      <c r="T189" s="17">
        <f>IF('Advanced Entry'!T189="","",IFERROR(MAX(0,MIN(10,ROUND(IF('Advanced Entry'!T$8="Decrease Risk",10-10*((IF('Advanced Entry'!T$5="Logarithm",LN(0.001+'Advanced Entry'!T189),IF('Advanced Entry'!T$5="Exponential",EXP('Advanced Entry'!T189),'Advanced Entry'!T189)))-'Advanced Entry'!T$6)/('Advanced Entry'!T$7-'Advanced Entry'!T$6),10*((IF('Advanced Entry'!T$5="Logarithm",LN(0.001+'Advanced Entry'!T189),IF('Advanced Entry'!T$5="Exponential",EXP('Advanced Entry'!T189),'Advanced Entry'!T189)))-'Advanced Entry'!T$6)/('Advanced Entry'!T$7-'Advanced Entry'!T$6)),1))),"No data"))</f>
        <v/>
      </c>
      <c r="U189" s="17">
        <f>IF('Advanced Entry'!U189="","",IFERROR(MAX(0,MIN(10,ROUND(IF('Advanced Entry'!U$8="Decrease Risk",10-10*((IF('Advanced Entry'!U$5="Logarithm",LN(0.001+'Advanced Entry'!U189),IF('Advanced Entry'!U$5="Exponential",EXP('Advanced Entry'!U189),'Advanced Entry'!U189)))-'Advanced Entry'!U$6)/('Advanced Entry'!U$7-'Advanced Entry'!U$6),10*((IF('Advanced Entry'!U$5="Logarithm",LN(0.001+'Advanced Entry'!U189),IF('Advanced Entry'!U$5="Exponential",EXP('Advanced Entry'!U189),'Advanced Entry'!U189)))-'Advanced Entry'!U$6)/('Advanced Entry'!U$7-'Advanced Entry'!U$6)),1))),"No data"))</f>
        <v/>
      </c>
      <c r="V189" s="17">
        <f>IF('Advanced Entry'!V189="","",IFERROR(MAX(0,MIN(10,ROUND(IF('Advanced Entry'!V$8="Decrease Risk",10-10*((IF('Advanced Entry'!V$5="Logarithm",LN(0.001+'Advanced Entry'!V189),IF('Advanced Entry'!V$5="Exponential",EXP('Advanced Entry'!V189),'Advanced Entry'!V189)))-'Advanced Entry'!V$6)/('Advanced Entry'!V$7-'Advanced Entry'!V$6),10*((IF('Advanced Entry'!V$5="Logarithm",LN(0.001+'Advanced Entry'!V189),IF('Advanced Entry'!V$5="Exponential",EXP('Advanced Entry'!V189),'Advanced Entry'!V189)))-'Advanced Entry'!V$6)/('Advanced Entry'!V$7-'Advanced Entry'!V$6)),1))),"No data"))</f>
        <v/>
      </c>
      <c r="W189" s="17">
        <f>IF('Advanced Entry'!W189="","",IFERROR(MAX(0,MIN(10,ROUND(IF('Advanced Entry'!W$8="Decrease Risk",10-10*((IF('Advanced Entry'!W$5="Logarithm",LN(0.001+'Advanced Entry'!W189),IF('Advanced Entry'!W$5="Exponential",EXP('Advanced Entry'!W189),'Advanced Entry'!W189)))-'Advanced Entry'!W$6)/('Advanced Entry'!W$7-'Advanced Entry'!W$6),10*((IF('Advanced Entry'!W$5="Logarithm",LN(0.001+'Advanced Entry'!W189),IF('Advanced Entry'!W$5="Exponential",EXP('Advanced Entry'!W189),'Advanced Entry'!W189)))-'Advanced Entry'!W$6)/('Advanced Entry'!W$7-'Advanced Entry'!W$6)),1))),"No data"))</f>
        <v/>
      </c>
      <c r="X189" s="17">
        <f>IF('Advanced Entry'!X189="","",IFERROR(MAX(0,MIN(10,ROUND(IF('Advanced Entry'!X$8="Decrease Risk",10-10*((IF('Advanced Entry'!X$5="Logarithm",LN(0.001+'Advanced Entry'!X189),IF('Advanced Entry'!X$5="Exponential",EXP('Advanced Entry'!X189),'Advanced Entry'!X189)))-'Advanced Entry'!X$6)/('Advanced Entry'!X$7-'Advanced Entry'!X$6),10*((IF('Advanced Entry'!X$5="Logarithm",LN(0.001+'Advanced Entry'!X189),IF('Advanced Entry'!X$5="Exponential",EXP('Advanced Entry'!X189),'Advanced Entry'!X189)))-'Advanced Entry'!X$6)/('Advanced Entry'!X$7-'Advanced Entry'!X$6)),1))),"No data"))</f>
        <v/>
      </c>
      <c r="Y189" s="17">
        <f>IF('Advanced Entry'!Y189="","",IFERROR(MAX(0,MIN(10,ROUND(IF('Advanced Entry'!Y$8="Decrease Risk",10-10*((IF('Advanced Entry'!Y$5="Logarithm",LN(0.001+'Advanced Entry'!Y189),IF('Advanced Entry'!Y$5="Exponential",EXP('Advanced Entry'!Y189),'Advanced Entry'!Y189)))-'Advanced Entry'!Y$6)/('Advanced Entry'!Y$7-'Advanced Entry'!Y$6),10*((IF('Advanced Entry'!Y$5="Logarithm",LN(0.001+'Advanced Entry'!Y189),IF('Advanced Entry'!Y$5="Exponential",EXP('Advanced Entry'!Y189),'Advanced Entry'!Y189)))-'Advanced Entry'!Y$6)/('Advanced Entry'!Y$7-'Advanced Entry'!Y$6)),1))),"No data"))</f>
        <v/>
      </c>
      <c r="Z189" s="17">
        <f>IF('Advanced Entry'!Z189="","",IFERROR(MAX(0,MIN(10,ROUND(IF('Advanced Entry'!Z$8="Decrease Risk",10-10*((IF('Advanced Entry'!Z$5="Logarithm",LN(0.001+'Advanced Entry'!Z189),IF('Advanced Entry'!Z$5="Exponential",EXP('Advanced Entry'!Z189),'Advanced Entry'!Z189)))-'Advanced Entry'!Z$6)/('Advanced Entry'!Z$7-'Advanced Entry'!Z$6),10*((IF('Advanced Entry'!Z$5="Logarithm",LN(0.001+'Advanced Entry'!Z189),IF('Advanced Entry'!Z$5="Exponential",EXP('Advanced Entry'!Z189),'Advanced Entry'!Z189)))-'Advanced Entry'!Z$6)/('Advanced Entry'!Z$7-'Advanced Entry'!Z$6)),1))),"No data"))</f>
        <v/>
      </c>
      <c r="AA189" s="17">
        <f>IF('Advanced Entry'!AA189="","",IFERROR(MAX(0,MIN(10,ROUND(IF('Advanced Entry'!AA$8="Decrease Risk",10-10*((IF('Advanced Entry'!AA$5="Logarithm",LN(0.001+'Advanced Entry'!AA189),IF('Advanced Entry'!AA$5="Exponential",EXP('Advanced Entry'!AA189),'Advanced Entry'!AA189)))-'Advanced Entry'!AA$6)/('Advanced Entry'!AA$7-'Advanced Entry'!AA$6),10*((IF('Advanced Entry'!AA$5="Logarithm",LN(0.001+'Advanced Entry'!AA189),IF('Advanced Entry'!AA$5="Exponential",EXP('Advanced Entry'!AA189),'Advanced Entry'!AA189)))-'Advanced Entry'!AA$6)/('Advanced Entry'!AA$7-'Advanced Entry'!AA$6)),1))),"No data"))</f>
        <v/>
      </c>
      <c r="AB189" s="17">
        <f>IF('Advanced Entry'!AB189="","",IFERROR(MAX(0,MIN(10,ROUND(IF('Advanced Entry'!AB$8="Decrease Risk",10-10*((IF('Advanced Entry'!AB$5="Logarithm",LN(0.001+'Advanced Entry'!AB189),IF('Advanced Entry'!AB$5="Exponential",EXP('Advanced Entry'!AB189),'Advanced Entry'!AB189)))-'Advanced Entry'!AB$6)/('Advanced Entry'!AB$7-'Advanced Entry'!AB$6),10*((IF('Advanced Entry'!AB$5="Logarithm",LN(0.001+'Advanced Entry'!AB189),IF('Advanced Entry'!AB$5="Exponential",EXP('Advanced Entry'!AB189),'Advanced Entry'!AB189)))-'Advanced Entry'!AB$6)/('Advanced Entry'!AB$7-'Advanced Entry'!AB$6)),1))),"No data"))</f>
        <v/>
      </c>
    </row>
    <row r="190">
      <c r="A190" t="inlineStr">
        <is>
          <t>Tabora</t>
        </is>
      </c>
      <c r="B190" t="inlineStr">
        <is>
          <t>Nzega Town</t>
        </is>
      </c>
      <c r="C190" t="inlineStr">
        <is>
          <t>C099</t>
        </is>
      </c>
      <c r="D190" s="17">
        <f>IF('Advanced Entry'!D190="","",IFERROR(MAX(0,MIN(10,ROUND(IF('Advanced Entry'!D$8="Decrease Risk",10-10*((IF('Advanced Entry'!D$5="Logarithm",LN(0.001+'Advanced Entry'!D190),IF('Advanced Entry'!D$5="Exponential",EXP('Advanced Entry'!D190),'Advanced Entry'!D190)))-'Advanced Entry'!D$6)/('Advanced Entry'!D$7-'Advanced Entry'!D$6),10*((IF('Advanced Entry'!D$5="Logarithm",LN(0.001+'Advanced Entry'!D190),IF('Advanced Entry'!D$5="Exponential",EXP('Advanced Entry'!D190),'Advanced Entry'!D190)))-'Advanced Entry'!D$6)/('Advanced Entry'!D$7-'Advanced Entry'!D$6)),1))),"No data"))</f>
        <v/>
      </c>
      <c r="E190" s="17">
        <f>IF('Advanced Entry'!E190="","",IFERROR(MAX(0,MIN(10,ROUND(IF('Advanced Entry'!E$8="Decrease Risk",10-10*((IF('Advanced Entry'!E$5="Logarithm",LN(0.001+'Advanced Entry'!E190),IF('Advanced Entry'!E$5="Exponential",EXP('Advanced Entry'!E190),'Advanced Entry'!E190)))-'Advanced Entry'!E$6)/('Advanced Entry'!E$7-'Advanced Entry'!E$6),10*((IF('Advanced Entry'!E$5="Logarithm",LN(0.001+'Advanced Entry'!E190),IF('Advanced Entry'!E$5="Exponential",EXP('Advanced Entry'!E190),'Advanced Entry'!E190)))-'Advanced Entry'!E$6)/('Advanced Entry'!E$7-'Advanced Entry'!E$6)),1))),"No data"))</f>
        <v/>
      </c>
      <c r="F190" s="17">
        <f>IF('Advanced Entry'!F190="","",IFERROR(MAX(0,MIN(10,ROUND(IF('Advanced Entry'!F$8="Decrease Risk",10-10*((IF('Advanced Entry'!F$5="Logarithm",LN(0.001+'Advanced Entry'!F190),IF('Advanced Entry'!F$5="Exponential",EXP('Advanced Entry'!F190),'Advanced Entry'!F190)))-'Advanced Entry'!F$6)/('Advanced Entry'!F$7-'Advanced Entry'!F$6),10*((IF('Advanced Entry'!F$5="Logarithm",LN(0.001+'Advanced Entry'!F190),IF('Advanced Entry'!F$5="Exponential",EXP('Advanced Entry'!F190),'Advanced Entry'!F190)))-'Advanced Entry'!F$6)/('Advanced Entry'!F$7-'Advanced Entry'!F$6)),1))),"No data"))</f>
        <v/>
      </c>
      <c r="G190" s="17">
        <f>IF('Advanced Entry'!G190="","",IFERROR(MAX(0,MIN(10,ROUND(IF('Advanced Entry'!G$8="Decrease Risk",10-10*((IF('Advanced Entry'!G$5="Logarithm",LN(0.001+'Advanced Entry'!G190),IF('Advanced Entry'!G$5="Exponential",EXP('Advanced Entry'!G190),'Advanced Entry'!G190)))-'Advanced Entry'!G$6)/('Advanced Entry'!G$7-'Advanced Entry'!G$6),10*((IF('Advanced Entry'!G$5="Logarithm",LN(0.001+'Advanced Entry'!G190),IF('Advanced Entry'!G$5="Exponential",EXP('Advanced Entry'!G190),'Advanced Entry'!G190)))-'Advanced Entry'!G$6)/('Advanced Entry'!G$7-'Advanced Entry'!G$6)),1))),"No data"))</f>
        <v/>
      </c>
      <c r="H190" s="17">
        <f>IF('Advanced Entry'!H190="","",IFERROR(MAX(0,MIN(10,ROUND(IF('Advanced Entry'!H$8="Decrease Risk",10-10*((IF('Advanced Entry'!H$5="Logarithm",LN(0.001+'Advanced Entry'!H190),IF('Advanced Entry'!H$5="Exponential",EXP('Advanced Entry'!H190),'Advanced Entry'!H190)))-'Advanced Entry'!H$6)/('Advanced Entry'!H$7-'Advanced Entry'!H$6),10*((IF('Advanced Entry'!H$5="Logarithm",LN(0.001+'Advanced Entry'!H190),IF('Advanced Entry'!H$5="Exponential",EXP('Advanced Entry'!H190),'Advanced Entry'!H190)))-'Advanced Entry'!H$6)/('Advanced Entry'!H$7-'Advanced Entry'!H$6)),1))),"No data"))</f>
        <v/>
      </c>
      <c r="I190" s="17">
        <f>IF('Advanced Entry'!I190="","",IFERROR(MAX(0,MIN(10,ROUND(IF('Advanced Entry'!I$8="Decrease Risk",10-10*((IF('Advanced Entry'!I$5="Logarithm",LN(0.001+'Advanced Entry'!I190),IF('Advanced Entry'!I$5="Exponential",EXP('Advanced Entry'!I190),'Advanced Entry'!I190)))-'Advanced Entry'!I$6)/('Advanced Entry'!I$7-'Advanced Entry'!I$6),10*((IF('Advanced Entry'!I$5="Logarithm",LN(0.001+'Advanced Entry'!I190),IF('Advanced Entry'!I$5="Exponential",EXP('Advanced Entry'!I190),'Advanced Entry'!I190)))-'Advanced Entry'!I$6)/('Advanced Entry'!I$7-'Advanced Entry'!I$6)),1))),"No data"))</f>
        <v/>
      </c>
      <c r="J190" s="17">
        <f>IF('Advanced Entry'!J190="","",IFERROR(MAX(0,MIN(10,ROUND(IF('Advanced Entry'!J$8="Decrease Risk",10-10*((IF('Advanced Entry'!J$5="Logarithm",LN(0.001+'Advanced Entry'!J190),IF('Advanced Entry'!J$5="Exponential",EXP('Advanced Entry'!J190),'Advanced Entry'!J190)))-'Advanced Entry'!J$6)/('Advanced Entry'!J$7-'Advanced Entry'!J$6),10*((IF('Advanced Entry'!J$5="Logarithm",LN(0.001+'Advanced Entry'!J190),IF('Advanced Entry'!J$5="Exponential",EXP('Advanced Entry'!J190),'Advanced Entry'!J190)))-'Advanced Entry'!J$6)/('Advanced Entry'!J$7-'Advanced Entry'!J$6)),1))),"No data"))</f>
        <v/>
      </c>
      <c r="K190" s="17">
        <f>IF('Advanced Entry'!K190="","",IFERROR(MAX(0,MIN(10,ROUND(IF('Advanced Entry'!K$8="Decrease Risk",10-10*((IF('Advanced Entry'!K$5="Logarithm",LN(0.001+'Advanced Entry'!K190),IF('Advanced Entry'!K$5="Exponential",EXP('Advanced Entry'!K190),'Advanced Entry'!K190)))-'Advanced Entry'!K$6)/('Advanced Entry'!K$7-'Advanced Entry'!K$6),10*((IF('Advanced Entry'!K$5="Logarithm",LN(0.001+'Advanced Entry'!K190),IF('Advanced Entry'!K$5="Exponential",EXP('Advanced Entry'!K190),'Advanced Entry'!K190)))-'Advanced Entry'!K$6)/('Advanced Entry'!K$7-'Advanced Entry'!K$6)),1))),"No data"))</f>
        <v/>
      </c>
      <c r="L190" s="17">
        <f>IF('Advanced Entry'!L190="","",IFERROR(MAX(0,MIN(10,ROUND(IF('Advanced Entry'!L$8="Decrease Risk",10-10*((IF('Advanced Entry'!L$5="Logarithm",LN(0.001+'Advanced Entry'!L190),IF('Advanced Entry'!L$5="Exponential",EXP('Advanced Entry'!L190),'Advanced Entry'!L190)))-'Advanced Entry'!L$6)/('Advanced Entry'!L$7-'Advanced Entry'!L$6),10*((IF('Advanced Entry'!L$5="Logarithm",LN(0.001+'Advanced Entry'!L190),IF('Advanced Entry'!L$5="Exponential",EXP('Advanced Entry'!L190),'Advanced Entry'!L190)))-'Advanced Entry'!L$6)/('Advanced Entry'!L$7-'Advanced Entry'!L$6)),1))),"No data"))</f>
        <v/>
      </c>
      <c r="M190" s="17">
        <f>IF('Advanced Entry'!M190="","",IFERROR(MAX(0,MIN(10,ROUND(IF('Advanced Entry'!M$8="Decrease Risk",10-10*((IF('Advanced Entry'!M$5="Logarithm",LN(0.001+'Advanced Entry'!M190),IF('Advanced Entry'!M$5="Exponential",EXP('Advanced Entry'!M190),'Advanced Entry'!M190)))-'Advanced Entry'!M$6)/('Advanced Entry'!M$7-'Advanced Entry'!M$6),10*((IF('Advanced Entry'!M$5="Logarithm",LN(0.001+'Advanced Entry'!M190),IF('Advanced Entry'!M$5="Exponential",EXP('Advanced Entry'!M190),'Advanced Entry'!M190)))-'Advanced Entry'!M$6)/('Advanced Entry'!M$7-'Advanced Entry'!M$6)),1))),"No data"))</f>
        <v/>
      </c>
      <c r="N190" s="17">
        <f>IF('Advanced Entry'!N190="","",IFERROR(MAX(0,MIN(10,ROUND(IF('Advanced Entry'!N$8="Decrease Risk",10-10*((IF('Advanced Entry'!N$5="Logarithm",LN(0.001+'Advanced Entry'!N190),IF('Advanced Entry'!N$5="Exponential",EXP('Advanced Entry'!N190),'Advanced Entry'!N190)))-'Advanced Entry'!N$6)/('Advanced Entry'!N$7-'Advanced Entry'!N$6),10*((IF('Advanced Entry'!N$5="Logarithm",LN(0.001+'Advanced Entry'!N190),IF('Advanced Entry'!N$5="Exponential",EXP('Advanced Entry'!N190),'Advanced Entry'!N190)))-'Advanced Entry'!N$6)/('Advanced Entry'!N$7-'Advanced Entry'!N$6)),1))),"No data"))</f>
        <v/>
      </c>
      <c r="O190" s="17">
        <f>IF('Advanced Entry'!O190="","",IFERROR(MAX(0,MIN(10,ROUND(IF('Advanced Entry'!O$8="Decrease Risk",10-10*((IF('Advanced Entry'!O$5="Logarithm",LN(0.001+'Advanced Entry'!O190),IF('Advanced Entry'!O$5="Exponential",EXP('Advanced Entry'!O190),'Advanced Entry'!O190)))-'Advanced Entry'!O$6)/('Advanced Entry'!O$7-'Advanced Entry'!O$6),10*((IF('Advanced Entry'!O$5="Logarithm",LN(0.001+'Advanced Entry'!O190),IF('Advanced Entry'!O$5="Exponential",EXP('Advanced Entry'!O190),'Advanced Entry'!O190)))-'Advanced Entry'!O$6)/('Advanced Entry'!O$7-'Advanced Entry'!O$6)),1))),"No data"))</f>
        <v/>
      </c>
      <c r="P190" s="17">
        <f>IF('Advanced Entry'!P190="","",IFERROR(MAX(0,MIN(10,ROUND(IF('Advanced Entry'!P$8="Decrease Risk",10-10*((IF('Advanced Entry'!P$5="Logarithm",LN(0.001+'Advanced Entry'!P190),IF('Advanced Entry'!P$5="Exponential",EXP('Advanced Entry'!P190),'Advanced Entry'!P190)))-'Advanced Entry'!P$6)/('Advanced Entry'!P$7-'Advanced Entry'!P$6),10*((IF('Advanced Entry'!P$5="Logarithm",LN(0.001+'Advanced Entry'!P190),IF('Advanced Entry'!P$5="Exponential",EXP('Advanced Entry'!P190),'Advanced Entry'!P190)))-'Advanced Entry'!P$6)/('Advanced Entry'!P$7-'Advanced Entry'!P$6)),1))),"No data"))</f>
        <v/>
      </c>
      <c r="Q190" s="17">
        <f>IF('Advanced Entry'!Q190="","",IFERROR(MAX(0,MIN(10,ROUND(IF('Advanced Entry'!Q$8="Decrease Risk",10-10*((IF('Advanced Entry'!Q$5="Logarithm",LN(0.001+'Advanced Entry'!Q190),IF('Advanced Entry'!Q$5="Exponential",EXP('Advanced Entry'!Q190),'Advanced Entry'!Q190)))-'Advanced Entry'!Q$6)/('Advanced Entry'!Q$7-'Advanced Entry'!Q$6),10*((IF('Advanced Entry'!Q$5="Logarithm",LN(0.001+'Advanced Entry'!Q190),IF('Advanced Entry'!Q$5="Exponential",EXP('Advanced Entry'!Q190),'Advanced Entry'!Q190)))-'Advanced Entry'!Q$6)/('Advanced Entry'!Q$7-'Advanced Entry'!Q$6)),1))),"No data"))</f>
        <v/>
      </c>
      <c r="R190" s="17">
        <f>IF('Advanced Entry'!R190="","",IFERROR(MAX(0,MIN(10,ROUND(IF('Advanced Entry'!R$8="Decrease Risk",10-10*((IF('Advanced Entry'!R$5="Logarithm",LN(0.001+'Advanced Entry'!R190),IF('Advanced Entry'!R$5="Exponential",EXP('Advanced Entry'!R190),'Advanced Entry'!R190)))-'Advanced Entry'!R$6)/('Advanced Entry'!R$7-'Advanced Entry'!R$6),10*((IF('Advanced Entry'!R$5="Logarithm",LN(0.001+'Advanced Entry'!R190),IF('Advanced Entry'!R$5="Exponential",EXP('Advanced Entry'!R190),'Advanced Entry'!R190)))-'Advanced Entry'!R$6)/('Advanced Entry'!R$7-'Advanced Entry'!R$6)),1))),"No data"))</f>
        <v/>
      </c>
      <c r="S190" s="17">
        <f>IF('Advanced Entry'!S190="","",IFERROR(MAX(0,MIN(10,ROUND(IF('Advanced Entry'!S$8="Decrease Risk",10-10*((IF('Advanced Entry'!S$5="Logarithm",LN(0.001+'Advanced Entry'!S190),IF('Advanced Entry'!S$5="Exponential",EXP('Advanced Entry'!S190),'Advanced Entry'!S190)))-'Advanced Entry'!S$6)/('Advanced Entry'!S$7-'Advanced Entry'!S$6),10*((IF('Advanced Entry'!S$5="Logarithm",LN(0.001+'Advanced Entry'!S190),IF('Advanced Entry'!S$5="Exponential",EXP('Advanced Entry'!S190),'Advanced Entry'!S190)))-'Advanced Entry'!S$6)/('Advanced Entry'!S$7-'Advanced Entry'!S$6)),1))),"No data"))</f>
        <v/>
      </c>
      <c r="T190" s="17">
        <f>IF('Advanced Entry'!T190="","",IFERROR(MAX(0,MIN(10,ROUND(IF('Advanced Entry'!T$8="Decrease Risk",10-10*((IF('Advanced Entry'!T$5="Logarithm",LN(0.001+'Advanced Entry'!T190),IF('Advanced Entry'!T$5="Exponential",EXP('Advanced Entry'!T190),'Advanced Entry'!T190)))-'Advanced Entry'!T$6)/('Advanced Entry'!T$7-'Advanced Entry'!T$6),10*((IF('Advanced Entry'!T$5="Logarithm",LN(0.001+'Advanced Entry'!T190),IF('Advanced Entry'!T$5="Exponential",EXP('Advanced Entry'!T190),'Advanced Entry'!T190)))-'Advanced Entry'!T$6)/('Advanced Entry'!T$7-'Advanced Entry'!T$6)),1))),"No data"))</f>
        <v/>
      </c>
      <c r="U190" s="17">
        <f>IF('Advanced Entry'!U190="","",IFERROR(MAX(0,MIN(10,ROUND(IF('Advanced Entry'!U$8="Decrease Risk",10-10*((IF('Advanced Entry'!U$5="Logarithm",LN(0.001+'Advanced Entry'!U190),IF('Advanced Entry'!U$5="Exponential",EXP('Advanced Entry'!U190),'Advanced Entry'!U190)))-'Advanced Entry'!U$6)/('Advanced Entry'!U$7-'Advanced Entry'!U$6),10*((IF('Advanced Entry'!U$5="Logarithm",LN(0.001+'Advanced Entry'!U190),IF('Advanced Entry'!U$5="Exponential",EXP('Advanced Entry'!U190),'Advanced Entry'!U190)))-'Advanced Entry'!U$6)/('Advanced Entry'!U$7-'Advanced Entry'!U$6)),1))),"No data"))</f>
        <v/>
      </c>
      <c r="V190" s="17">
        <f>IF('Advanced Entry'!V190="","",IFERROR(MAX(0,MIN(10,ROUND(IF('Advanced Entry'!V$8="Decrease Risk",10-10*((IF('Advanced Entry'!V$5="Logarithm",LN(0.001+'Advanced Entry'!V190),IF('Advanced Entry'!V$5="Exponential",EXP('Advanced Entry'!V190),'Advanced Entry'!V190)))-'Advanced Entry'!V$6)/('Advanced Entry'!V$7-'Advanced Entry'!V$6),10*((IF('Advanced Entry'!V$5="Logarithm",LN(0.001+'Advanced Entry'!V190),IF('Advanced Entry'!V$5="Exponential",EXP('Advanced Entry'!V190),'Advanced Entry'!V190)))-'Advanced Entry'!V$6)/('Advanced Entry'!V$7-'Advanced Entry'!V$6)),1))),"No data"))</f>
        <v/>
      </c>
      <c r="W190" s="17">
        <f>IF('Advanced Entry'!W190="","",IFERROR(MAX(0,MIN(10,ROUND(IF('Advanced Entry'!W$8="Decrease Risk",10-10*((IF('Advanced Entry'!W$5="Logarithm",LN(0.001+'Advanced Entry'!W190),IF('Advanced Entry'!W$5="Exponential",EXP('Advanced Entry'!W190),'Advanced Entry'!W190)))-'Advanced Entry'!W$6)/('Advanced Entry'!W$7-'Advanced Entry'!W$6),10*((IF('Advanced Entry'!W$5="Logarithm",LN(0.001+'Advanced Entry'!W190),IF('Advanced Entry'!W$5="Exponential",EXP('Advanced Entry'!W190),'Advanced Entry'!W190)))-'Advanced Entry'!W$6)/('Advanced Entry'!W$7-'Advanced Entry'!W$6)),1))),"No data"))</f>
        <v/>
      </c>
      <c r="X190" s="17">
        <f>IF('Advanced Entry'!X190="","",IFERROR(MAX(0,MIN(10,ROUND(IF('Advanced Entry'!X$8="Decrease Risk",10-10*((IF('Advanced Entry'!X$5="Logarithm",LN(0.001+'Advanced Entry'!X190),IF('Advanced Entry'!X$5="Exponential",EXP('Advanced Entry'!X190),'Advanced Entry'!X190)))-'Advanced Entry'!X$6)/('Advanced Entry'!X$7-'Advanced Entry'!X$6),10*((IF('Advanced Entry'!X$5="Logarithm",LN(0.001+'Advanced Entry'!X190),IF('Advanced Entry'!X$5="Exponential",EXP('Advanced Entry'!X190),'Advanced Entry'!X190)))-'Advanced Entry'!X$6)/('Advanced Entry'!X$7-'Advanced Entry'!X$6)),1))),"No data"))</f>
        <v/>
      </c>
      <c r="Y190" s="17">
        <f>IF('Advanced Entry'!Y190="","",IFERROR(MAX(0,MIN(10,ROUND(IF('Advanced Entry'!Y$8="Decrease Risk",10-10*((IF('Advanced Entry'!Y$5="Logarithm",LN(0.001+'Advanced Entry'!Y190),IF('Advanced Entry'!Y$5="Exponential",EXP('Advanced Entry'!Y190),'Advanced Entry'!Y190)))-'Advanced Entry'!Y$6)/('Advanced Entry'!Y$7-'Advanced Entry'!Y$6),10*((IF('Advanced Entry'!Y$5="Logarithm",LN(0.001+'Advanced Entry'!Y190),IF('Advanced Entry'!Y$5="Exponential",EXP('Advanced Entry'!Y190),'Advanced Entry'!Y190)))-'Advanced Entry'!Y$6)/('Advanced Entry'!Y$7-'Advanced Entry'!Y$6)),1))),"No data"))</f>
        <v/>
      </c>
      <c r="Z190" s="17">
        <f>IF('Advanced Entry'!Z190="","",IFERROR(MAX(0,MIN(10,ROUND(IF('Advanced Entry'!Z$8="Decrease Risk",10-10*((IF('Advanced Entry'!Z$5="Logarithm",LN(0.001+'Advanced Entry'!Z190),IF('Advanced Entry'!Z$5="Exponential",EXP('Advanced Entry'!Z190),'Advanced Entry'!Z190)))-'Advanced Entry'!Z$6)/('Advanced Entry'!Z$7-'Advanced Entry'!Z$6),10*((IF('Advanced Entry'!Z$5="Logarithm",LN(0.001+'Advanced Entry'!Z190),IF('Advanced Entry'!Z$5="Exponential",EXP('Advanced Entry'!Z190),'Advanced Entry'!Z190)))-'Advanced Entry'!Z$6)/('Advanced Entry'!Z$7-'Advanced Entry'!Z$6)),1))),"No data"))</f>
        <v/>
      </c>
      <c r="AA190" s="17">
        <f>IF('Advanced Entry'!AA190="","",IFERROR(MAX(0,MIN(10,ROUND(IF('Advanced Entry'!AA$8="Decrease Risk",10-10*((IF('Advanced Entry'!AA$5="Logarithm",LN(0.001+'Advanced Entry'!AA190),IF('Advanced Entry'!AA$5="Exponential",EXP('Advanced Entry'!AA190),'Advanced Entry'!AA190)))-'Advanced Entry'!AA$6)/('Advanced Entry'!AA$7-'Advanced Entry'!AA$6),10*((IF('Advanced Entry'!AA$5="Logarithm",LN(0.001+'Advanced Entry'!AA190),IF('Advanced Entry'!AA$5="Exponential",EXP('Advanced Entry'!AA190),'Advanced Entry'!AA190)))-'Advanced Entry'!AA$6)/('Advanced Entry'!AA$7-'Advanced Entry'!AA$6)),1))),"No data"))</f>
        <v/>
      </c>
      <c r="AB190" s="17">
        <f>IF('Advanced Entry'!AB190="","",IFERROR(MAX(0,MIN(10,ROUND(IF('Advanced Entry'!AB$8="Decrease Risk",10-10*((IF('Advanced Entry'!AB$5="Logarithm",LN(0.001+'Advanced Entry'!AB190),IF('Advanced Entry'!AB$5="Exponential",EXP('Advanced Entry'!AB190),'Advanced Entry'!AB190)))-'Advanced Entry'!AB$6)/('Advanced Entry'!AB$7-'Advanced Entry'!AB$6),10*((IF('Advanced Entry'!AB$5="Logarithm",LN(0.001+'Advanced Entry'!AB190),IF('Advanced Entry'!AB$5="Exponential",EXP('Advanced Entry'!AB190),'Advanced Entry'!AB190)))-'Advanced Entry'!AB$6)/('Advanced Entry'!AB$7-'Advanced Entry'!AB$6)),1))),"No data"))</f>
        <v/>
      </c>
    </row>
    <row r="191">
      <c r="A191" t="inlineStr">
        <is>
          <t>Tabora</t>
        </is>
      </c>
      <c r="B191" t="inlineStr">
        <is>
          <t>Sikonge District</t>
        </is>
      </c>
      <c r="C191" t="inlineStr">
        <is>
          <t>C104</t>
        </is>
      </c>
      <c r="D191" s="17">
        <f>IF('Advanced Entry'!D191="","",IFERROR(MAX(0,MIN(10,ROUND(IF('Advanced Entry'!D$8="Decrease Risk",10-10*((IF('Advanced Entry'!D$5="Logarithm",LN(0.001+'Advanced Entry'!D191),IF('Advanced Entry'!D$5="Exponential",EXP('Advanced Entry'!D191),'Advanced Entry'!D191)))-'Advanced Entry'!D$6)/('Advanced Entry'!D$7-'Advanced Entry'!D$6),10*((IF('Advanced Entry'!D$5="Logarithm",LN(0.001+'Advanced Entry'!D191),IF('Advanced Entry'!D$5="Exponential",EXP('Advanced Entry'!D191),'Advanced Entry'!D191)))-'Advanced Entry'!D$6)/('Advanced Entry'!D$7-'Advanced Entry'!D$6)),1))),"No data"))</f>
        <v/>
      </c>
      <c r="E191" s="17">
        <f>IF('Advanced Entry'!E191="","",IFERROR(MAX(0,MIN(10,ROUND(IF('Advanced Entry'!E$8="Decrease Risk",10-10*((IF('Advanced Entry'!E$5="Logarithm",LN(0.001+'Advanced Entry'!E191),IF('Advanced Entry'!E$5="Exponential",EXP('Advanced Entry'!E191),'Advanced Entry'!E191)))-'Advanced Entry'!E$6)/('Advanced Entry'!E$7-'Advanced Entry'!E$6),10*((IF('Advanced Entry'!E$5="Logarithm",LN(0.001+'Advanced Entry'!E191),IF('Advanced Entry'!E$5="Exponential",EXP('Advanced Entry'!E191),'Advanced Entry'!E191)))-'Advanced Entry'!E$6)/('Advanced Entry'!E$7-'Advanced Entry'!E$6)),1))),"No data"))</f>
        <v/>
      </c>
      <c r="F191" s="17">
        <f>IF('Advanced Entry'!F191="","",IFERROR(MAX(0,MIN(10,ROUND(IF('Advanced Entry'!F$8="Decrease Risk",10-10*((IF('Advanced Entry'!F$5="Logarithm",LN(0.001+'Advanced Entry'!F191),IF('Advanced Entry'!F$5="Exponential",EXP('Advanced Entry'!F191),'Advanced Entry'!F191)))-'Advanced Entry'!F$6)/('Advanced Entry'!F$7-'Advanced Entry'!F$6),10*((IF('Advanced Entry'!F$5="Logarithm",LN(0.001+'Advanced Entry'!F191),IF('Advanced Entry'!F$5="Exponential",EXP('Advanced Entry'!F191),'Advanced Entry'!F191)))-'Advanced Entry'!F$6)/('Advanced Entry'!F$7-'Advanced Entry'!F$6)),1))),"No data"))</f>
        <v/>
      </c>
      <c r="G191" s="17">
        <f>IF('Advanced Entry'!G191="","",IFERROR(MAX(0,MIN(10,ROUND(IF('Advanced Entry'!G$8="Decrease Risk",10-10*((IF('Advanced Entry'!G$5="Logarithm",LN(0.001+'Advanced Entry'!G191),IF('Advanced Entry'!G$5="Exponential",EXP('Advanced Entry'!G191),'Advanced Entry'!G191)))-'Advanced Entry'!G$6)/('Advanced Entry'!G$7-'Advanced Entry'!G$6),10*((IF('Advanced Entry'!G$5="Logarithm",LN(0.001+'Advanced Entry'!G191),IF('Advanced Entry'!G$5="Exponential",EXP('Advanced Entry'!G191),'Advanced Entry'!G191)))-'Advanced Entry'!G$6)/('Advanced Entry'!G$7-'Advanced Entry'!G$6)),1))),"No data"))</f>
        <v/>
      </c>
      <c r="H191" s="17">
        <f>IF('Advanced Entry'!H191="","",IFERROR(MAX(0,MIN(10,ROUND(IF('Advanced Entry'!H$8="Decrease Risk",10-10*((IF('Advanced Entry'!H$5="Logarithm",LN(0.001+'Advanced Entry'!H191),IF('Advanced Entry'!H$5="Exponential",EXP('Advanced Entry'!H191),'Advanced Entry'!H191)))-'Advanced Entry'!H$6)/('Advanced Entry'!H$7-'Advanced Entry'!H$6),10*((IF('Advanced Entry'!H$5="Logarithm",LN(0.001+'Advanced Entry'!H191),IF('Advanced Entry'!H$5="Exponential",EXP('Advanced Entry'!H191),'Advanced Entry'!H191)))-'Advanced Entry'!H$6)/('Advanced Entry'!H$7-'Advanced Entry'!H$6)),1))),"No data"))</f>
        <v/>
      </c>
      <c r="I191" s="17">
        <f>IF('Advanced Entry'!I191="","",IFERROR(MAX(0,MIN(10,ROUND(IF('Advanced Entry'!I$8="Decrease Risk",10-10*((IF('Advanced Entry'!I$5="Logarithm",LN(0.001+'Advanced Entry'!I191),IF('Advanced Entry'!I$5="Exponential",EXP('Advanced Entry'!I191),'Advanced Entry'!I191)))-'Advanced Entry'!I$6)/('Advanced Entry'!I$7-'Advanced Entry'!I$6),10*((IF('Advanced Entry'!I$5="Logarithm",LN(0.001+'Advanced Entry'!I191),IF('Advanced Entry'!I$5="Exponential",EXP('Advanced Entry'!I191),'Advanced Entry'!I191)))-'Advanced Entry'!I$6)/('Advanced Entry'!I$7-'Advanced Entry'!I$6)),1))),"No data"))</f>
        <v/>
      </c>
      <c r="J191" s="17">
        <f>IF('Advanced Entry'!J191="","",IFERROR(MAX(0,MIN(10,ROUND(IF('Advanced Entry'!J$8="Decrease Risk",10-10*((IF('Advanced Entry'!J$5="Logarithm",LN(0.001+'Advanced Entry'!J191),IF('Advanced Entry'!J$5="Exponential",EXP('Advanced Entry'!J191),'Advanced Entry'!J191)))-'Advanced Entry'!J$6)/('Advanced Entry'!J$7-'Advanced Entry'!J$6),10*((IF('Advanced Entry'!J$5="Logarithm",LN(0.001+'Advanced Entry'!J191),IF('Advanced Entry'!J$5="Exponential",EXP('Advanced Entry'!J191),'Advanced Entry'!J191)))-'Advanced Entry'!J$6)/('Advanced Entry'!J$7-'Advanced Entry'!J$6)),1))),"No data"))</f>
        <v/>
      </c>
      <c r="K191" s="17">
        <f>IF('Advanced Entry'!K191="","",IFERROR(MAX(0,MIN(10,ROUND(IF('Advanced Entry'!K$8="Decrease Risk",10-10*((IF('Advanced Entry'!K$5="Logarithm",LN(0.001+'Advanced Entry'!K191),IF('Advanced Entry'!K$5="Exponential",EXP('Advanced Entry'!K191),'Advanced Entry'!K191)))-'Advanced Entry'!K$6)/('Advanced Entry'!K$7-'Advanced Entry'!K$6),10*((IF('Advanced Entry'!K$5="Logarithm",LN(0.001+'Advanced Entry'!K191),IF('Advanced Entry'!K$5="Exponential",EXP('Advanced Entry'!K191),'Advanced Entry'!K191)))-'Advanced Entry'!K$6)/('Advanced Entry'!K$7-'Advanced Entry'!K$6)),1))),"No data"))</f>
        <v/>
      </c>
      <c r="L191" s="17">
        <f>IF('Advanced Entry'!L191="","",IFERROR(MAX(0,MIN(10,ROUND(IF('Advanced Entry'!L$8="Decrease Risk",10-10*((IF('Advanced Entry'!L$5="Logarithm",LN(0.001+'Advanced Entry'!L191),IF('Advanced Entry'!L$5="Exponential",EXP('Advanced Entry'!L191),'Advanced Entry'!L191)))-'Advanced Entry'!L$6)/('Advanced Entry'!L$7-'Advanced Entry'!L$6),10*((IF('Advanced Entry'!L$5="Logarithm",LN(0.001+'Advanced Entry'!L191),IF('Advanced Entry'!L$5="Exponential",EXP('Advanced Entry'!L191),'Advanced Entry'!L191)))-'Advanced Entry'!L$6)/('Advanced Entry'!L$7-'Advanced Entry'!L$6)),1))),"No data"))</f>
        <v/>
      </c>
      <c r="M191" s="17">
        <f>IF('Advanced Entry'!M191="","",IFERROR(MAX(0,MIN(10,ROUND(IF('Advanced Entry'!M$8="Decrease Risk",10-10*((IF('Advanced Entry'!M$5="Logarithm",LN(0.001+'Advanced Entry'!M191),IF('Advanced Entry'!M$5="Exponential",EXP('Advanced Entry'!M191),'Advanced Entry'!M191)))-'Advanced Entry'!M$6)/('Advanced Entry'!M$7-'Advanced Entry'!M$6),10*((IF('Advanced Entry'!M$5="Logarithm",LN(0.001+'Advanced Entry'!M191),IF('Advanced Entry'!M$5="Exponential",EXP('Advanced Entry'!M191),'Advanced Entry'!M191)))-'Advanced Entry'!M$6)/('Advanced Entry'!M$7-'Advanced Entry'!M$6)),1))),"No data"))</f>
        <v/>
      </c>
      <c r="N191" s="17">
        <f>IF('Advanced Entry'!N191="","",IFERROR(MAX(0,MIN(10,ROUND(IF('Advanced Entry'!N$8="Decrease Risk",10-10*((IF('Advanced Entry'!N$5="Logarithm",LN(0.001+'Advanced Entry'!N191),IF('Advanced Entry'!N$5="Exponential",EXP('Advanced Entry'!N191),'Advanced Entry'!N191)))-'Advanced Entry'!N$6)/('Advanced Entry'!N$7-'Advanced Entry'!N$6),10*((IF('Advanced Entry'!N$5="Logarithm",LN(0.001+'Advanced Entry'!N191),IF('Advanced Entry'!N$5="Exponential",EXP('Advanced Entry'!N191),'Advanced Entry'!N191)))-'Advanced Entry'!N$6)/('Advanced Entry'!N$7-'Advanced Entry'!N$6)),1))),"No data"))</f>
        <v/>
      </c>
      <c r="O191" s="17">
        <f>IF('Advanced Entry'!O191="","",IFERROR(MAX(0,MIN(10,ROUND(IF('Advanced Entry'!O$8="Decrease Risk",10-10*((IF('Advanced Entry'!O$5="Logarithm",LN(0.001+'Advanced Entry'!O191),IF('Advanced Entry'!O$5="Exponential",EXP('Advanced Entry'!O191),'Advanced Entry'!O191)))-'Advanced Entry'!O$6)/('Advanced Entry'!O$7-'Advanced Entry'!O$6),10*((IF('Advanced Entry'!O$5="Logarithm",LN(0.001+'Advanced Entry'!O191),IF('Advanced Entry'!O$5="Exponential",EXP('Advanced Entry'!O191),'Advanced Entry'!O191)))-'Advanced Entry'!O$6)/('Advanced Entry'!O$7-'Advanced Entry'!O$6)),1))),"No data"))</f>
        <v/>
      </c>
      <c r="P191" s="17">
        <f>IF('Advanced Entry'!P191="","",IFERROR(MAX(0,MIN(10,ROUND(IF('Advanced Entry'!P$8="Decrease Risk",10-10*((IF('Advanced Entry'!P$5="Logarithm",LN(0.001+'Advanced Entry'!P191),IF('Advanced Entry'!P$5="Exponential",EXP('Advanced Entry'!P191),'Advanced Entry'!P191)))-'Advanced Entry'!P$6)/('Advanced Entry'!P$7-'Advanced Entry'!P$6),10*((IF('Advanced Entry'!P$5="Logarithm",LN(0.001+'Advanced Entry'!P191),IF('Advanced Entry'!P$5="Exponential",EXP('Advanced Entry'!P191),'Advanced Entry'!P191)))-'Advanced Entry'!P$6)/('Advanced Entry'!P$7-'Advanced Entry'!P$6)),1))),"No data"))</f>
        <v/>
      </c>
      <c r="Q191" s="17">
        <f>IF('Advanced Entry'!Q191="","",IFERROR(MAX(0,MIN(10,ROUND(IF('Advanced Entry'!Q$8="Decrease Risk",10-10*((IF('Advanced Entry'!Q$5="Logarithm",LN(0.001+'Advanced Entry'!Q191),IF('Advanced Entry'!Q$5="Exponential",EXP('Advanced Entry'!Q191),'Advanced Entry'!Q191)))-'Advanced Entry'!Q$6)/('Advanced Entry'!Q$7-'Advanced Entry'!Q$6),10*((IF('Advanced Entry'!Q$5="Logarithm",LN(0.001+'Advanced Entry'!Q191),IF('Advanced Entry'!Q$5="Exponential",EXP('Advanced Entry'!Q191),'Advanced Entry'!Q191)))-'Advanced Entry'!Q$6)/('Advanced Entry'!Q$7-'Advanced Entry'!Q$6)),1))),"No data"))</f>
        <v/>
      </c>
      <c r="R191" s="17">
        <f>IF('Advanced Entry'!R191="","",IFERROR(MAX(0,MIN(10,ROUND(IF('Advanced Entry'!R$8="Decrease Risk",10-10*((IF('Advanced Entry'!R$5="Logarithm",LN(0.001+'Advanced Entry'!R191),IF('Advanced Entry'!R$5="Exponential",EXP('Advanced Entry'!R191),'Advanced Entry'!R191)))-'Advanced Entry'!R$6)/('Advanced Entry'!R$7-'Advanced Entry'!R$6),10*((IF('Advanced Entry'!R$5="Logarithm",LN(0.001+'Advanced Entry'!R191),IF('Advanced Entry'!R$5="Exponential",EXP('Advanced Entry'!R191),'Advanced Entry'!R191)))-'Advanced Entry'!R$6)/('Advanced Entry'!R$7-'Advanced Entry'!R$6)),1))),"No data"))</f>
        <v/>
      </c>
      <c r="S191" s="17">
        <f>IF('Advanced Entry'!S191="","",IFERROR(MAX(0,MIN(10,ROUND(IF('Advanced Entry'!S$8="Decrease Risk",10-10*((IF('Advanced Entry'!S$5="Logarithm",LN(0.001+'Advanced Entry'!S191),IF('Advanced Entry'!S$5="Exponential",EXP('Advanced Entry'!S191),'Advanced Entry'!S191)))-'Advanced Entry'!S$6)/('Advanced Entry'!S$7-'Advanced Entry'!S$6),10*((IF('Advanced Entry'!S$5="Logarithm",LN(0.001+'Advanced Entry'!S191),IF('Advanced Entry'!S$5="Exponential",EXP('Advanced Entry'!S191),'Advanced Entry'!S191)))-'Advanced Entry'!S$6)/('Advanced Entry'!S$7-'Advanced Entry'!S$6)),1))),"No data"))</f>
        <v/>
      </c>
      <c r="T191" s="17">
        <f>IF('Advanced Entry'!T191="","",IFERROR(MAX(0,MIN(10,ROUND(IF('Advanced Entry'!T$8="Decrease Risk",10-10*((IF('Advanced Entry'!T$5="Logarithm",LN(0.001+'Advanced Entry'!T191),IF('Advanced Entry'!T$5="Exponential",EXP('Advanced Entry'!T191),'Advanced Entry'!T191)))-'Advanced Entry'!T$6)/('Advanced Entry'!T$7-'Advanced Entry'!T$6),10*((IF('Advanced Entry'!T$5="Logarithm",LN(0.001+'Advanced Entry'!T191),IF('Advanced Entry'!T$5="Exponential",EXP('Advanced Entry'!T191),'Advanced Entry'!T191)))-'Advanced Entry'!T$6)/('Advanced Entry'!T$7-'Advanced Entry'!T$6)),1))),"No data"))</f>
        <v/>
      </c>
      <c r="U191" s="17">
        <f>IF('Advanced Entry'!U191="","",IFERROR(MAX(0,MIN(10,ROUND(IF('Advanced Entry'!U$8="Decrease Risk",10-10*((IF('Advanced Entry'!U$5="Logarithm",LN(0.001+'Advanced Entry'!U191),IF('Advanced Entry'!U$5="Exponential",EXP('Advanced Entry'!U191),'Advanced Entry'!U191)))-'Advanced Entry'!U$6)/('Advanced Entry'!U$7-'Advanced Entry'!U$6),10*((IF('Advanced Entry'!U$5="Logarithm",LN(0.001+'Advanced Entry'!U191),IF('Advanced Entry'!U$5="Exponential",EXP('Advanced Entry'!U191),'Advanced Entry'!U191)))-'Advanced Entry'!U$6)/('Advanced Entry'!U$7-'Advanced Entry'!U$6)),1))),"No data"))</f>
        <v/>
      </c>
      <c r="V191" s="17">
        <f>IF('Advanced Entry'!V191="","",IFERROR(MAX(0,MIN(10,ROUND(IF('Advanced Entry'!V$8="Decrease Risk",10-10*((IF('Advanced Entry'!V$5="Logarithm",LN(0.001+'Advanced Entry'!V191),IF('Advanced Entry'!V$5="Exponential",EXP('Advanced Entry'!V191),'Advanced Entry'!V191)))-'Advanced Entry'!V$6)/('Advanced Entry'!V$7-'Advanced Entry'!V$6),10*((IF('Advanced Entry'!V$5="Logarithm",LN(0.001+'Advanced Entry'!V191),IF('Advanced Entry'!V$5="Exponential",EXP('Advanced Entry'!V191),'Advanced Entry'!V191)))-'Advanced Entry'!V$6)/('Advanced Entry'!V$7-'Advanced Entry'!V$6)),1))),"No data"))</f>
        <v/>
      </c>
      <c r="W191" s="17">
        <f>IF('Advanced Entry'!W191="","",IFERROR(MAX(0,MIN(10,ROUND(IF('Advanced Entry'!W$8="Decrease Risk",10-10*((IF('Advanced Entry'!W$5="Logarithm",LN(0.001+'Advanced Entry'!W191),IF('Advanced Entry'!W$5="Exponential",EXP('Advanced Entry'!W191),'Advanced Entry'!W191)))-'Advanced Entry'!W$6)/('Advanced Entry'!W$7-'Advanced Entry'!W$6),10*((IF('Advanced Entry'!W$5="Logarithm",LN(0.001+'Advanced Entry'!W191),IF('Advanced Entry'!W$5="Exponential",EXP('Advanced Entry'!W191),'Advanced Entry'!W191)))-'Advanced Entry'!W$6)/('Advanced Entry'!W$7-'Advanced Entry'!W$6)),1))),"No data"))</f>
        <v/>
      </c>
      <c r="X191" s="17">
        <f>IF('Advanced Entry'!X191="","",IFERROR(MAX(0,MIN(10,ROUND(IF('Advanced Entry'!X$8="Decrease Risk",10-10*((IF('Advanced Entry'!X$5="Logarithm",LN(0.001+'Advanced Entry'!X191),IF('Advanced Entry'!X$5="Exponential",EXP('Advanced Entry'!X191),'Advanced Entry'!X191)))-'Advanced Entry'!X$6)/('Advanced Entry'!X$7-'Advanced Entry'!X$6),10*((IF('Advanced Entry'!X$5="Logarithm",LN(0.001+'Advanced Entry'!X191),IF('Advanced Entry'!X$5="Exponential",EXP('Advanced Entry'!X191),'Advanced Entry'!X191)))-'Advanced Entry'!X$6)/('Advanced Entry'!X$7-'Advanced Entry'!X$6)),1))),"No data"))</f>
        <v/>
      </c>
      <c r="Y191" s="17">
        <f>IF('Advanced Entry'!Y191="","",IFERROR(MAX(0,MIN(10,ROUND(IF('Advanced Entry'!Y$8="Decrease Risk",10-10*((IF('Advanced Entry'!Y$5="Logarithm",LN(0.001+'Advanced Entry'!Y191),IF('Advanced Entry'!Y$5="Exponential",EXP('Advanced Entry'!Y191),'Advanced Entry'!Y191)))-'Advanced Entry'!Y$6)/('Advanced Entry'!Y$7-'Advanced Entry'!Y$6),10*((IF('Advanced Entry'!Y$5="Logarithm",LN(0.001+'Advanced Entry'!Y191),IF('Advanced Entry'!Y$5="Exponential",EXP('Advanced Entry'!Y191),'Advanced Entry'!Y191)))-'Advanced Entry'!Y$6)/('Advanced Entry'!Y$7-'Advanced Entry'!Y$6)),1))),"No data"))</f>
        <v/>
      </c>
      <c r="Z191" s="17">
        <f>IF('Advanced Entry'!Z191="","",IFERROR(MAX(0,MIN(10,ROUND(IF('Advanced Entry'!Z$8="Decrease Risk",10-10*((IF('Advanced Entry'!Z$5="Logarithm",LN(0.001+'Advanced Entry'!Z191),IF('Advanced Entry'!Z$5="Exponential",EXP('Advanced Entry'!Z191),'Advanced Entry'!Z191)))-'Advanced Entry'!Z$6)/('Advanced Entry'!Z$7-'Advanced Entry'!Z$6),10*((IF('Advanced Entry'!Z$5="Logarithm",LN(0.001+'Advanced Entry'!Z191),IF('Advanced Entry'!Z$5="Exponential",EXP('Advanced Entry'!Z191),'Advanced Entry'!Z191)))-'Advanced Entry'!Z$6)/('Advanced Entry'!Z$7-'Advanced Entry'!Z$6)),1))),"No data"))</f>
        <v/>
      </c>
      <c r="AA191" s="17">
        <f>IF('Advanced Entry'!AA191="","",IFERROR(MAX(0,MIN(10,ROUND(IF('Advanced Entry'!AA$8="Decrease Risk",10-10*((IF('Advanced Entry'!AA$5="Logarithm",LN(0.001+'Advanced Entry'!AA191),IF('Advanced Entry'!AA$5="Exponential",EXP('Advanced Entry'!AA191),'Advanced Entry'!AA191)))-'Advanced Entry'!AA$6)/('Advanced Entry'!AA$7-'Advanced Entry'!AA$6),10*((IF('Advanced Entry'!AA$5="Logarithm",LN(0.001+'Advanced Entry'!AA191),IF('Advanced Entry'!AA$5="Exponential",EXP('Advanced Entry'!AA191),'Advanced Entry'!AA191)))-'Advanced Entry'!AA$6)/('Advanced Entry'!AA$7-'Advanced Entry'!AA$6)),1))),"No data"))</f>
        <v/>
      </c>
      <c r="AB191" s="17">
        <f>IF('Advanced Entry'!AB191="","",IFERROR(MAX(0,MIN(10,ROUND(IF('Advanced Entry'!AB$8="Decrease Risk",10-10*((IF('Advanced Entry'!AB$5="Logarithm",LN(0.001+'Advanced Entry'!AB191),IF('Advanced Entry'!AB$5="Exponential",EXP('Advanced Entry'!AB191),'Advanced Entry'!AB191)))-'Advanced Entry'!AB$6)/('Advanced Entry'!AB$7-'Advanced Entry'!AB$6),10*((IF('Advanced Entry'!AB$5="Logarithm",LN(0.001+'Advanced Entry'!AB191),IF('Advanced Entry'!AB$5="Exponential",EXP('Advanced Entry'!AB191),'Advanced Entry'!AB191)))-'Advanced Entry'!AB$6)/('Advanced Entry'!AB$7-'Advanced Entry'!AB$6)),1))),"No data"))</f>
        <v/>
      </c>
    </row>
    <row r="192">
      <c r="A192" t="inlineStr">
        <is>
          <t>Tabora</t>
        </is>
      </c>
      <c r="B192" t="inlineStr">
        <is>
          <t>Tabora Municipal</t>
        </is>
      </c>
      <c r="C192" t="inlineStr">
        <is>
          <t>C105</t>
        </is>
      </c>
      <c r="D192" s="17">
        <f>IF('Advanced Entry'!D192="","",IFERROR(MAX(0,MIN(10,ROUND(IF('Advanced Entry'!D$8="Decrease Risk",10-10*((IF('Advanced Entry'!D$5="Logarithm",LN(0.001+'Advanced Entry'!D192),IF('Advanced Entry'!D$5="Exponential",EXP('Advanced Entry'!D192),'Advanced Entry'!D192)))-'Advanced Entry'!D$6)/('Advanced Entry'!D$7-'Advanced Entry'!D$6),10*((IF('Advanced Entry'!D$5="Logarithm",LN(0.001+'Advanced Entry'!D192),IF('Advanced Entry'!D$5="Exponential",EXP('Advanced Entry'!D192),'Advanced Entry'!D192)))-'Advanced Entry'!D$6)/('Advanced Entry'!D$7-'Advanced Entry'!D$6)),1))),"No data"))</f>
        <v/>
      </c>
      <c r="E192" s="17">
        <f>IF('Advanced Entry'!E192="","",IFERROR(MAX(0,MIN(10,ROUND(IF('Advanced Entry'!E$8="Decrease Risk",10-10*((IF('Advanced Entry'!E$5="Logarithm",LN(0.001+'Advanced Entry'!E192),IF('Advanced Entry'!E$5="Exponential",EXP('Advanced Entry'!E192),'Advanced Entry'!E192)))-'Advanced Entry'!E$6)/('Advanced Entry'!E$7-'Advanced Entry'!E$6),10*((IF('Advanced Entry'!E$5="Logarithm",LN(0.001+'Advanced Entry'!E192),IF('Advanced Entry'!E$5="Exponential",EXP('Advanced Entry'!E192),'Advanced Entry'!E192)))-'Advanced Entry'!E$6)/('Advanced Entry'!E$7-'Advanced Entry'!E$6)),1))),"No data"))</f>
        <v/>
      </c>
      <c r="F192" s="17">
        <f>IF('Advanced Entry'!F192="","",IFERROR(MAX(0,MIN(10,ROUND(IF('Advanced Entry'!F$8="Decrease Risk",10-10*((IF('Advanced Entry'!F$5="Logarithm",LN(0.001+'Advanced Entry'!F192),IF('Advanced Entry'!F$5="Exponential",EXP('Advanced Entry'!F192),'Advanced Entry'!F192)))-'Advanced Entry'!F$6)/('Advanced Entry'!F$7-'Advanced Entry'!F$6),10*((IF('Advanced Entry'!F$5="Logarithm",LN(0.001+'Advanced Entry'!F192),IF('Advanced Entry'!F$5="Exponential",EXP('Advanced Entry'!F192),'Advanced Entry'!F192)))-'Advanced Entry'!F$6)/('Advanced Entry'!F$7-'Advanced Entry'!F$6)),1))),"No data"))</f>
        <v/>
      </c>
      <c r="G192" s="17">
        <f>IF('Advanced Entry'!G192="","",IFERROR(MAX(0,MIN(10,ROUND(IF('Advanced Entry'!G$8="Decrease Risk",10-10*((IF('Advanced Entry'!G$5="Logarithm",LN(0.001+'Advanced Entry'!G192),IF('Advanced Entry'!G$5="Exponential",EXP('Advanced Entry'!G192),'Advanced Entry'!G192)))-'Advanced Entry'!G$6)/('Advanced Entry'!G$7-'Advanced Entry'!G$6),10*((IF('Advanced Entry'!G$5="Logarithm",LN(0.001+'Advanced Entry'!G192),IF('Advanced Entry'!G$5="Exponential",EXP('Advanced Entry'!G192),'Advanced Entry'!G192)))-'Advanced Entry'!G$6)/('Advanced Entry'!G$7-'Advanced Entry'!G$6)),1))),"No data"))</f>
        <v/>
      </c>
      <c r="H192" s="17">
        <f>IF('Advanced Entry'!H192="","",IFERROR(MAX(0,MIN(10,ROUND(IF('Advanced Entry'!H$8="Decrease Risk",10-10*((IF('Advanced Entry'!H$5="Logarithm",LN(0.001+'Advanced Entry'!H192),IF('Advanced Entry'!H$5="Exponential",EXP('Advanced Entry'!H192),'Advanced Entry'!H192)))-'Advanced Entry'!H$6)/('Advanced Entry'!H$7-'Advanced Entry'!H$6),10*((IF('Advanced Entry'!H$5="Logarithm",LN(0.001+'Advanced Entry'!H192),IF('Advanced Entry'!H$5="Exponential",EXP('Advanced Entry'!H192),'Advanced Entry'!H192)))-'Advanced Entry'!H$6)/('Advanced Entry'!H$7-'Advanced Entry'!H$6)),1))),"No data"))</f>
        <v/>
      </c>
      <c r="I192" s="17">
        <f>IF('Advanced Entry'!I192="","",IFERROR(MAX(0,MIN(10,ROUND(IF('Advanced Entry'!I$8="Decrease Risk",10-10*((IF('Advanced Entry'!I$5="Logarithm",LN(0.001+'Advanced Entry'!I192),IF('Advanced Entry'!I$5="Exponential",EXP('Advanced Entry'!I192),'Advanced Entry'!I192)))-'Advanced Entry'!I$6)/('Advanced Entry'!I$7-'Advanced Entry'!I$6),10*((IF('Advanced Entry'!I$5="Logarithm",LN(0.001+'Advanced Entry'!I192),IF('Advanced Entry'!I$5="Exponential",EXP('Advanced Entry'!I192),'Advanced Entry'!I192)))-'Advanced Entry'!I$6)/('Advanced Entry'!I$7-'Advanced Entry'!I$6)),1))),"No data"))</f>
        <v/>
      </c>
      <c r="J192" s="17">
        <f>IF('Advanced Entry'!J192="","",IFERROR(MAX(0,MIN(10,ROUND(IF('Advanced Entry'!J$8="Decrease Risk",10-10*((IF('Advanced Entry'!J$5="Logarithm",LN(0.001+'Advanced Entry'!J192),IF('Advanced Entry'!J$5="Exponential",EXP('Advanced Entry'!J192),'Advanced Entry'!J192)))-'Advanced Entry'!J$6)/('Advanced Entry'!J$7-'Advanced Entry'!J$6),10*((IF('Advanced Entry'!J$5="Logarithm",LN(0.001+'Advanced Entry'!J192),IF('Advanced Entry'!J$5="Exponential",EXP('Advanced Entry'!J192),'Advanced Entry'!J192)))-'Advanced Entry'!J$6)/('Advanced Entry'!J$7-'Advanced Entry'!J$6)),1))),"No data"))</f>
        <v/>
      </c>
      <c r="K192" s="17">
        <f>IF('Advanced Entry'!K192="","",IFERROR(MAX(0,MIN(10,ROUND(IF('Advanced Entry'!K$8="Decrease Risk",10-10*((IF('Advanced Entry'!K$5="Logarithm",LN(0.001+'Advanced Entry'!K192),IF('Advanced Entry'!K$5="Exponential",EXP('Advanced Entry'!K192),'Advanced Entry'!K192)))-'Advanced Entry'!K$6)/('Advanced Entry'!K$7-'Advanced Entry'!K$6),10*((IF('Advanced Entry'!K$5="Logarithm",LN(0.001+'Advanced Entry'!K192),IF('Advanced Entry'!K$5="Exponential",EXP('Advanced Entry'!K192),'Advanced Entry'!K192)))-'Advanced Entry'!K$6)/('Advanced Entry'!K$7-'Advanced Entry'!K$6)),1))),"No data"))</f>
        <v/>
      </c>
      <c r="L192" s="17">
        <f>IF('Advanced Entry'!L192="","",IFERROR(MAX(0,MIN(10,ROUND(IF('Advanced Entry'!L$8="Decrease Risk",10-10*((IF('Advanced Entry'!L$5="Logarithm",LN(0.001+'Advanced Entry'!L192),IF('Advanced Entry'!L$5="Exponential",EXP('Advanced Entry'!L192),'Advanced Entry'!L192)))-'Advanced Entry'!L$6)/('Advanced Entry'!L$7-'Advanced Entry'!L$6),10*((IF('Advanced Entry'!L$5="Logarithm",LN(0.001+'Advanced Entry'!L192),IF('Advanced Entry'!L$5="Exponential",EXP('Advanced Entry'!L192),'Advanced Entry'!L192)))-'Advanced Entry'!L$6)/('Advanced Entry'!L$7-'Advanced Entry'!L$6)),1))),"No data"))</f>
        <v/>
      </c>
      <c r="M192" s="17">
        <f>IF('Advanced Entry'!M192="","",IFERROR(MAX(0,MIN(10,ROUND(IF('Advanced Entry'!M$8="Decrease Risk",10-10*((IF('Advanced Entry'!M$5="Logarithm",LN(0.001+'Advanced Entry'!M192),IF('Advanced Entry'!M$5="Exponential",EXP('Advanced Entry'!M192),'Advanced Entry'!M192)))-'Advanced Entry'!M$6)/('Advanced Entry'!M$7-'Advanced Entry'!M$6),10*((IF('Advanced Entry'!M$5="Logarithm",LN(0.001+'Advanced Entry'!M192),IF('Advanced Entry'!M$5="Exponential",EXP('Advanced Entry'!M192),'Advanced Entry'!M192)))-'Advanced Entry'!M$6)/('Advanced Entry'!M$7-'Advanced Entry'!M$6)),1))),"No data"))</f>
        <v/>
      </c>
      <c r="N192" s="17">
        <f>IF('Advanced Entry'!N192="","",IFERROR(MAX(0,MIN(10,ROUND(IF('Advanced Entry'!N$8="Decrease Risk",10-10*((IF('Advanced Entry'!N$5="Logarithm",LN(0.001+'Advanced Entry'!N192),IF('Advanced Entry'!N$5="Exponential",EXP('Advanced Entry'!N192),'Advanced Entry'!N192)))-'Advanced Entry'!N$6)/('Advanced Entry'!N$7-'Advanced Entry'!N$6),10*((IF('Advanced Entry'!N$5="Logarithm",LN(0.001+'Advanced Entry'!N192),IF('Advanced Entry'!N$5="Exponential",EXP('Advanced Entry'!N192),'Advanced Entry'!N192)))-'Advanced Entry'!N$6)/('Advanced Entry'!N$7-'Advanced Entry'!N$6)),1))),"No data"))</f>
        <v/>
      </c>
      <c r="O192" s="17">
        <f>IF('Advanced Entry'!O192="","",IFERROR(MAX(0,MIN(10,ROUND(IF('Advanced Entry'!O$8="Decrease Risk",10-10*((IF('Advanced Entry'!O$5="Logarithm",LN(0.001+'Advanced Entry'!O192),IF('Advanced Entry'!O$5="Exponential",EXP('Advanced Entry'!O192),'Advanced Entry'!O192)))-'Advanced Entry'!O$6)/('Advanced Entry'!O$7-'Advanced Entry'!O$6),10*((IF('Advanced Entry'!O$5="Logarithm",LN(0.001+'Advanced Entry'!O192),IF('Advanced Entry'!O$5="Exponential",EXP('Advanced Entry'!O192),'Advanced Entry'!O192)))-'Advanced Entry'!O$6)/('Advanced Entry'!O$7-'Advanced Entry'!O$6)),1))),"No data"))</f>
        <v/>
      </c>
      <c r="P192" s="17">
        <f>IF('Advanced Entry'!P192="","",IFERROR(MAX(0,MIN(10,ROUND(IF('Advanced Entry'!P$8="Decrease Risk",10-10*((IF('Advanced Entry'!P$5="Logarithm",LN(0.001+'Advanced Entry'!P192),IF('Advanced Entry'!P$5="Exponential",EXP('Advanced Entry'!P192),'Advanced Entry'!P192)))-'Advanced Entry'!P$6)/('Advanced Entry'!P$7-'Advanced Entry'!P$6),10*((IF('Advanced Entry'!P$5="Logarithm",LN(0.001+'Advanced Entry'!P192),IF('Advanced Entry'!P$5="Exponential",EXP('Advanced Entry'!P192),'Advanced Entry'!P192)))-'Advanced Entry'!P$6)/('Advanced Entry'!P$7-'Advanced Entry'!P$6)),1))),"No data"))</f>
        <v/>
      </c>
      <c r="Q192" s="17">
        <f>IF('Advanced Entry'!Q192="","",IFERROR(MAX(0,MIN(10,ROUND(IF('Advanced Entry'!Q$8="Decrease Risk",10-10*((IF('Advanced Entry'!Q$5="Logarithm",LN(0.001+'Advanced Entry'!Q192),IF('Advanced Entry'!Q$5="Exponential",EXP('Advanced Entry'!Q192),'Advanced Entry'!Q192)))-'Advanced Entry'!Q$6)/('Advanced Entry'!Q$7-'Advanced Entry'!Q$6),10*((IF('Advanced Entry'!Q$5="Logarithm",LN(0.001+'Advanced Entry'!Q192),IF('Advanced Entry'!Q$5="Exponential",EXP('Advanced Entry'!Q192),'Advanced Entry'!Q192)))-'Advanced Entry'!Q$6)/('Advanced Entry'!Q$7-'Advanced Entry'!Q$6)),1))),"No data"))</f>
        <v/>
      </c>
      <c r="R192" s="17">
        <f>IF('Advanced Entry'!R192="","",IFERROR(MAX(0,MIN(10,ROUND(IF('Advanced Entry'!R$8="Decrease Risk",10-10*((IF('Advanced Entry'!R$5="Logarithm",LN(0.001+'Advanced Entry'!R192),IF('Advanced Entry'!R$5="Exponential",EXP('Advanced Entry'!R192),'Advanced Entry'!R192)))-'Advanced Entry'!R$6)/('Advanced Entry'!R$7-'Advanced Entry'!R$6),10*((IF('Advanced Entry'!R$5="Logarithm",LN(0.001+'Advanced Entry'!R192),IF('Advanced Entry'!R$5="Exponential",EXP('Advanced Entry'!R192),'Advanced Entry'!R192)))-'Advanced Entry'!R$6)/('Advanced Entry'!R$7-'Advanced Entry'!R$6)),1))),"No data"))</f>
        <v/>
      </c>
      <c r="S192" s="17">
        <f>IF('Advanced Entry'!S192="","",IFERROR(MAX(0,MIN(10,ROUND(IF('Advanced Entry'!S$8="Decrease Risk",10-10*((IF('Advanced Entry'!S$5="Logarithm",LN(0.001+'Advanced Entry'!S192),IF('Advanced Entry'!S$5="Exponential",EXP('Advanced Entry'!S192),'Advanced Entry'!S192)))-'Advanced Entry'!S$6)/('Advanced Entry'!S$7-'Advanced Entry'!S$6),10*((IF('Advanced Entry'!S$5="Logarithm",LN(0.001+'Advanced Entry'!S192),IF('Advanced Entry'!S$5="Exponential",EXP('Advanced Entry'!S192),'Advanced Entry'!S192)))-'Advanced Entry'!S$6)/('Advanced Entry'!S$7-'Advanced Entry'!S$6)),1))),"No data"))</f>
        <v/>
      </c>
      <c r="T192" s="17">
        <f>IF('Advanced Entry'!T192="","",IFERROR(MAX(0,MIN(10,ROUND(IF('Advanced Entry'!T$8="Decrease Risk",10-10*((IF('Advanced Entry'!T$5="Logarithm",LN(0.001+'Advanced Entry'!T192),IF('Advanced Entry'!T$5="Exponential",EXP('Advanced Entry'!T192),'Advanced Entry'!T192)))-'Advanced Entry'!T$6)/('Advanced Entry'!T$7-'Advanced Entry'!T$6),10*((IF('Advanced Entry'!T$5="Logarithm",LN(0.001+'Advanced Entry'!T192),IF('Advanced Entry'!T$5="Exponential",EXP('Advanced Entry'!T192),'Advanced Entry'!T192)))-'Advanced Entry'!T$6)/('Advanced Entry'!T$7-'Advanced Entry'!T$6)),1))),"No data"))</f>
        <v/>
      </c>
      <c r="U192" s="17">
        <f>IF('Advanced Entry'!U192="","",IFERROR(MAX(0,MIN(10,ROUND(IF('Advanced Entry'!U$8="Decrease Risk",10-10*((IF('Advanced Entry'!U$5="Logarithm",LN(0.001+'Advanced Entry'!U192),IF('Advanced Entry'!U$5="Exponential",EXP('Advanced Entry'!U192),'Advanced Entry'!U192)))-'Advanced Entry'!U$6)/('Advanced Entry'!U$7-'Advanced Entry'!U$6),10*((IF('Advanced Entry'!U$5="Logarithm",LN(0.001+'Advanced Entry'!U192),IF('Advanced Entry'!U$5="Exponential",EXP('Advanced Entry'!U192),'Advanced Entry'!U192)))-'Advanced Entry'!U$6)/('Advanced Entry'!U$7-'Advanced Entry'!U$6)),1))),"No data"))</f>
        <v/>
      </c>
      <c r="V192" s="17">
        <f>IF('Advanced Entry'!V192="","",IFERROR(MAX(0,MIN(10,ROUND(IF('Advanced Entry'!V$8="Decrease Risk",10-10*((IF('Advanced Entry'!V$5="Logarithm",LN(0.001+'Advanced Entry'!V192),IF('Advanced Entry'!V$5="Exponential",EXP('Advanced Entry'!V192),'Advanced Entry'!V192)))-'Advanced Entry'!V$6)/('Advanced Entry'!V$7-'Advanced Entry'!V$6),10*((IF('Advanced Entry'!V$5="Logarithm",LN(0.001+'Advanced Entry'!V192),IF('Advanced Entry'!V$5="Exponential",EXP('Advanced Entry'!V192),'Advanced Entry'!V192)))-'Advanced Entry'!V$6)/('Advanced Entry'!V$7-'Advanced Entry'!V$6)),1))),"No data"))</f>
        <v/>
      </c>
      <c r="W192" s="17">
        <f>IF('Advanced Entry'!W192="","",IFERROR(MAX(0,MIN(10,ROUND(IF('Advanced Entry'!W$8="Decrease Risk",10-10*((IF('Advanced Entry'!W$5="Logarithm",LN(0.001+'Advanced Entry'!W192),IF('Advanced Entry'!W$5="Exponential",EXP('Advanced Entry'!W192),'Advanced Entry'!W192)))-'Advanced Entry'!W$6)/('Advanced Entry'!W$7-'Advanced Entry'!W$6),10*((IF('Advanced Entry'!W$5="Logarithm",LN(0.001+'Advanced Entry'!W192),IF('Advanced Entry'!W$5="Exponential",EXP('Advanced Entry'!W192),'Advanced Entry'!W192)))-'Advanced Entry'!W$6)/('Advanced Entry'!W$7-'Advanced Entry'!W$6)),1))),"No data"))</f>
        <v/>
      </c>
      <c r="X192" s="17">
        <f>IF('Advanced Entry'!X192="","",IFERROR(MAX(0,MIN(10,ROUND(IF('Advanced Entry'!X$8="Decrease Risk",10-10*((IF('Advanced Entry'!X$5="Logarithm",LN(0.001+'Advanced Entry'!X192),IF('Advanced Entry'!X$5="Exponential",EXP('Advanced Entry'!X192),'Advanced Entry'!X192)))-'Advanced Entry'!X$6)/('Advanced Entry'!X$7-'Advanced Entry'!X$6),10*((IF('Advanced Entry'!X$5="Logarithm",LN(0.001+'Advanced Entry'!X192),IF('Advanced Entry'!X$5="Exponential",EXP('Advanced Entry'!X192),'Advanced Entry'!X192)))-'Advanced Entry'!X$6)/('Advanced Entry'!X$7-'Advanced Entry'!X$6)),1))),"No data"))</f>
        <v/>
      </c>
      <c r="Y192" s="17">
        <f>IF('Advanced Entry'!Y192="","",IFERROR(MAX(0,MIN(10,ROUND(IF('Advanced Entry'!Y$8="Decrease Risk",10-10*((IF('Advanced Entry'!Y$5="Logarithm",LN(0.001+'Advanced Entry'!Y192),IF('Advanced Entry'!Y$5="Exponential",EXP('Advanced Entry'!Y192),'Advanced Entry'!Y192)))-'Advanced Entry'!Y$6)/('Advanced Entry'!Y$7-'Advanced Entry'!Y$6),10*((IF('Advanced Entry'!Y$5="Logarithm",LN(0.001+'Advanced Entry'!Y192),IF('Advanced Entry'!Y$5="Exponential",EXP('Advanced Entry'!Y192),'Advanced Entry'!Y192)))-'Advanced Entry'!Y$6)/('Advanced Entry'!Y$7-'Advanced Entry'!Y$6)),1))),"No data"))</f>
        <v/>
      </c>
      <c r="Z192" s="17">
        <f>IF('Advanced Entry'!Z192="","",IFERROR(MAX(0,MIN(10,ROUND(IF('Advanced Entry'!Z$8="Decrease Risk",10-10*((IF('Advanced Entry'!Z$5="Logarithm",LN(0.001+'Advanced Entry'!Z192),IF('Advanced Entry'!Z$5="Exponential",EXP('Advanced Entry'!Z192),'Advanced Entry'!Z192)))-'Advanced Entry'!Z$6)/('Advanced Entry'!Z$7-'Advanced Entry'!Z$6),10*((IF('Advanced Entry'!Z$5="Logarithm",LN(0.001+'Advanced Entry'!Z192),IF('Advanced Entry'!Z$5="Exponential",EXP('Advanced Entry'!Z192),'Advanced Entry'!Z192)))-'Advanced Entry'!Z$6)/('Advanced Entry'!Z$7-'Advanced Entry'!Z$6)),1))),"No data"))</f>
        <v/>
      </c>
      <c r="AA192" s="17">
        <f>IF('Advanced Entry'!AA192="","",IFERROR(MAX(0,MIN(10,ROUND(IF('Advanced Entry'!AA$8="Decrease Risk",10-10*((IF('Advanced Entry'!AA$5="Logarithm",LN(0.001+'Advanced Entry'!AA192),IF('Advanced Entry'!AA$5="Exponential",EXP('Advanced Entry'!AA192),'Advanced Entry'!AA192)))-'Advanced Entry'!AA$6)/('Advanced Entry'!AA$7-'Advanced Entry'!AA$6),10*((IF('Advanced Entry'!AA$5="Logarithm",LN(0.001+'Advanced Entry'!AA192),IF('Advanced Entry'!AA$5="Exponential",EXP('Advanced Entry'!AA192),'Advanced Entry'!AA192)))-'Advanced Entry'!AA$6)/('Advanced Entry'!AA$7-'Advanced Entry'!AA$6)),1))),"No data"))</f>
        <v/>
      </c>
      <c r="AB192" s="17">
        <f>IF('Advanced Entry'!AB192="","",IFERROR(MAX(0,MIN(10,ROUND(IF('Advanced Entry'!AB$8="Decrease Risk",10-10*((IF('Advanced Entry'!AB$5="Logarithm",LN(0.001+'Advanced Entry'!AB192),IF('Advanced Entry'!AB$5="Exponential",EXP('Advanced Entry'!AB192),'Advanced Entry'!AB192)))-'Advanced Entry'!AB$6)/('Advanced Entry'!AB$7-'Advanced Entry'!AB$6),10*((IF('Advanced Entry'!AB$5="Logarithm",LN(0.001+'Advanced Entry'!AB192),IF('Advanced Entry'!AB$5="Exponential",EXP('Advanced Entry'!AB192),'Advanced Entry'!AB192)))-'Advanced Entry'!AB$6)/('Advanced Entry'!AB$7-'Advanced Entry'!AB$6)),1))),"No data"))</f>
        <v/>
      </c>
    </row>
    <row r="193">
      <c r="A193" t="inlineStr">
        <is>
          <t>Tabora</t>
        </is>
      </c>
      <c r="B193" t="inlineStr">
        <is>
          <t>Urambo District</t>
        </is>
      </c>
      <c r="C193" t="inlineStr">
        <is>
          <t>C103</t>
        </is>
      </c>
      <c r="D193" s="17">
        <f>IF('Advanced Entry'!D193="","",IFERROR(MAX(0,MIN(10,ROUND(IF('Advanced Entry'!D$8="Decrease Risk",10-10*((IF('Advanced Entry'!D$5="Logarithm",LN(0.001+'Advanced Entry'!D193),IF('Advanced Entry'!D$5="Exponential",EXP('Advanced Entry'!D193),'Advanced Entry'!D193)))-'Advanced Entry'!D$6)/('Advanced Entry'!D$7-'Advanced Entry'!D$6),10*((IF('Advanced Entry'!D$5="Logarithm",LN(0.001+'Advanced Entry'!D193),IF('Advanced Entry'!D$5="Exponential",EXP('Advanced Entry'!D193),'Advanced Entry'!D193)))-'Advanced Entry'!D$6)/('Advanced Entry'!D$7-'Advanced Entry'!D$6)),1))),"No data"))</f>
        <v/>
      </c>
      <c r="E193" s="17">
        <f>IF('Advanced Entry'!E193="","",IFERROR(MAX(0,MIN(10,ROUND(IF('Advanced Entry'!E$8="Decrease Risk",10-10*((IF('Advanced Entry'!E$5="Logarithm",LN(0.001+'Advanced Entry'!E193),IF('Advanced Entry'!E$5="Exponential",EXP('Advanced Entry'!E193),'Advanced Entry'!E193)))-'Advanced Entry'!E$6)/('Advanced Entry'!E$7-'Advanced Entry'!E$6),10*((IF('Advanced Entry'!E$5="Logarithm",LN(0.001+'Advanced Entry'!E193),IF('Advanced Entry'!E$5="Exponential",EXP('Advanced Entry'!E193),'Advanced Entry'!E193)))-'Advanced Entry'!E$6)/('Advanced Entry'!E$7-'Advanced Entry'!E$6)),1))),"No data"))</f>
        <v/>
      </c>
      <c r="F193" s="17">
        <f>IF('Advanced Entry'!F193="","",IFERROR(MAX(0,MIN(10,ROUND(IF('Advanced Entry'!F$8="Decrease Risk",10-10*((IF('Advanced Entry'!F$5="Logarithm",LN(0.001+'Advanced Entry'!F193),IF('Advanced Entry'!F$5="Exponential",EXP('Advanced Entry'!F193),'Advanced Entry'!F193)))-'Advanced Entry'!F$6)/('Advanced Entry'!F$7-'Advanced Entry'!F$6),10*((IF('Advanced Entry'!F$5="Logarithm",LN(0.001+'Advanced Entry'!F193),IF('Advanced Entry'!F$5="Exponential",EXP('Advanced Entry'!F193),'Advanced Entry'!F193)))-'Advanced Entry'!F$6)/('Advanced Entry'!F$7-'Advanced Entry'!F$6)),1))),"No data"))</f>
        <v/>
      </c>
      <c r="G193" s="17">
        <f>IF('Advanced Entry'!G193="","",IFERROR(MAX(0,MIN(10,ROUND(IF('Advanced Entry'!G$8="Decrease Risk",10-10*((IF('Advanced Entry'!G$5="Logarithm",LN(0.001+'Advanced Entry'!G193),IF('Advanced Entry'!G$5="Exponential",EXP('Advanced Entry'!G193),'Advanced Entry'!G193)))-'Advanced Entry'!G$6)/('Advanced Entry'!G$7-'Advanced Entry'!G$6),10*((IF('Advanced Entry'!G$5="Logarithm",LN(0.001+'Advanced Entry'!G193),IF('Advanced Entry'!G$5="Exponential",EXP('Advanced Entry'!G193),'Advanced Entry'!G193)))-'Advanced Entry'!G$6)/('Advanced Entry'!G$7-'Advanced Entry'!G$6)),1))),"No data"))</f>
        <v/>
      </c>
      <c r="H193" s="17">
        <f>IF('Advanced Entry'!H193="","",IFERROR(MAX(0,MIN(10,ROUND(IF('Advanced Entry'!H$8="Decrease Risk",10-10*((IF('Advanced Entry'!H$5="Logarithm",LN(0.001+'Advanced Entry'!H193),IF('Advanced Entry'!H$5="Exponential",EXP('Advanced Entry'!H193),'Advanced Entry'!H193)))-'Advanced Entry'!H$6)/('Advanced Entry'!H$7-'Advanced Entry'!H$6),10*((IF('Advanced Entry'!H$5="Logarithm",LN(0.001+'Advanced Entry'!H193),IF('Advanced Entry'!H$5="Exponential",EXP('Advanced Entry'!H193),'Advanced Entry'!H193)))-'Advanced Entry'!H$6)/('Advanced Entry'!H$7-'Advanced Entry'!H$6)),1))),"No data"))</f>
        <v/>
      </c>
      <c r="I193" s="17">
        <f>IF('Advanced Entry'!I193="","",IFERROR(MAX(0,MIN(10,ROUND(IF('Advanced Entry'!I$8="Decrease Risk",10-10*((IF('Advanced Entry'!I$5="Logarithm",LN(0.001+'Advanced Entry'!I193),IF('Advanced Entry'!I$5="Exponential",EXP('Advanced Entry'!I193),'Advanced Entry'!I193)))-'Advanced Entry'!I$6)/('Advanced Entry'!I$7-'Advanced Entry'!I$6),10*((IF('Advanced Entry'!I$5="Logarithm",LN(0.001+'Advanced Entry'!I193),IF('Advanced Entry'!I$5="Exponential",EXP('Advanced Entry'!I193),'Advanced Entry'!I193)))-'Advanced Entry'!I$6)/('Advanced Entry'!I$7-'Advanced Entry'!I$6)),1))),"No data"))</f>
        <v/>
      </c>
      <c r="J193" s="17">
        <f>IF('Advanced Entry'!J193="","",IFERROR(MAX(0,MIN(10,ROUND(IF('Advanced Entry'!J$8="Decrease Risk",10-10*((IF('Advanced Entry'!J$5="Logarithm",LN(0.001+'Advanced Entry'!J193),IF('Advanced Entry'!J$5="Exponential",EXP('Advanced Entry'!J193),'Advanced Entry'!J193)))-'Advanced Entry'!J$6)/('Advanced Entry'!J$7-'Advanced Entry'!J$6),10*((IF('Advanced Entry'!J$5="Logarithm",LN(0.001+'Advanced Entry'!J193),IF('Advanced Entry'!J$5="Exponential",EXP('Advanced Entry'!J193),'Advanced Entry'!J193)))-'Advanced Entry'!J$6)/('Advanced Entry'!J$7-'Advanced Entry'!J$6)),1))),"No data"))</f>
        <v/>
      </c>
      <c r="K193" s="17">
        <f>IF('Advanced Entry'!K193="","",IFERROR(MAX(0,MIN(10,ROUND(IF('Advanced Entry'!K$8="Decrease Risk",10-10*((IF('Advanced Entry'!K$5="Logarithm",LN(0.001+'Advanced Entry'!K193),IF('Advanced Entry'!K$5="Exponential",EXP('Advanced Entry'!K193),'Advanced Entry'!K193)))-'Advanced Entry'!K$6)/('Advanced Entry'!K$7-'Advanced Entry'!K$6),10*((IF('Advanced Entry'!K$5="Logarithm",LN(0.001+'Advanced Entry'!K193),IF('Advanced Entry'!K$5="Exponential",EXP('Advanced Entry'!K193),'Advanced Entry'!K193)))-'Advanced Entry'!K$6)/('Advanced Entry'!K$7-'Advanced Entry'!K$6)),1))),"No data"))</f>
        <v/>
      </c>
      <c r="L193" s="17">
        <f>IF('Advanced Entry'!L193="","",IFERROR(MAX(0,MIN(10,ROUND(IF('Advanced Entry'!L$8="Decrease Risk",10-10*((IF('Advanced Entry'!L$5="Logarithm",LN(0.001+'Advanced Entry'!L193),IF('Advanced Entry'!L$5="Exponential",EXP('Advanced Entry'!L193),'Advanced Entry'!L193)))-'Advanced Entry'!L$6)/('Advanced Entry'!L$7-'Advanced Entry'!L$6),10*((IF('Advanced Entry'!L$5="Logarithm",LN(0.001+'Advanced Entry'!L193),IF('Advanced Entry'!L$5="Exponential",EXP('Advanced Entry'!L193),'Advanced Entry'!L193)))-'Advanced Entry'!L$6)/('Advanced Entry'!L$7-'Advanced Entry'!L$6)),1))),"No data"))</f>
        <v/>
      </c>
      <c r="M193" s="17">
        <f>IF('Advanced Entry'!M193="","",IFERROR(MAX(0,MIN(10,ROUND(IF('Advanced Entry'!M$8="Decrease Risk",10-10*((IF('Advanced Entry'!M$5="Logarithm",LN(0.001+'Advanced Entry'!M193),IF('Advanced Entry'!M$5="Exponential",EXP('Advanced Entry'!M193),'Advanced Entry'!M193)))-'Advanced Entry'!M$6)/('Advanced Entry'!M$7-'Advanced Entry'!M$6),10*((IF('Advanced Entry'!M$5="Logarithm",LN(0.001+'Advanced Entry'!M193),IF('Advanced Entry'!M$5="Exponential",EXP('Advanced Entry'!M193),'Advanced Entry'!M193)))-'Advanced Entry'!M$6)/('Advanced Entry'!M$7-'Advanced Entry'!M$6)),1))),"No data"))</f>
        <v/>
      </c>
      <c r="N193" s="17">
        <f>IF('Advanced Entry'!N193="","",IFERROR(MAX(0,MIN(10,ROUND(IF('Advanced Entry'!N$8="Decrease Risk",10-10*((IF('Advanced Entry'!N$5="Logarithm",LN(0.001+'Advanced Entry'!N193),IF('Advanced Entry'!N$5="Exponential",EXP('Advanced Entry'!N193),'Advanced Entry'!N193)))-'Advanced Entry'!N$6)/('Advanced Entry'!N$7-'Advanced Entry'!N$6),10*((IF('Advanced Entry'!N$5="Logarithm",LN(0.001+'Advanced Entry'!N193),IF('Advanced Entry'!N$5="Exponential",EXP('Advanced Entry'!N193),'Advanced Entry'!N193)))-'Advanced Entry'!N$6)/('Advanced Entry'!N$7-'Advanced Entry'!N$6)),1))),"No data"))</f>
        <v/>
      </c>
      <c r="O193" s="17">
        <f>IF('Advanced Entry'!O193="","",IFERROR(MAX(0,MIN(10,ROUND(IF('Advanced Entry'!O$8="Decrease Risk",10-10*((IF('Advanced Entry'!O$5="Logarithm",LN(0.001+'Advanced Entry'!O193),IF('Advanced Entry'!O$5="Exponential",EXP('Advanced Entry'!O193),'Advanced Entry'!O193)))-'Advanced Entry'!O$6)/('Advanced Entry'!O$7-'Advanced Entry'!O$6),10*((IF('Advanced Entry'!O$5="Logarithm",LN(0.001+'Advanced Entry'!O193),IF('Advanced Entry'!O$5="Exponential",EXP('Advanced Entry'!O193),'Advanced Entry'!O193)))-'Advanced Entry'!O$6)/('Advanced Entry'!O$7-'Advanced Entry'!O$6)),1))),"No data"))</f>
        <v/>
      </c>
      <c r="P193" s="17">
        <f>IF('Advanced Entry'!P193="","",IFERROR(MAX(0,MIN(10,ROUND(IF('Advanced Entry'!P$8="Decrease Risk",10-10*((IF('Advanced Entry'!P$5="Logarithm",LN(0.001+'Advanced Entry'!P193),IF('Advanced Entry'!P$5="Exponential",EXP('Advanced Entry'!P193),'Advanced Entry'!P193)))-'Advanced Entry'!P$6)/('Advanced Entry'!P$7-'Advanced Entry'!P$6),10*((IF('Advanced Entry'!P$5="Logarithm",LN(0.001+'Advanced Entry'!P193),IF('Advanced Entry'!P$5="Exponential",EXP('Advanced Entry'!P193),'Advanced Entry'!P193)))-'Advanced Entry'!P$6)/('Advanced Entry'!P$7-'Advanced Entry'!P$6)),1))),"No data"))</f>
        <v/>
      </c>
      <c r="Q193" s="17">
        <f>IF('Advanced Entry'!Q193="","",IFERROR(MAX(0,MIN(10,ROUND(IF('Advanced Entry'!Q$8="Decrease Risk",10-10*((IF('Advanced Entry'!Q$5="Logarithm",LN(0.001+'Advanced Entry'!Q193),IF('Advanced Entry'!Q$5="Exponential",EXP('Advanced Entry'!Q193),'Advanced Entry'!Q193)))-'Advanced Entry'!Q$6)/('Advanced Entry'!Q$7-'Advanced Entry'!Q$6),10*((IF('Advanced Entry'!Q$5="Logarithm",LN(0.001+'Advanced Entry'!Q193),IF('Advanced Entry'!Q$5="Exponential",EXP('Advanced Entry'!Q193),'Advanced Entry'!Q193)))-'Advanced Entry'!Q$6)/('Advanced Entry'!Q$7-'Advanced Entry'!Q$6)),1))),"No data"))</f>
        <v/>
      </c>
      <c r="R193" s="17">
        <f>IF('Advanced Entry'!R193="","",IFERROR(MAX(0,MIN(10,ROUND(IF('Advanced Entry'!R$8="Decrease Risk",10-10*((IF('Advanced Entry'!R$5="Logarithm",LN(0.001+'Advanced Entry'!R193),IF('Advanced Entry'!R$5="Exponential",EXP('Advanced Entry'!R193),'Advanced Entry'!R193)))-'Advanced Entry'!R$6)/('Advanced Entry'!R$7-'Advanced Entry'!R$6),10*((IF('Advanced Entry'!R$5="Logarithm",LN(0.001+'Advanced Entry'!R193),IF('Advanced Entry'!R$5="Exponential",EXP('Advanced Entry'!R193),'Advanced Entry'!R193)))-'Advanced Entry'!R$6)/('Advanced Entry'!R$7-'Advanced Entry'!R$6)),1))),"No data"))</f>
        <v/>
      </c>
      <c r="S193" s="17">
        <f>IF('Advanced Entry'!S193="","",IFERROR(MAX(0,MIN(10,ROUND(IF('Advanced Entry'!S$8="Decrease Risk",10-10*((IF('Advanced Entry'!S$5="Logarithm",LN(0.001+'Advanced Entry'!S193),IF('Advanced Entry'!S$5="Exponential",EXP('Advanced Entry'!S193),'Advanced Entry'!S193)))-'Advanced Entry'!S$6)/('Advanced Entry'!S$7-'Advanced Entry'!S$6),10*((IF('Advanced Entry'!S$5="Logarithm",LN(0.001+'Advanced Entry'!S193),IF('Advanced Entry'!S$5="Exponential",EXP('Advanced Entry'!S193),'Advanced Entry'!S193)))-'Advanced Entry'!S$6)/('Advanced Entry'!S$7-'Advanced Entry'!S$6)),1))),"No data"))</f>
        <v/>
      </c>
      <c r="T193" s="17">
        <f>IF('Advanced Entry'!T193="","",IFERROR(MAX(0,MIN(10,ROUND(IF('Advanced Entry'!T$8="Decrease Risk",10-10*((IF('Advanced Entry'!T$5="Logarithm",LN(0.001+'Advanced Entry'!T193),IF('Advanced Entry'!T$5="Exponential",EXP('Advanced Entry'!T193),'Advanced Entry'!T193)))-'Advanced Entry'!T$6)/('Advanced Entry'!T$7-'Advanced Entry'!T$6),10*((IF('Advanced Entry'!T$5="Logarithm",LN(0.001+'Advanced Entry'!T193),IF('Advanced Entry'!T$5="Exponential",EXP('Advanced Entry'!T193),'Advanced Entry'!T193)))-'Advanced Entry'!T$6)/('Advanced Entry'!T$7-'Advanced Entry'!T$6)),1))),"No data"))</f>
        <v/>
      </c>
      <c r="U193" s="17">
        <f>IF('Advanced Entry'!U193="","",IFERROR(MAX(0,MIN(10,ROUND(IF('Advanced Entry'!U$8="Decrease Risk",10-10*((IF('Advanced Entry'!U$5="Logarithm",LN(0.001+'Advanced Entry'!U193),IF('Advanced Entry'!U$5="Exponential",EXP('Advanced Entry'!U193),'Advanced Entry'!U193)))-'Advanced Entry'!U$6)/('Advanced Entry'!U$7-'Advanced Entry'!U$6),10*((IF('Advanced Entry'!U$5="Logarithm",LN(0.001+'Advanced Entry'!U193),IF('Advanced Entry'!U$5="Exponential",EXP('Advanced Entry'!U193),'Advanced Entry'!U193)))-'Advanced Entry'!U$6)/('Advanced Entry'!U$7-'Advanced Entry'!U$6)),1))),"No data"))</f>
        <v/>
      </c>
      <c r="V193" s="17">
        <f>IF('Advanced Entry'!V193="","",IFERROR(MAX(0,MIN(10,ROUND(IF('Advanced Entry'!V$8="Decrease Risk",10-10*((IF('Advanced Entry'!V$5="Logarithm",LN(0.001+'Advanced Entry'!V193),IF('Advanced Entry'!V$5="Exponential",EXP('Advanced Entry'!V193),'Advanced Entry'!V193)))-'Advanced Entry'!V$6)/('Advanced Entry'!V$7-'Advanced Entry'!V$6),10*((IF('Advanced Entry'!V$5="Logarithm",LN(0.001+'Advanced Entry'!V193),IF('Advanced Entry'!V$5="Exponential",EXP('Advanced Entry'!V193),'Advanced Entry'!V193)))-'Advanced Entry'!V$6)/('Advanced Entry'!V$7-'Advanced Entry'!V$6)),1))),"No data"))</f>
        <v/>
      </c>
      <c r="W193" s="17">
        <f>IF('Advanced Entry'!W193="","",IFERROR(MAX(0,MIN(10,ROUND(IF('Advanced Entry'!W$8="Decrease Risk",10-10*((IF('Advanced Entry'!W$5="Logarithm",LN(0.001+'Advanced Entry'!W193),IF('Advanced Entry'!W$5="Exponential",EXP('Advanced Entry'!W193),'Advanced Entry'!W193)))-'Advanced Entry'!W$6)/('Advanced Entry'!W$7-'Advanced Entry'!W$6),10*((IF('Advanced Entry'!W$5="Logarithm",LN(0.001+'Advanced Entry'!W193),IF('Advanced Entry'!W$5="Exponential",EXP('Advanced Entry'!W193),'Advanced Entry'!W193)))-'Advanced Entry'!W$6)/('Advanced Entry'!W$7-'Advanced Entry'!W$6)),1))),"No data"))</f>
        <v/>
      </c>
      <c r="X193" s="17">
        <f>IF('Advanced Entry'!X193="","",IFERROR(MAX(0,MIN(10,ROUND(IF('Advanced Entry'!X$8="Decrease Risk",10-10*((IF('Advanced Entry'!X$5="Logarithm",LN(0.001+'Advanced Entry'!X193),IF('Advanced Entry'!X$5="Exponential",EXP('Advanced Entry'!X193),'Advanced Entry'!X193)))-'Advanced Entry'!X$6)/('Advanced Entry'!X$7-'Advanced Entry'!X$6),10*((IF('Advanced Entry'!X$5="Logarithm",LN(0.001+'Advanced Entry'!X193),IF('Advanced Entry'!X$5="Exponential",EXP('Advanced Entry'!X193),'Advanced Entry'!X193)))-'Advanced Entry'!X$6)/('Advanced Entry'!X$7-'Advanced Entry'!X$6)),1))),"No data"))</f>
        <v/>
      </c>
      <c r="Y193" s="17">
        <f>IF('Advanced Entry'!Y193="","",IFERROR(MAX(0,MIN(10,ROUND(IF('Advanced Entry'!Y$8="Decrease Risk",10-10*((IF('Advanced Entry'!Y$5="Logarithm",LN(0.001+'Advanced Entry'!Y193),IF('Advanced Entry'!Y$5="Exponential",EXP('Advanced Entry'!Y193),'Advanced Entry'!Y193)))-'Advanced Entry'!Y$6)/('Advanced Entry'!Y$7-'Advanced Entry'!Y$6),10*((IF('Advanced Entry'!Y$5="Logarithm",LN(0.001+'Advanced Entry'!Y193),IF('Advanced Entry'!Y$5="Exponential",EXP('Advanced Entry'!Y193),'Advanced Entry'!Y193)))-'Advanced Entry'!Y$6)/('Advanced Entry'!Y$7-'Advanced Entry'!Y$6)),1))),"No data"))</f>
        <v/>
      </c>
      <c r="Z193" s="17">
        <f>IF('Advanced Entry'!Z193="","",IFERROR(MAX(0,MIN(10,ROUND(IF('Advanced Entry'!Z$8="Decrease Risk",10-10*((IF('Advanced Entry'!Z$5="Logarithm",LN(0.001+'Advanced Entry'!Z193),IF('Advanced Entry'!Z$5="Exponential",EXP('Advanced Entry'!Z193),'Advanced Entry'!Z193)))-'Advanced Entry'!Z$6)/('Advanced Entry'!Z$7-'Advanced Entry'!Z$6),10*((IF('Advanced Entry'!Z$5="Logarithm",LN(0.001+'Advanced Entry'!Z193),IF('Advanced Entry'!Z$5="Exponential",EXP('Advanced Entry'!Z193),'Advanced Entry'!Z193)))-'Advanced Entry'!Z$6)/('Advanced Entry'!Z$7-'Advanced Entry'!Z$6)),1))),"No data"))</f>
        <v/>
      </c>
      <c r="AA193" s="17">
        <f>IF('Advanced Entry'!AA193="","",IFERROR(MAX(0,MIN(10,ROUND(IF('Advanced Entry'!AA$8="Decrease Risk",10-10*((IF('Advanced Entry'!AA$5="Logarithm",LN(0.001+'Advanced Entry'!AA193),IF('Advanced Entry'!AA$5="Exponential",EXP('Advanced Entry'!AA193),'Advanced Entry'!AA193)))-'Advanced Entry'!AA$6)/('Advanced Entry'!AA$7-'Advanced Entry'!AA$6),10*((IF('Advanced Entry'!AA$5="Logarithm",LN(0.001+'Advanced Entry'!AA193),IF('Advanced Entry'!AA$5="Exponential",EXP('Advanced Entry'!AA193),'Advanced Entry'!AA193)))-'Advanced Entry'!AA$6)/('Advanced Entry'!AA$7-'Advanced Entry'!AA$6)),1))),"No data"))</f>
        <v/>
      </c>
      <c r="AB193" s="17">
        <f>IF('Advanced Entry'!AB193="","",IFERROR(MAX(0,MIN(10,ROUND(IF('Advanced Entry'!AB$8="Decrease Risk",10-10*((IF('Advanced Entry'!AB$5="Logarithm",LN(0.001+'Advanced Entry'!AB193),IF('Advanced Entry'!AB$5="Exponential",EXP('Advanced Entry'!AB193),'Advanced Entry'!AB193)))-'Advanced Entry'!AB$6)/('Advanced Entry'!AB$7-'Advanced Entry'!AB$6),10*((IF('Advanced Entry'!AB$5="Logarithm",LN(0.001+'Advanced Entry'!AB193),IF('Advanced Entry'!AB$5="Exponential",EXP('Advanced Entry'!AB193),'Advanced Entry'!AB193)))-'Advanced Entry'!AB$6)/('Advanced Entry'!AB$7-'Advanced Entry'!AB$6)),1))),"No data"))</f>
        <v/>
      </c>
    </row>
    <row r="194">
      <c r="A194" t="inlineStr">
        <is>
          <t>Tabora</t>
        </is>
      </c>
      <c r="B194" t="inlineStr">
        <is>
          <t>Uyui District</t>
        </is>
      </c>
      <c r="C194" t="inlineStr">
        <is>
          <t>C102</t>
        </is>
      </c>
      <c r="D194" s="17">
        <f>IF('Advanced Entry'!D194="","",IFERROR(MAX(0,MIN(10,ROUND(IF('Advanced Entry'!D$8="Decrease Risk",10-10*((IF('Advanced Entry'!D$5="Logarithm",LN(0.001+'Advanced Entry'!D194),IF('Advanced Entry'!D$5="Exponential",EXP('Advanced Entry'!D194),'Advanced Entry'!D194)))-'Advanced Entry'!D$6)/('Advanced Entry'!D$7-'Advanced Entry'!D$6),10*((IF('Advanced Entry'!D$5="Logarithm",LN(0.001+'Advanced Entry'!D194),IF('Advanced Entry'!D$5="Exponential",EXP('Advanced Entry'!D194),'Advanced Entry'!D194)))-'Advanced Entry'!D$6)/('Advanced Entry'!D$7-'Advanced Entry'!D$6)),1))),"No data"))</f>
        <v/>
      </c>
      <c r="E194" s="17">
        <f>IF('Advanced Entry'!E194="","",IFERROR(MAX(0,MIN(10,ROUND(IF('Advanced Entry'!E$8="Decrease Risk",10-10*((IF('Advanced Entry'!E$5="Logarithm",LN(0.001+'Advanced Entry'!E194),IF('Advanced Entry'!E$5="Exponential",EXP('Advanced Entry'!E194),'Advanced Entry'!E194)))-'Advanced Entry'!E$6)/('Advanced Entry'!E$7-'Advanced Entry'!E$6),10*((IF('Advanced Entry'!E$5="Logarithm",LN(0.001+'Advanced Entry'!E194),IF('Advanced Entry'!E$5="Exponential",EXP('Advanced Entry'!E194),'Advanced Entry'!E194)))-'Advanced Entry'!E$6)/('Advanced Entry'!E$7-'Advanced Entry'!E$6)),1))),"No data"))</f>
        <v/>
      </c>
      <c r="F194" s="17">
        <f>IF('Advanced Entry'!F194="","",IFERROR(MAX(0,MIN(10,ROUND(IF('Advanced Entry'!F$8="Decrease Risk",10-10*((IF('Advanced Entry'!F$5="Logarithm",LN(0.001+'Advanced Entry'!F194),IF('Advanced Entry'!F$5="Exponential",EXP('Advanced Entry'!F194),'Advanced Entry'!F194)))-'Advanced Entry'!F$6)/('Advanced Entry'!F$7-'Advanced Entry'!F$6),10*((IF('Advanced Entry'!F$5="Logarithm",LN(0.001+'Advanced Entry'!F194),IF('Advanced Entry'!F$5="Exponential",EXP('Advanced Entry'!F194),'Advanced Entry'!F194)))-'Advanced Entry'!F$6)/('Advanced Entry'!F$7-'Advanced Entry'!F$6)),1))),"No data"))</f>
        <v/>
      </c>
      <c r="G194" s="17">
        <f>IF('Advanced Entry'!G194="","",IFERROR(MAX(0,MIN(10,ROUND(IF('Advanced Entry'!G$8="Decrease Risk",10-10*((IF('Advanced Entry'!G$5="Logarithm",LN(0.001+'Advanced Entry'!G194),IF('Advanced Entry'!G$5="Exponential",EXP('Advanced Entry'!G194),'Advanced Entry'!G194)))-'Advanced Entry'!G$6)/('Advanced Entry'!G$7-'Advanced Entry'!G$6),10*((IF('Advanced Entry'!G$5="Logarithm",LN(0.001+'Advanced Entry'!G194),IF('Advanced Entry'!G$5="Exponential",EXP('Advanced Entry'!G194),'Advanced Entry'!G194)))-'Advanced Entry'!G$6)/('Advanced Entry'!G$7-'Advanced Entry'!G$6)),1))),"No data"))</f>
        <v/>
      </c>
      <c r="H194" s="17">
        <f>IF('Advanced Entry'!H194="","",IFERROR(MAX(0,MIN(10,ROUND(IF('Advanced Entry'!H$8="Decrease Risk",10-10*((IF('Advanced Entry'!H$5="Logarithm",LN(0.001+'Advanced Entry'!H194),IF('Advanced Entry'!H$5="Exponential",EXP('Advanced Entry'!H194),'Advanced Entry'!H194)))-'Advanced Entry'!H$6)/('Advanced Entry'!H$7-'Advanced Entry'!H$6),10*((IF('Advanced Entry'!H$5="Logarithm",LN(0.001+'Advanced Entry'!H194),IF('Advanced Entry'!H$5="Exponential",EXP('Advanced Entry'!H194),'Advanced Entry'!H194)))-'Advanced Entry'!H$6)/('Advanced Entry'!H$7-'Advanced Entry'!H$6)),1))),"No data"))</f>
        <v/>
      </c>
      <c r="I194" s="17">
        <f>IF('Advanced Entry'!I194="","",IFERROR(MAX(0,MIN(10,ROUND(IF('Advanced Entry'!I$8="Decrease Risk",10-10*((IF('Advanced Entry'!I$5="Logarithm",LN(0.001+'Advanced Entry'!I194),IF('Advanced Entry'!I$5="Exponential",EXP('Advanced Entry'!I194),'Advanced Entry'!I194)))-'Advanced Entry'!I$6)/('Advanced Entry'!I$7-'Advanced Entry'!I$6),10*((IF('Advanced Entry'!I$5="Logarithm",LN(0.001+'Advanced Entry'!I194),IF('Advanced Entry'!I$5="Exponential",EXP('Advanced Entry'!I194),'Advanced Entry'!I194)))-'Advanced Entry'!I$6)/('Advanced Entry'!I$7-'Advanced Entry'!I$6)),1))),"No data"))</f>
        <v/>
      </c>
      <c r="J194" s="17">
        <f>IF('Advanced Entry'!J194="","",IFERROR(MAX(0,MIN(10,ROUND(IF('Advanced Entry'!J$8="Decrease Risk",10-10*((IF('Advanced Entry'!J$5="Logarithm",LN(0.001+'Advanced Entry'!J194),IF('Advanced Entry'!J$5="Exponential",EXP('Advanced Entry'!J194),'Advanced Entry'!J194)))-'Advanced Entry'!J$6)/('Advanced Entry'!J$7-'Advanced Entry'!J$6),10*((IF('Advanced Entry'!J$5="Logarithm",LN(0.001+'Advanced Entry'!J194),IF('Advanced Entry'!J$5="Exponential",EXP('Advanced Entry'!J194),'Advanced Entry'!J194)))-'Advanced Entry'!J$6)/('Advanced Entry'!J$7-'Advanced Entry'!J$6)),1))),"No data"))</f>
        <v/>
      </c>
      <c r="K194" s="17">
        <f>IF('Advanced Entry'!K194="","",IFERROR(MAX(0,MIN(10,ROUND(IF('Advanced Entry'!K$8="Decrease Risk",10-10*((IF('Advanced Entry'!K$5="Logarithm",LN(0.001+'Advanced Entry'!K194),IF('Advanced Entry'!K$5="Exponential",EXP('Advanced Entry'!K194),'Advanced Entry'!K194)))-'Advanced Entry'!K$6)/('Advanced Entry'!K$7-'Advanced Entry'!K$6),10*((IF('Advanced Entry'!K$5="Logarithm",LN(0.001+'Advanced Entry'!K194),IF('Advanced Entry'!K$5="Exponential",EXP('Advanced Entry'!K194),'Advanced Entry'!K194)))-'Advanced Entry'!K$6)/('Advanced Entry'!K$7-'Advanced Entry'!K$6)),1))),"No data"))</f>
        <v/>
      </c>
      <c r="L194" s="17">
        <f>IF('Advanced Entry'!L194="","",IFERROR(MAX(0,MIN(10,ROUND(IF('Advanced Entry'!L$8="Decrease Risk",10-10*((IF('Advanced Entry'!L$5="Logarithm",LN(0.001+'Advanced Entry'!L194),IF('Advanced Entry'!L$5="Exponential",EXP('Advanced Entry'!L194),'Advanced Entry'!L194)))-'Advanced Entry'!L$6)/('Advanced Entry'!L$7-'Advanced Entry'!L$6),10*((IF('Advanced Entry'!L$5="Logarithm",LN(0.001+'Advanced Entry'!L194),IF('Advanced Entry'!L$5="Exponential",EXP('Advanced Entry'!L194),'Advanced Entry'!L194)))-'Advanced Entry'!L$6)/('Advanced Entry'!L$7-'Advanced Entry'!L$6)),1))),"No data"))</f>
        <v/>
      </c>
      <c r="M194" s="17">
        <f>IF('Advanced Entry'!M194="","",IFERROR(MAX(0,MIN(10,ROUND(IF('Advanced Entry'!M$8="Decrease Risk",10-10*((IF('Advanced Entry'!M$5="Logarithm",LN(0.001+'Advanced Entry'!M194),IF('Advanced Entry'!M$5="Exponential",EXP('Advanced Entry'!M194),'Advanced Entry'!M194)))-'Advanced Entry'!M$6)/('Advanced Entry'!M$7-'Advanced Entry'!M$6),10*((IF('Advanced Entry'!M$5="Logarithm",LN(0.001+'Advanced Entry'!M194),IF('Advanced Entry'!M$5="Exponential",EXP('Advanced Entry'!M194),'Advanced Entry'!M194)))-'Advanced Entry'!M$6)/('Advanced Entry'!M$7-'Advanced Entry'!M$6)),1))),"No data"))</f>
        <v/>
      </c>
      <c r="N194" s="17">
        <f>IF('Advanced Entry'!N194="","",IFERROR(MAX(0,MIN(10,ROUND(IF('Advanced Entry'!N$8="Decrease Risk",10-10*((IF('Advanced Entry'!N$5="Logarithm",LN(0.001+'Advanced Entry'!N194),IF('Advanced Entry'!N$5="Exponential",EXP('Advanced Entry'!N194),'Advanced Entry'!N194)))-'Advanced Entry'!N$6)/('Advanced Entry'!N$7-'Advanced Entry'!N$6),10*((IF('Advanced Entry'!N$5="Logarithm",LN(0.001+'Advanced Entry'!N194),IF('Advanced Entry'!N$5="Exponential",EXP('Advanced Entry'!N194),'Advanced Entry'!N194)))-'Advanced Entry'!N$6)/('Advanced Entry'!N$7-'Advanced Entry'!N$6)),1))),"No data"))</f>
        <v/>
      </c>
      <c r="O194" s="17">
        <f>IF('Advanced Entry'!O194="","",IFERROR(MAX(0,MIN(10,ROUND(IF('Advanced Entry'!O$8="Decrease Risk",10-10*((IF('Advanced Entry'!O$5="Logarithm",LN(0.001+'Advanced Entry'!O194),IF('Advanced Entry'!O$5="Exponential",EXP('Advanced Entry'!O194),'Advanced Entry'!O194)))-'Advanced Entry'!O$6)/('Advanced Entry'!O$7-'Advanced Entry'!O$6),10*((IF('Advanced Entry'!O$5="Logarithm",LN(0.001+'Advanced Entry'!O194),IF('Advanced Entry'!O$5="Exponential",EXP('Advanced Entry'!O194),'Advanced Entry'!O194)))-'Advanced Entry'!O$6)/('Advanced Entry'!O$7-'Advanced Entry'!O$6)),1))),"No data"))</f>
        <v/>
      </c>
      <c r="P194" s="17">
        <f>IF('Advanced Entry'!P194="","",IFERROR(MAX(0,MIN(10,ROUND(IF('Advanced Entry'!P$8="Decrease Risk",10-10*((IF('Advanced Entry'!P$5="Logarithm",LN(0.001+'Advanced Entry'!P194),IF('Advanced Entry'!P$5="Exponential",EXP('Advanced Entry'!P194),'Advanced Entry'!P194)))-'Advanced Entry'!P$6)/('Advanced Entry'!P$7-'Advanced Entry'!P$6),10*((IF('Advanced Entry'!P$5="Logarithm",LN(0.001+'Advanced Entry'!P194),IF('Advanced Entry'!P$5="Exponential",EXP('Advanced Entry'!P194),'Advanced Entry'!P194)))-'Advanced Entry'!P$6)/('Advanced Entry'!P$7-'Advanced Entry'!P$6)),1))),"No data"))</f>
        <v/>
      </c>
      <c r="Q194" s="17">
        <f>IF('Advanced Entry'!Q194="","",IFERROR(MAX(0,MIN(10,ROUND(IF('Advanced Entry'!Q$8="Decrease Risk",10-10*((IF('Advanced Entry'!Q$5="Logarithm",LN(0.001+'Advanced Entry'!Q194),IF('Advanced Entry'!Q$5="Exponential",EXP('Advanced Entry'!Q194),'Advanced Entry'!Q194)))-'Advanced Entry'!Q$6)/('Advanced Entry'!Q$7-'Advanced Entry'!Q$6),10*((IF('Advanced Entry'!Q$5="Logarithm",LN(0.001+'Advanced Entry'!Q194),IF('Advanced Entry'!Q$5="Exponential",EXP('Advanced Entry'!Q194),'Advanced Entry'!Q194)))-'Advanced Entry'!Q$6)/('Advanced Entry'!Q$7-'Advanced Entry'!Q$6)),1))),"No data"))</f>
        <v/>
      </c>
      <c r="R194" s="17">
        <f>IF('Advanced Entry'!R194="","",IFERROR(MAX(0,MIN(10,ROUND(IF('Advanced Entry'!R$8="Decrease Risk",10-10*((IF('Advanced Entry'!R$5="Logarithm",LN(0.001+'Advanced Entry'!R194),IF('Advanced Entry'!R$5="Exponential",EXP('Advanced Entry'!R194),'Advanced Entry'!R194)))-'Advanced Entry'!R$6)/('Advanced Entry'!R$7-'Advanced Entry'!R$6),10*((IF('Advanced Entry'!R$5="Logarithm",LN(0.001+'Advanced Entry'!R194),IF('Advanced Entry'!R$5="Exponential",EXP('Advanced Entry'!R194),'Advanced Entry'!R194)))-'Advanced Entry'!R$6)/('Advanced Entry'!R$7-'Advanced Entry'!R$6)),1))),"No data"))</f>
        <v/>
      </c>
      <c r="S194" s="17">
        <f>IF('Advanced Entry'!S194="","",IFERROR(MAX(0,MIN(10,ROUND(IF('Advanced Entry'!S$8="Decrease Risk",10-10*((IF('Advanced Entry'!S$5="Logarithm",LN(0.001+'Advanced Entry'!S194),IF('Advanced Entry'!S$5="Exponential",EXP('Advanced Entry'!S194),'Advanced Entry'!S194)))-'Advanced Entry'!S$6)/('Advanced Entry'!S$7-'Advanced Entry'!S$6),10*((IF('Advanced Entry'!S$5="Logarithm",LN(0.001+'Advanced Entry'!S194),IF('Advanced Entry'!S$5="Exponential",EXP('Advanced Entry'!S194),'Advanced Entry'!S194)))-'Advanced Entry'!S$6)/('Advanced Entry'!S$7-'Advanced Entry'!S$6)),1))),"No data"))</f>
        <v/>
      </c>
      <c r="T194" s="17">
        <f>IF('Advanced Entry'!T194="","",IFERROR(MAX(0,MIN(10,ROUND(IF('Advanced Entry'!T$8="Decrease Risk",10-10*((IF('Advanced Entry'!T$5="Logarithm",LN(0.001+'Advanced Entry'!T194),IF('Advanced Entry'!T$5="Exponential",EXP('Advanced Entry'!T194),'Advanced Entry'!T194)))-'Advanced Entry'!T$6)/('Advanced Entry'!T$7-'Advanced Entry'!T$6),10*((IF('Advanced Entry'!T$5="Logarithm",LN(0.001+'Advanced Entry'!T194),IF('Advanced Entry'!T$5="Exponential",EXP('Advanced Entry'!T194),'Advanced Entry'!T194)))-'Advanced Entry'!T$6)/('Advanced Entry'!T$7-'Advanced Entry'!T$6)),1))),"No data"))</f>
        <v/>
      </c>
      <c r="U194" s="17">
        <f>IF('Advanced Entry'!U194="","",IFERROR(MAX(0,MIN(10,ROUND(IF('Advanced Entry'!U$8="Decrease Risk",10-10*((IF('Advanced Entry'!U$5="Logarithm",LN(0.001+'Advanced Entry'!U194),IF('Advanced Entry'!U$5="Exponential",EXP('Advanced Entry'!U194),'Advanced Entry'!U194)))-'Advanced Entry'!U$6)/('Advanced Entry'!U$7-'Advanced Entry'!U$6),10*((IF('Advanced Entry'!U$5="Logarithm",LN(0.001+'Advanced Entry'!U194),IF('Advanced Entry'!U$5="Exponential",EXP('Advanced Entry'!U194),'Advanced Entry'!U194)))-'Advanced Entry'!U$6)/('Advanced Entry'!U$7-'Advanced Entry'!U$6)),1))),"No data"))</f>
        <v/>
      </c>
      <c r="V194" s="17">
        <f>IF('Advanced Entry'!V194="","",IFERROR(MAX(0,MIN(10,ROUND(IF('Advanced Entry'!V$8="Decrease Risk",10-10*((IF('Advanced Entry'!V$5="Logarithm",LN(0.001+'Advanced Entry'!V194),IF('Advanced Entry'!V$5="Exponential",EXP('Advanced Entry'!V194),'Advanced Entry'!V194)))-'Advanced Entry'!V$6)/('Advanced Entry'!V$7-'Advanced Entry'!V$6),10*((IF('Advanced Entry'!V$5="Logarithm",LN(0.001+'Advanced Entry'!V194),IF('Advanced Entry'!V$5="Exponential",EXP('Advanced Entry'!V194),'Advanced Entry'!V194)))-'Advanced Entry'!V$6)/('Advanced Entry'!V$7-'Advanced Entry'!V$6)),1))),"No data"))</f>
        <v/>
      </c>
      <c r="W194" s="17">
        <f>IF('Advanced Entry'!W194="","",IFERROR(MAX(0,MIN(10,ROUND(IF('Advanced Entry'!W$8="Decrease Risk",10-10*((IF('Advanced Entry'!W$5="Logarithm",LN(0.001+'Advanced Entry'!W194),IF('Advanced Entry'!W$5="Exponential",EXP('Advanced Entry'!W194),'Advanced Entry'!W194)))-'Advanced Entry'!W$6)/('Advanced Entry'!W$7-'Advanced Entry'!W$6),10*((IF('Advanced Entry'!W$5="Logarithm",LN(0.001+'Advanced Entry'!W194),IF('Advanced Entry'!W$5="Exponential",EXP('Advanced Entry'!W194),'Advanced Entry'!W194)))-'Advanced Entry'!W$6)/('Advanced Entry'!W$7-'Advanced Entry'!W$6)),1))),"No data"))</f>
        <v/>
      </c>
      <c r="X194" s="17">
        <f>IF('Advanced Entry'!X194="","",IFERROR(MAX(0,MIN(10,ROUND(IF('Advanced Entry'!X$8="Decrease Risk",10-10*((IF('Advanced Entry'!X$5="Logarithm",LN(0.001+'Advanced Entry'!X194),IF('Advanced Entry'!X$5="Exponential",EXP('Advanced Entry'!X194),'Advanced Entry'!X194)))-'Advanced Entry'!X$6)/('Advanced Entry'!X$7-'Advanced Entry'!X$6),10*((IF('Advanced Entry'!X$5="Logarithm",LN(0.001+'Advanced Entry'!X194),IF('Advanced Entry'!X$5="Exponential",EXP('Advanced Entry'!X194),'Advanced Entry'!X194)))-'Advanced Entry'!X$6)/('Advanced Entry'!X$7-'Advanced Entry'!X$6)),1))),"No data"))</f>
        <v/>
      </c>
      <c r="Y194" s="17">
        <f>IF('Advanced Entry'!Y194="","",IFERROR(MAX(0,MIN(10,ROUND(IF('Advanced Entry'!Y$8="Decrease Risk",10-10*((IF('Advanced Entry'!Y$5="Logarithm",LN(0.001+'Advanced Entry'!Y194),IF('Advanced Entry'!Y$5="Exponential",EXP('Advanced Entry'!Y194),'Advanced Entry'!Y194)))-'Advanced Entry'!Y$6)/('Advanced Entry'!Y$7-'Advanced Entry'!Y$6),10*((IF('Advanced Entry'!Y$5="Logarithm",LN(0.001+'Advanced Entry'!Y194),IF('Advanced Entry'!Y$5="Exponential",EXP('Advanced Entry'!Y194),'Advanced Entry'!Y194)))-'Advanced Entry'!Y$6)/('Advanced Entry'!Y$7-'Advanced Entry'!Y$6)),1))),"No data"))</f>
        <v/>
      </c>
      <c r="Z194" s="17">
        <f>IF('Advanced Entry'!Z194="","",IFERROR(MAX(0,MIN(10,ROUND(IF('Advanced Entry'!Z$8="Decrease Risk",10-10*((IF('Advanced Entry'!Z$5="Logarithm",LN(0.001+'Advanced Entry'!Z194),IF('Advanced Entry'!Z$5="Exponential",EXP('Advanced Entry'!Z194),'Advanced Entry'!Z194)))-'Advanced Entry'!Z$6)/('Advanced Entry'!Z$7-'Advanced Entry'!Z$6),10*((IF('Advanced Entry'!Z$5="Logarithm",LN(0.001+'Advanced Entry'!Z194),IF('Advanced Entry'!Z$5="Exponential",EXP('Advanced Entry'!Z194),'Advanced Entry'!Z194)))-'Advanced Entry'!Z$6)/('Advanced Entry'!Z$7-'Advanced Entry'!Z$6)),1))),"No data"))</f>
        <v/>
      </c>
      <c r="AA194" s="17">
        <f>IF('Advanced Entry'!AA194="","",IFERROR(MAX(0,MIN(10,ROUND(IF('Advanced Entry'!AA$8="Decrease Risk",10-10*((IF('Advanced Entry'!AA$5="Logarithm",LN(0.001+'Advanced Entry'!AA194),IF('Advanced Entry'!AA$5="Exponential",EXP('Advanced Entry'!AA194),'Advanced Entry'!AA194)))-'Advanced Entry'!AA$6)/('Advanced Entry'!AA$7-'Advanced Entry'!AA$6),10*((IF('Advanced Entry'!AA$5="Logarithm",LN(0.001+'Advanced Entry'!AA194),IF('Advanced Entry'!AA$5="Exponential",EXP('Advanced Entry'!AA194),'Advanced Entry'!AA194)))-'Advanced Entry'!AA$6)/('Advanced Entry'!AA$7-'Advanced Entry'!AA$6)),1))),"No data"))</f>
        <v/>
      </c>
      <c r="AB194" s="17">
        <f>IF('Advanced Entry'!AB194="","",IFERROR(MAX(0,MIN(10,ROUND(IF('Advanced Entry'!AB$8="Decrease Risk",10-10*((IF('Advanced Entry'!AB$5="Logarithm",LN(0.001+'Advanced Entry'!AB194),IF('Advanced Entry'!AB$5="Exponential",EXP('Advanced Entry'!AB194),'Advanced Entry'!AB194)))-'Advanced Entry'!AB$6)/('Advanced Entry'!AB$7-'Advanced Entry'!AB$6),10*((IF('Advanced Entry'!AB$5="Logarithm",LN(0.001+'Advanced Entry'!AB194),IF('Advanced Entry'!AB$5="Exponential",EXP('Advanced Entry'!AB194),'Advanced Entry'!AB194)))-'Advanced Entry'!AB$6)/('Advanced Entry'!AB$7-'Advanced Entry'!AB$6)),1))),"No data"))</f>
        <v/>
      </c>
    </row>
    <row r="195">
      <c r="A195" t="inlineStr">
        <is>
          <t>Tanga</t>
        </is>
      </c>
      <c r="B195" t="inlineStr">
        <is>
          <t>Bumbuli District</t>
        </is>
      </c>
      <c r="C195" t="inlineStr">
        <is>
          <t>C024</t>
        </is>
      </c>
      <c r="D195" s="17">
        <f>IF('Advanced Entry'!D195="","",IFERROR(MAX(0,MIN(10,ROUND(IF('Advanced Entry'!D$8="Decrease Risk",10-10*((IF('Advanced Entry'!D$5="Logarithm",LN(0.001+'Advanced Entry'!D195),IF('Advanced Entry'!D$5="Exponential",EXP('Advanced Entry'!D195),'Advanced Entry'!D195)))-'Advanced Entry'!D$6)/('Advanced Entry'!D$7-'Advanced Entry'!D$6),10*((IF('Advanced Entry'!D$5="Logarithm",LN(0.001+'Advanced Entry'!D195),IF('Advanced Entry'!D$5="Exponential",EXP('Advanced Entry'!D195),'Advanced Entry'!D195)))-'Advanced Entry'!D$6)/('Advanced Entry'!D$7-'Advanced Entry'!D$6)),1))),"No data"))</f>
        <v/>
      </c>
      <c r="E195" s="17">
        <f>IF('Advanced Entry'!E195="","",IFERROR(MAX(0,MIN(10,ROUND(IF('Advanced Entry'!E$8="Decrease Risk",10-10*((IF('Advanced Entry'!E$5="Logarithm",LN(0.001+'Advanced Entry'!E195),IF('Advanced Entry'!E$5="Exponential",EXP('Advanced Entry'!E195),'Advanced Entry'!E195)))-'Advanced Entry'!E$6)/('Advanced Entry'!E$7-'Advanced Entry'!E$6),10*((IF('Advanced Entry'!E$5="Logarithm",LN(0.001+'Advanced Entry'!E195),IF('Advanced Entry'!E$5="Exponential",EXP('Advanced Entry'!E195),'Advanced Entry'!E195)))-'Advanced Entry'!E$6)/('Advanced Entry'!E$7-'Advanced Entry'!E$6)),1))),"No data"))</f>
        <v/>
      </c>
      <c r="F195" s="17">
        <f>IF('Advanced Entry'!F195="","",IFERROR(MAX(0,MIN(10,ROUND(IF('Advanced Entry'!F$8="Decrease Risk",10-10*((IF('Advanced Entry'!F$5="Logarithm",LN(0.001+'Advanced Entry'!F195),IF('Advanced Entry'!F$5="Exponential",EXP('Advanced Entry'!F195),'Advanced Entry'!F195)))-'Advanced Entry'!F$6)/('Advanced Entry'!F$7-'Advanced Entry'!F$6),10*((IF('Advanced Entry'!F$5="Logarithm",LN(0.001+'Advanced Entry'!F195),IF('Advanced Entry'!F$5="Exponential",EXP('Advanced Entry'!F195),'Advanced Entry'!F195)))-'Advanced Entry'!F$6)/('Advanced Entry'!F$7-'Advanced Entry'!F$6)),1))),"No data"))</f>
        <v/>
      </c>
      <c r="G195" s="17">
        <f>IF('Advanced Entry'!G195="","",IFERROR(MAX(0,MIN(10,ROUND(IF('Advanced Entry'!G$8="Decrease Risk",10-10*((IF('Advanced Entry'!G$5="Logarithm",LN(0.001+'Advanced Entry'!G195),IF('Advanced Entry'!G$5="Exponential",EXP('Advanced Entry'!G195),'Advanced Entry'!G195)))-'Advanced Entry'!G$6)/('Advanced Entry'!G$7-'Advanced Entry'!G$6),10*((IF('Advanced Entry'!G$5="Logarithm",LN(0.001+'Advanced Entry'!G195),IF('Advanced Entry'!G$5="Exponential",EXP('Advanced Entry'!G195),'Advanced Entry'!G195)))-'Advanced Entry'!G$6)/('Advanced Entry'!G$7-'Advanced Entry'!G$6)),1))),"No data"))</f>
        <v/>
      </c>
      <c r="H195" s="17">
        <f>IF('Advanced Entry'!H195="","",IFERROR(MAX(0,MIN(10,ROUND(IF('Advanced Entry'!H$8="Decrease Risk",10-10*((IF('Advanced Entry'!H$5="Logarithm",LN(0.001+'Advanced Entry'!H195),IF('Advanced Entry'!H$5="Exponential",EXP('Advanced Entry'!H195),'Advanced Entry'!H195)))-'Advanced Entry'!H$6)/('Advanced Entry'!H$7-'Advanced Entry'!H$6),10*((IF('Advanced Entry'!H$5="Logarithm",LN(0.001+'Advanced Entry'!H195),IF('Advanced Entry'!H$5="Exponential",EXP('Advanced Entry'!H195),'Advanced Entry'!H195)))-'Advanced Entry'!H$6)/('Advanced Entry'!H$7-'Advanced Entry'!H$6)),1))),"No data"))</f>
        <v/>
      </c>
      <c r="I195" s="17">
        <f>IF('Advanced Entry'!I195="","",IFERROR(MAX(0,MIN(10,ROUND(IF('Advanced Entry'!I$8="Decrease Risk",10-10*((IF('Advanced Entry'!I$5="Logarithm",LN(0.001+'Advanced Entry'!I195),IF('Advanced Entry'!I$5="Exponential",EXP('Advanced Entry'!I195),'Advanced Entry'!I195)))-'Advanced Entry'!I$6)/('Advanced Entry'!I$7-'Advanced Entry'!I$6),10*((IF('Advanced Entry'!I$5="Logarithm",LN(0.001+'Advanced Entry'!I195),IF('Advanced Entry'!I$5="Exponential",EXP('Advanced Entry'!I195),'Advanced Entry'!I195)))-'Advanced Entry'!I$6)/('Advanced Entry'!I$7-'Advanced Entry'!I$6)),1))),"No data"))</f>
        <v/>
      </c>
      <c r="J195" s="17">
        <f>IF('Advanced Entry'!J195="","",IFERROR(MAX(0,MIN(10,ROUND(IF('Advanced Entry'!J$8="Decrease Risk",10-10*((IF('Advanced Entry'!J$5="Logarithm",LN(0.001+'Advanced Entry'!J195),IF('Advanced Entry'!J$5="Exponential",EXP('Advanced Entry'!J195),'Advanced Entry'!J195)))-'Advanced Entry'!J$6)/('Advanced Entry'!J$7-'Advanced Entry'!J$6),10*((IF('Advanced Entry'!J$5="Logarithm",LN(0.001+'Advanced Entry'!J195),IF('Advanced Entry'!J$5="Exponential",EXP('Advanced Entry'!J195),'Advanced Entry'!J195)))-'Advanced Entry'!J$6)/('Advanced Entry'!J$7-'Advanced Entry'!J$6)),1))),"No data"))</f>
        <v/>
      </c>
      <c r="K195" s="17">
        <f>IF('Advanced Entry'!K195="","",IFERROR(MAX(0,MIN(10,ROUND(IF('Advanced Entry'!K$8="Decrease Risk",10-10*((IF('Advanced Entry'!K$5="Logarithm",LN(0.001+'Advanced Entry'!K195),IF('Advanced Entry'!K$5="Exponential",EXP('Advanced Entry'!K195),'Advanced Entry'!K195)))-'Advanced Entry'!K$6)/('Advanced Entry'!K$7-'Advanced Entry'!K$6),10*((IF('Advanced Entry'!K$5="Logarithm",LN(0.001+'Advanced Entry'!K195),IF('Advanced Entry'!K$5="Exponential",EXP('Advanced Entry'!K195),'Advanced Entry'!K195)))-'Advanced Entry'!K$6)/('Advanced Entry'!K$7-'Advanced Entry'!K$6)),1))),"No data"))</f>
        <v/>
      </c>
      <c r="L195" s="17">
        <f>IF('Advanced Entry'!L195="","",IFERROR(MAX(0,MIN(10,ROUND(IF('Advanced Entry'!L$8="Decrease Risk",10-10*((IF('Advanced Entry'!L$5="Logarithm",LN(0.001+'Advanced Entry'!L195),IF('Advanced Entry'!L$5="Exponential",EXP('Advanced Entry'!L195),'Advanced Entry'!L195)))-'Advanced Entry'!L$6)/('Advanced Entry'!L$7-'Advanced Entry'!L$6),10*((IF('Advanced Entry'!L$5="Logarithm",LN(0.001+'Advanced Entry'!L195),IF('Advanced Entry'!L$5="Exponential",EXP('Advanced Entry'!L195),'Advanced Entry'!L195)))-'Advanced Entry'!L$6)/('Advanced Entry'!L$7-'Advanced Entry'!L$6)),1))),"No data"))</f>
        <v/>
      </c>
      <c r="M195" s="17">
        <f>IF('Advanced Entry'!M195="","",IFERROR(MAX(0,MIN(10,ROUND(IF('Advanced Entry'!M$8="Decrease Risk",10-10*((IF('Advanced Entry'!M$5="Logarithm",LN(0.001+'Advanced Entry'!M195),IF('Advanced Entry'!M$5="Exponential",EXP('Advanced Entry'!M195),'Advanced Entry'!M195)))-'Advanced Entry'!M$6)/('Advanced Entry'!M$7-'Advanced Entry'!M$6),10*((IF('Advanced Entry'!M$5="Logarithm",LN(0.001+'Advanced Entry'!M195),IF('Advanced Entry'!M$5="Exponential",EXP('Advanced Entry'!M195),'Advanced Entry'!M195)))-'Advanced Entry'!M$6)/('Advanced Entry'!M$7-'Advanced Entry'!M$6)),1))),"No data"))</f>
        <v/>
      </c>
      <c r="N195" s="17">
        <f>IF('Advanced Entry'!N195="","",IFERROR(MAX(0,MIN(10,ROUND(IF('Advanced Entry'!N$8="Decrease Risk",10-10*((IF('Advanced Entry'!N$5="Logarithm",LN(0.001+'Advanced Entry'!N195),IF('Advanced Entry'!N$5="Exponential",EXP('Advanced Entry'!N195),'Advanced Entry'!N195)))-'Advanced Entry'!N$6)/('Advanced Entry'!N$7-'Advanced Entry'!N$6),10*((IF('Advanced Entry'!N$5="Logarithm",LN(0.001+'Advanced Entry'!N195),IF('Advanced Entry'!N$5="Exponential",EXP('Advanced Entry'!N195),'Advanced Entry'!N195)))-'Advanced Entry'!N$6)/('Advanced Entry'!N$7-'Advanced Entry'!N$6)),1))),"No data"))</f>
        <v/>
      </c>
      <c r="O195" s="17">
        <f>IF('Advanced Entry'!O195="","",IFERROR(MAX(0,MIN(10,ROUND(IF('Advanced Entry'!O$8="Decrease Risk",10-10*((IF('Advanced Entry'!O$5="Logarithm",LN(0.001+'Advanced Entry'!O195),IF('Advanced Entry'!O$5="Exponential",EXP('Advanced Entry'!O195),'Advanced Entry'!O195)))-'Advanced Entry'!O$6)/('Advanced Entry'!O$7-'Advanced Entry'!O$6),10*((IF('Advanced Entry'!O$5="Logarithm",LN(0.001+'Advanced Entry'!O195),IF('Advanced Entry'!O$5="Exponential",EXP('Advanced Entry'!O195),'Advanced Entry'!O195)))-'Advanced Entry'!O$6)/('Advanced Entry'!O$7-'Advanced Entry'!O$6)),1))),"No data"))</f>
        <v/>
      </c>
      <c r="P195" s="17">
        <f>IF('Advanced Entry'!P195="","",IFERROR(MAX(0,MIN(10,ROUND(IF('Advanced Entry'!P$8="Decrease Risk",10-10*((IF('Advanced Entry'!P$5="Logarithm",LN(0.001+'Advanced Entry'!P195),IF('Advanced Entry'!P$5="Exponential",EXP('Advanced Entry'!P195),'Advanced Entry'!P195)))-'Advanced Entry'!P$6)/('Advanced Entry'!P$7-'Advanced Entry'!P$6),10*((IF('Advanced Entry'!P$5="Logarithm",LN(0.001+'Advanced Entry'!P195),IF('Advanced Entry'!P$5="Exponential",EXP('Advanced Entry'!P195),'Advanced Entry'!P195)))-'Advanced Entry'!P$6)/('Advanced Entry'!P$7-'Advanced Entry'!P$6)),1))),"No data"))</f>
        <v/>
      </c>
      <c r="Q195" s="17">
        <f>IF('Advanced Entry'!Q195="","",IFERROR(MAX(0,MIN(10,ROUND(IF('Advanced Entry'!Q$8="Decrease Risk",10-10*((IF('Advanced Entry'!Q$5="Logarithm",LN(0.001+'Advanced Entry'!Q195),IF('Advanced Entry'!Q$5="Exponential",EXP('Advanced Entry'!Q195),'Advanced Entry'!Q195)))-'Advanced Entry'!Q$6)/('Advanced Entry'!Q$7-'Advanced Entry'!Q$6),10*((IF('Advanced Entry'!Q$5="Logarithm",LN(0.001+'Advanced Entry'!Q195),IF('Advanced Entry'!Q$5="Exponential",EXP('Advanced Entry'!Q195),'Advanced Entry'!Q195)))-'Advanced Entry'!Q$6)/('Advanced Entry'!Q$7-'Advanced Entry'!Q$6)),1))),"No data"))</f>
        <v/>
      </c>
      <c r="R195" s="17">
        <f>IF('Advanced Entry'!R195="","",IFERROR(MAX(0,MIN(10,ROUND(IF('Advanced Entry'!R$8="Decrease Risk",10-10*((IF('Advanced Entry'!R$5="Logarithm",LN(0.001+'Advanced Entry'!R195),IF('Advanced Entry'!R$5="Exponential",EXP('Advanced Entry'!R195),'Advanced Entry'!R195)))-'Advanced Entry'!R$6)/('Advanced Entry'!R$7-'Advanced Entry'!R$6),10*((IF('Advanced Entry'!R$5="Logarithm",LN(0.001+'Advanced Entry'!R195),IF('Advanced Entry'!R$5="Exponential",EXP('Advanced Entry'!R195),'Advanced Entry'!R195)))-'Advanced Entry'!R$6)/('Advanced Entry'!R$7-'Advanced Entry'!R$6)),1))),"No data"))</f>
        <v/>
      </c>
      <c r="S195" s="17">
        <f>IF('Advanced Entry'!S195="","",IFERROR(MAX(0,MIN(10,ROUND(IF('Advanced Entry'!S$8="Decrease Risk",10-10*((IF('Advanced Entry'!S$5="Logarithm",LN(0.001+'Advanced Entry'!S195),IF('Advanced Entry'!S$5="Exponential",EXP('Advanced Entry'!S195),'Advanced Entry'!S195)))-'Advanced Entry'!S$6)/('Advanced Entry'!S$7-'Advanced Entry'!S$6),10*((IF('Advanced Entry'!S$5="Logarithm",LN(0.001+'Advanced Entry'!S195),IF('Advanced Entry'!S$5="Exponential",EXP('Advanced Entry'!S195),'Advanced Entry'!S195)))-'Advanced Entry'!S$6)/('Advanced Entry'!S$7-'Advanced Entry'!S$6)),1))),"No data"))</f>
        <v/>
      </c>
      <c r="T195" s="17">
        <f>IF('Advanced Entry'!T195="","",IFERROR(MAX(0,MIN(10,ROUND(IF('Advanced Entry'!T$8="Decrease Risk",10-10*((IF('Advanced Entry'!T$5="Logarithm",LN(0.001+'Advanced Entry'!T195),IF('Advanced Entry'!T$5="Exponential",EXP('Advanced Entry'!T195),'Advanced Entry'!T195)))-'Advanced Entry'!T$6)/('Advanced Entry'!T$7-'Advanced Entry'!T$6),10*((IF('Advanced Entry'!T$5="Logarithm",LN(0.001+'Advanced Entry'!T195),IF('Advanced Entry'!T$5="Exponential",EXP('Advanced Entry'!T195),'Advanced Entry'!T195)))-'Advanced Entry'!T$6)/('Advanced Entry'!T$7-'Advanced Entry'!T$6)),1))),"No data"))</f>
        <v/>
      </c>
      <c r="U195" s="17">
        <f>IF('Advanced Entry'!U195="","",IFERROR(MAX(0,MIN(10,ROUND(IF('Advanced Entry'!U$8="Decrease Risk",10-10*((IF('Advanced Entry'!U$5="Logarithm",LN(0.001+'Advanced Entry'!U195),IF('Advanced Entry'!U$5="Exponential",EXP('Advanced Entry'!U195),'Advanced Entry'!U195)))-'Advanced Entry'!U$6)/('Advanced Entry'!U$7-'Advanced Entry'!U$6),10*((IF('Advanced Entry'!U$5="Logarithm",LN(0.001+'Advanced Entry'!U195),IF('Advanced Entry'!U$5="Exponential",EXP('Advanced Entry'!U195),'Advanced Entry'!U195)))-'Advanced Entry'!U$6)/('Advanced Entry'!U$7-'Advanced Entry'!U$6)),1))),"No data"))</f>
        <v/>
      </c>
      <c r="V195" s="17">
        <f>IF('Advanced Entry'!V195="","",IFERROR(MAX(0,MIN(10,ROUND(IF('Advanced Entry'!V$8="Decrease Risk",10-10*((IF('Advanced Entry'!V$5="Logarithm",LN(0.001+'Advanced Entry'!V195),IF('Advanced Entry'!V$5="Exponential",EXP('Advanced Entry'!V195),'Advanced Entry'!V195)))-'Advanced Entry'!V$6)/('Advanced Entry'!V$7-'Advanced Entry'!V$6),10*((IF('Advanced Entry'!V$5="Logarithm",LN(0.001+'Advanced Entry'!V195),IF('Advanced Entry'!V$5="Exponential",EXP('Advanced Entry'!V195),'Advanced Entry'!V195)))-'Advanced Entry'!V$6)/('Advanced Entry'!V$7-'Advanced Entry'!V$6)),1))),"No data"))</f>
        <v/>
      </c>
      <c r="W195" s="17">
        <f>IF('Advanced Entry'!W195="","",IFERROR(MAX(0,MIN(10,ROUND(IF('Advanced Entry'!W$8="Decrease Risk",10-10*((IF('Advanced Entry'!W$5="Logarithm",LN(0.001+'Advanced Entry'!W195),IF('Advanced Entry'!W$5="Exponential",EXP('Advanced Entry'!W195),'Advanced Entry'!W195)))-'Advanced Entry'!W$6)/('Advanced Entry'!W$7-'Advanced Entry'!W$6),10*((IF('Advanced Entry'!W$5="Logarithm",LN(0.001+'Advanced Entry'!W195),IF('Advanced Entry'!W$5="Exponential",EXP('Advanced Entry'!W195),'Advanced Entry'!W195)))-'Advanced Entry'!W$6)/('Advanced Entry'!W$7-'Advanced Entry'!W$6)),1))),"No data"))</f>
        <v/>
      </c>
      <c r="X195" s="17">
        <f>IF('Advanced Entry'!X195="","",IFERROR(MAX(0,MIN(10,ROUND(IF('Advanced Entry'!X$8="Decrease Risk",10-10*((IF('Advanced Entry'!X$5="Logarithm",LN(0.001+'Advanced Entry'!X195),IF('Advanced Entry'!X$5="Exponential",EXP('Advanced Entry'!X195),'Advanced Entry'!X195)))-'Advanced Entry'!X$6)/('Advanced Entry'!X$7-'Advanced Entry'!X$6),10*((IF('Advanced Entry'!X$5="Logarithm",LN(0.001+'Advanced Entry'!X195),IF('Advanced Entry'!X$5="Exponential",EXP('Advanced Entry'!X195),'Advanced Entry'!X195)))-'Advanced Entry'!X$6)/('Advanced Entry'!X$7-'Advanced Entry'!X$6)),1))),"No data"))</f>
        <v/>
      </c>
      <c r="Y195" s="17">
        <f>IF('Advanced Entry'!Y195="","",IFERROR(MAX(0,MIN(10,ROUND(IF('Advanced Entry'!Y$8="Decrease Risk",10-10*((IF('Advanced Entry'!Y$5="Logarithm",LN(0.001+'Advanced Entry'!Y195),IF('Advanced Entry'!Y$5="Exponential",EXP('Advanced Entry'!Y195),'Advanced Entry'!Y195)))-'Advanced Entry'!Y$6)/('Advanced Entry'!Y$7-'Advanced Entry'!Y$6),10*((IF('Advanced Entry'!Y$5="Logarithm",LN(0.001+'Advanced Entry'!Y195),IF('Advanced Entry'!Y$5="Exponential",EXP('Advanced Entry'!Y195),'Advanced Entry'!Y195)))-'Advanced Entry'!Y$6)/('Advanced Entry'!Y$7-'Advanced Entry'!Y$6)),1))),"No data"))</f>
        <v/>
      </c>
      <c r="Z195" s="17">
        <f>IF('Advanced Entry'!Z195="","",IFERROR(MAX(0,MIN(10,ROUND(IF('Advanced Entry'!Z$8="Decrease Risk",10-10*((IF('Advanced Entry'!Z$5="Logarithm",LN(0.001+'Advanced Entry'!Z195),IF('Advanced Entry'!Z$5="Exponential",EXP('Advanced Entry'!Z195),'Advanced Entry'!Z195)))-'Advanced Entry'!Z$6)/('Advanced Entry'!Z$7-'Advanced Entry'!Z$6),10*((IF('Advanced Entry'!Z$5="Logarithm",LN(0.001+'Advanced Entry'!Z195),IF('Advanced Entry'!Z$5="Exponential",EXP('Advanced Entry'!Z195),'Advanced Entry'!Z195)))-'Advanced Entry'!Z$6)/('Advanced Entry'!Z$7-'Advanced Entry'!Z$6)),1))),"No data"))</f>
        <v/>
      </c>
      <c r="AA195" s="17">
        <f>IF('Advanced Entry'!AA195="","",IFERROR(MAX(0,MIN(10,ROUND(IF('Advanced Entry'!AA$8="Decrease Risk",10-10*((IF('Advanced Entry'!AA$5="Logarithm",LN(0.001+'Advanced Entry'!AA195),IF('Advanced Entry'!AA$5="Exponential",EXP('Advanced Entry'!AA195),'Advanced Entry'!AA195)))-'Advanced Entry'!AA$6)/('Advanced Entry'!AA$7-'Advanced Entry'!AA$6),10*((IF('Advanced Entry'!AA$5="Logarithm",LN(0.001+'Advanced Entry'!AA195),IF('Advanced Entry'!AA$5="Exponential",EXP('Advanced Entry'!AA195),'Advanced Entry'!AA195)))-'Advanced Entry'!AA$6)/('Advanced Entry'!AA$7-'Advanced Entry'!AA$6)),1))),"No data"))</f>
        <v/>
      </c>
      <c r="AB195" s="17">
        <f>IF('Advanced Entry'!AB195="","",IFERROR(MAX(0,MIN(10,ROUND(IF('Advanced Entry'!AB$8="Decrease Risk",10-10*((IF('Advanced Entry'!AB$5="Logarithm",LN(0.001+'Advanced Entry'!AB195),IF('Advanced Entry'!AB$5="Exponential",EXP('Advanced Entry'!AB195),'Advanced Entry'!AB195)))-'Advanced Entry'!AB$6)/('Advanced Entry'!AB$7-'Advanced Entry'!AB$6),10*((IF('Advanced Entry'!AB$5="Logarithm",LN(0.001+'Advanced Entry'!AB195),IF('Advanced Entry'!AB$5="Exponential",EXP('Advanced Entry'!AB195),'Advanced Entry'!AB195)))-'Advanced Entry'!AB$6)/('Advanced Entry'!AB$7-'Advanced Entry'!AB$6)),1))),"No data"))</f>
        <v/>
      </c>
    </row>
    <row r="196">
      <c r="A196" t="inlineStr">
        <is>
          <t>Tanga</t>
        </is>
      </c>
      <c r="B196" t="inlineStr">
        <is>
          <t>Handeni District</t>
        </is>
      </c>
      <c r="C196" t="inlineStr">
        <is>
          <t>C030</t>
        </is>
      </c>
      <c r="D196" s="17">
        <f>IF('Advanced Entry'!D196="","",IFERROR(MAX(0,MIN(10,ROUND(IF('Advanced Entry'!D$8="Decrease Risk",10-10*((IF('Advanced Entry'!D$5="Logarithm",LN(0.001+'Advanced Entry'!D196),IF('Advanced Entry'!D$5="Exponential",EXP('Advanced Entry'!D196),'Advanced Entry'!D196)))-'Advanced Entry'!D$6)/('Advanced Entry'!D$7-'Advanced Entry'!D$6),10*((IF('Advanced Entry'!D$5="Logarithm",LN(0.001+'Advanced Entry'!D196),IF('Advanced Entry'!D$5="Exponential",EXP('Advanced Entry'!D196),'Advanced Entry'!D196)))-'Advanced Entry'!D$6)/('Advanced Entry'!D$7-'Advanced Entry'!D$6)),1))),"No data"))</f>
        <v/>
      </c>
      <c r="E196" s="17">
        <f>IF('Advanced Entry'!E196="","",IFERROR(MAX(0,MIN(10,ROUND(IF('Advanced Entry'!E$8="Decrease Risk",10-10*((IF('Advanced Entry'!E$5="Logarithm",LN(0.001+'Advanced Entry'!E196),IF('Advanced Entry'!E$5="Exponential",EXP('Advanced Entry'!E196),'Advanced Entry'!E196)))-'Advanced Entry'!E$6)/('Advanced Entry'!E$7-'Advanced Entry'!E$6),10*((IF('Advanced Entry'!E$5="Logarithm",LN(0.001+'Advanced Entry'!E196),IF('Advanced Entry'!E$5="Exponential",EXP('Advanced Entry'!E196),'Advanced Entry'!E196)))-'Advanced Entry'!E$6)/('Advanced Entry'!E$7-'Advanced Entry'!E$6)),1))),"No data"))</f>
        <v/>
      </c>
      <c r="F196" s="17">
        <f>IF('Advanced Entry'!F196="","",IFERROR(MAX(0,MIN(10,ROUND(IF('Advanced Entry'!F$8="Decrease Risk",10-10*((IF('Advanced Entry'!F$5="Logarithm",LN(0.001+'Advanced Entry'!F196),IF('Advanced Entry'!F$5="Exponential",EXP('Advanced Entry'!F196),'Advanced Entry'!F196)))-'Advanced Entry'!F$6)/('Advanced Entry'!F$7-'Advanced Entry'!F$6),10*((IF('Advanced Entry'!F$5="Logarithm",LN(0.001+'Advanced Entry'!F196),IF('Advanced Entry'!F$5="Exponential",EXP('Advanced Entry'!F196),'Advanced Entry'!F196)))-'Advanced Entry'!F$6)/('Advanced Entry'!F$7-'Advanced Entry'!F$6)),1))),"No data"))</f>
        <v/>
      </c>
      <c r="G196" s="17">
        <f>IF('Advanced Entry'!G196="","",IFERROR(MAX(0,MIN(10,ROUND(IF('Advanced Entry'!G$8="Decrease Risk",10-10*((IF('Advanced Entry'!G$5="Logarithm",LN(0.001+'Advanced Entry'!G196),IF('Advanced Entry'!G$5="Exponential",EXP('Advanced Entry'!G196),'Advanced Entry'!G196)))-'Advanced Entry'!G$6)/('Advanced Entry'!G$7-'Advanced Entry'!G$6),10*((IF('Advanced Entry'!G$5="Logarithm",LN(0.001+'Advanced Entry'!G196),IF('Advanced Entry'!G$5="Exponential",EXP('Advanced Entry'!G196),'Advanced Entry'!G196)))-'Advanced Entry'!G$6)/('Advanced Entry'!G$7-'Advanced Entry'!G$6)),1))),"No data"))</f>
        <v/>
      </c>
      <c r="H196" s="17">
        <f>IF('Advanced Entry'!H196="","",IFERROR(MAX(0,MIN(10,ROUND(IF('Advanced Entry'!H$8="Decrease Risk",10-10*((IF('Advanced Entry'!H$5="Logarithm",LN(0.001+'Advanced Entry'!H196),IF('Advanced Entry'!H$5="Exponential",EXP('Advanced Entry'!H196),'Advanced Entry'!H196)))-'Advanced Entry'!H$6)/('Advanced Entry'!H$7-'Advanced Entry'!H$6),10*((IF('Advanced Entry'!H$5="Logarithm",LN(0.001+'Advanced Entry'!H196),IF('Advanced Entry'!H$5="Exponential",EXP('Advanced Entry'!H196),'Advanced Entry'!H196)))-'Advanced Entry'!H$6)/('Advanced Entry'!H$7-'Advanced Entry'!H$6)),1))),"No data"))</f>
        <v/>
      </c>
      <c r="I196" s="17">
        <f>IF('Advanced Entry'!I196="","",IFERROR(MAX(0,MIN(10,ROUND(IF('Advanced Entry'!I$8="Decrease Risk",10-10*((IF('Advanced Entry'!I$5="Logarithm",LN(0.001+'Advanced Entry'!I196),IF('Advanced Entry'!I$5="Exponential",EXP('Advanced Entry'!I196),'Advanced Entry'!I196)))-'Advanced Entry'!I$6)/('Advanced Entry'!I$7-'Advanced Entry'!I$6),10*((IF('Advanced Entry'!I$5="Logarithm",LN(0.001+'Advanced Entry'!I196),IF('Advanced Entry'!I$5="Exponential",EXP('Advanced Entry'!I196),'Advanced Entry'!I196)))-'Advanced Entry'!I$6)/('Advanced Entry'!I$7-'Advanced Entry'!I$6)),1))),"No data"))</f>
        <v/>
      </c>
      <c r="J196" s="17">
        <f>IF('Advanced Entry'!J196="","",IFERROR(MAX(0,MIN(10,ROUND(IF('Advanced Entry'!J$8="Decrease Risk",10-10*((IF('Advanced Entry'!J$5="Logarithm",LN(0.001+'Advanced Entry'!J196),IF('Advanced Entry'!J$5="Exponential",EXP('Advanced Entry'!J196),'Advanced Entry'!J196)))-'Advanced Entry'!J$6)/('Advanced Entry'!J$7-'Advanced Entry'!J$6),10*((IF('Advanced Entry'!J$5="Logarithm",LN(0.001+'Advanced Entry'!J196),IF('Advanced Entry'!J$5="Exponential",EXP('Advanced Entry'!J196),'Advanced Entry'!J196)))-'Advanced Entry'!J$6)/('Advanced Entry'!J$7-'Advanced Entry'!J$6)),1))),"No data"))</f>
        <v/>
      </c>
      <c r="K196" s="17">
        <f>IF('Advanced Entry'!K196="","",IFERROR(MAX(0,MIN(10,ROUND(IF('Advanced Entry'!K$8="Decrease Risk",10-10*((IF('Advanced Entry'!K$5="Logarithm",LN(0.001+'Advanced Entry'!K196),IF('Advanced Entry'!K$5="Exponential",EXP('Advanced Entry'!K196),'Advanced Entry'!K196)))-'Advanced Entry'!K$6)/('Advanced Entry'!K$7-'Advanced Entry'!K$6),10*((IF('Advanced Entry'!K$5="Logarithm",LN(0.001+'Advanced Entry'!K196),IF('Advanced Entry'!K$5="Exponential",EXP('Advanced Entry'!K196),'Advanced Entry'!K196)))-'Advanced Entry'!K$6)/('Advanced Entry'!K$7-'Advanced Entry'!K$6)),1))),"No data"))</f>
        <v/>
      </c>
      <c r="L196" s="17">
        <f>IF('Advanced Entry'!L196="","",IFERROR(MAX(0,MIN(10,ROUND(IF('Advanced Entry'!L$8="Decrease Risk",10-10*((IF('Advanced Entry'!L$5="Logarithm",LN(0.001+'Advanced Entry'!L196),IF('Advanced Entry'!L$5="Exponential",EXP('Advanced Entry'!L196),'Advanced Entry'!L196)))-'Advanced Entry'!L$6)/('Advanced Entry'!L$7-'Advanced Entry'!L$6),10*((IF('Advanced Entry'!L$5="Logarithm",LN(0.001+'Advanced Entry'!L196),IF('Advanced Entry'!L$5="Exponential",EXP('Advanced Entry'!L196),'Advanced Entry'!L196)))-'Advanced Entry'!L$6)/('Advanced Entry'!L$7-'Advanced Entry'!L$6)),1))),"No data"))</f>
        <v/>
      </c>
      <c r="M196" s="17">
        <f>IF('Advanced Entry'!M196="","",IFERROR(MAX(0,MIN(10,ROUND(IF('Advanced Entry'!M$8="Decrease Risk",10-10*((IF('Advanced Entry'!M$5="Logarithm",LN(0.001+'Advanced Entry'!M196),IF('Advanced Entry'!M$5="Exponential",EXP('Advanced Entry'!M196),'Advanced Entry'!M196)))-'Advanced Entry'!M$6)/('Advanced Entry'!M$7-'Advanced Entry'!M$6),10*((IF('Advanced Entry'!M$5="Logarithm",LN(0.001+'Advanced Entry'!M196),IF('Advanced Entry'!M$5="Exponential",EXP('Advanced Entry'!M196),'Advanced Entry'!M196)))-'Advanced Entry'!M$6)/('Advanced Entry'!M$7-'Advanced Entry'!M$6)),1))),"No data"))</f>
        <v/>
      </c>
      <c r="N196" s="17">
        <f>IF('Advanced Entry'!N196="","",IFERROR(MAX(0,MIN(10,ROUND(IF('Advanced Entry'!N$8="Decrease Risk",10-10*((IF('Advanced Entry'!N$5="Logarithm",LN(0.001+'Advanced Entry'!N196),IF('Advanced Entry'!N$5="Exponential",EXP('Advanced Entry'!N196),'Advanced Entry'!N196)))-'Advanced Entry'!N$6)/('Advanced Entry'!N$7-'Advanced Entry'!N$6),10*((IF('Advanced Entry'!N$5="Logarithm",LN(0.001+'Advanced Entry'!N196),IF('Advanced Entry'!N$5="Exponential",EXP('Advanced Entry'!N196),'Advanced Entry'!N196)))-'Advanced Entry'!N$6)/('Advanced Entry'!N$7-'Advanced Entry'!N$6)),1))),"No data"))</f>
        <v/>
      </c>
      <c r="O196" s="17">
        <f>IF('Advanced Entry'!O196="","",IFERROR(MAX(0,MIN(10,ROUND(IF('Advanced Entry'!O$8="Decrease Risk",10-10*((IF('Advanced Entry'!O$5="Logarithm",LN(0.001+'Advanced Entry'!O196),IF('Advanced Entry'!O$5="Exponential",EXP('Advanced Entry'!O196),'Advanced Entry'!O196)))-'Advanced Entry'!O$6)/('Advanced Entry'!O$7-'Advanced Entry'!O$6),10*((IF('Advanced Entry'!O$5="Logarithm",LN(0.001+'Advanced Entry'!O196),IF('Advanced Entry'!O$5="Exponential",EXP('Advanced Entry'!O196),'Advanced Entry'!O196)))-'Advanced Entry'!O$6)/('Advanced Entry'!O$7-'Advanced Entry'!O$6)),1))),"No data"))</f>
        <v/>
      </c>
      <c r="P196" s="17">
        <f>IF('Advanced Entry'!P196="","",IFERROR(MAX(0,MIN(10,ROUND(IF('Advanced Entry'!P$8="Decrease Risk",10-10*((IF('Advanced Entry'!P$5="Logarithm",LN(0.001+'Advanced Entry'!P196),IF('Advanced Entry'!P$5="Exponential",EXP('Advanced Entry'!P196),'Advanced Entry'!P196)))-'Advanced Entry'!P$6)/('Advanced Entry'!P$7-'Advanced Entry'!P$6),10*((IF('Advanced Entry'!P$5="Logarithm",LN(0.001+'Advanced Entry'!P196),IF('Advanced Entry'!P$5="Exponential",EXP('Advanced Entry'!P196),'Advanced Entry'!P196)))-'Advanced Entry'!P$6)/('Advanced Entry'!P$7-'Advanced Entry'!P$6)),1))),"No data"))</f>
        <v/>
      </c>
      <c r="Q196" s="17">
        <f>IF('Advanced Entry'!Q196="","",IFERROR(MAX(0,MIN(10,ROUND(IF('Advanced Entry'!Q$8="Decrease Risk",10-10*((IF('Advanced Entry'!Q$5="Logarithm",LN(0.001+'Advanced Entry'!Q196),IF('Advanced Entry'!Q$5="Exponential",EXP('Advanced Entry'!Q196),'Advanced Entry'!Q196)))-'Advanced Entry'!Q$6)/('Advanced Entry'!Q$7-'Advanced Entry'!Q$6),10*((IF('Advanced Entry'!Q$5="Logarithm",LN(0.001+'Advanced Entry'!Q196),IF('Advanced Entry'!Q$5="Exponential",EXP('Advanced Entry'!Q196),'Advanced Entry'!Q196)))-'Advanced Entry'!Q$6)/('Advanced Entry'!Q$7-'Advanced Entry'!Q$6)),1))),"No data"))</f>
        <v/>
      </c>
      <c r="R196" s="17">
        <f>IF('Advanced Entry'!R196="","",IFERROR(MAX(0,MIN(10,ROUND(IF('Advanced Entry'!R$8="Decrease Risk",10-10*((IF('Advanced Entry'!R$5="Logarithm",LN(0.001+'Advanced Entry'!R196),IF('Advanced Entry'!R$5="Exponential",EXP('Advanced Entry'!R196),'Advanced Entry'!R196)))-'Advanced Entry'!R$6)/('Advanced Entry'!R$7-'Advanced Entry'!R$6),10*((IF('Advanced Entry'!R$5="Logarithm",LN(0.001+'Advanced Entry'!R196),IF('Advanced Entry'!R$5="Exponential",EXP('Advanced Entry'!R196),'Advanced Entry'!R196)))-'Advanced Entry'!R$6)/('Advanced Entry'!R$7-'Advanced Entry'!R$6)),1))),"No data"))</f>
        <v/>
      </c>
      <c r="S196" s="17">
        <f>IF('Advanced Entry'!S196="","",IFERROR(MAX(0,MIN(10,ROUND(IF('Advanced Entry'!S$8="Decrease Risk",10-10*((IF('Advanced Entry'!S$5="Logarithm",LN(0.001+'Advanced Entry'!S196),IF('Advanced Entry'!S$5="Exponential",EXP('Advanced Entry'!S196),'Advanced Entry'!S196)))-'Advanced Entry'!S$6)/('Advanced Entry'!S$7-'Advanced Entry'!S$6),10*((IF('Advanced Entry'!S$5="Logarithm",LN(0.001+'Advanced Entry'!S196),IF('Advanced Entry'!S$5="Exponential",EXP('Advanced Entry'!S196),'Advanced Entry'!S196)))-'Advanced Entry'!S$6)/('Advanced Entry'!S$7-'Advanced Entry'!S$6)),1))),"No data"))</f>
        <v/>
      </c>
      <c r="T196" s="17">
        <f>IF('Advanced Entry'!T196="","",IFERROR(MAX(0,MIN(10,ROUND(IF('Advanced Entry'!T$8="Decrease Risk",10-10*((IF('Advanced Entry'!T$5="Logarithm",LN(0.001+'Advanced Entry'!T196),IF('Advanced Entry'!T$5="Exponential",EXP('Advanced Entry'!T196),'Advanced Entry'!T196)))-'Advanced Entry'!T$6)/('Advanced Entry'!T$7-'Advanced Entry'!T$6),10*((IF('Advanced Entry'!T$5="Logarithm",LN(0.001+'Advanced Entry'!T196),IF('Advanced Entry'!T$5="Exponential",EXP('Advanced Entry'!T196),'Advanced Entry'!T196)))-'Advanced Entry'!T$6)/('Advanced Entry'!T$7-'Advanced Entry'!T$6)),1))),"No data"))</f>
        <v/>
      </c>
      <c r="U196" s="17">
        <f>IF('Advanced Entry'!U196="","",IFERROR(MAX(0,MIN(10,ROUND(IF('Advanced Entry'!U$8="Decrease Risk",10-10*((IF('Advanced Entry'!U$5="Logarithm",LN(0.001+'Advanced Entry'!U196),IF('Advanced Entry'!U$5="Exponential",EXP('Advanced Entry'!U196),'Advanced Entry'!U196)))-'Advanced Entry'!U$6)/('Advanced Entry'!U$7-'Advanced Entry'!U$6),10*((IF('Advanced Entry'!U$5="Logarithm",LN(0.001+'Advanced Entry'!U196),IF('Advanced Entry'!U$5="Exponential",EXP('Advanced Entry'!U196),'Advanced Entry'!U196)))-'Advanced Entry'!U$6)/('Advanced Entry'!U$7-'Advanced Entry'!U$6)),1))),"No data"))</f>
        <v/>
      </c>
      <c r="V196" s="17">
        <f>IF('Advanced Entry'!V196="","",IFERROR(MAX(0,MIN(10,ROUND(IF('Advanced Entry'!V$8="Decrease Risk",10-10*((IF('Advanced Entry'!V$5="Logarithm",LN(0.001+'Advanced Entry'!V196),IF('Advanced Entry'!V$5="Exponential",EXP('Advanced Entry'!V196),'Advanced Entry'!V196)))-'Advanced Entry'!V$6)/('Advanced Entry'!V$7-'Advanced Entry'!V$6),10*((IF('Advanced Entry'!V$5="Logarithm",LN(0.001+'Advanced Entry'!V196),IF('Advanced Entry'!V$5="Exponential",EXP('Advanced Entry'!V196),'Advanced Entry'!V196)))-'Advanced Entry'!V$6)/('Advanced Entry'!V$7-'Advanced Entry'!V$6)),1))),"No data"))</f>
        <v/>
      </c>
      <c r="W196" s="17">
        <f>IF('Advanced Entry'!W196="","",IFERROR(MAX(0,MIN(10,ROUND(IF('Advanced Entry'!W$8="Decrease Risk",10-10*((IF('Advanced Entry'!W$5="Logarithm",LN(0.001+'Advanced Entry'!W196),IF('Advanced Entry'!W$5="Exponential",EXP('Advanced Entry'!W196),'Advanced Entry'!W196)))-'Advanced Entry'!W$6)/('Advanced Entry'!W$7-'Advanced Entry'!W$6),10*((IF('Advanced Entry'!W$5="Logarithm",LN(0.001+'Advanced Entry'!W196),IF('Advanced Entry'!W$5="Exponential",EXP('Advanced Entry'!W196),'Advanced Entry'!W196)))-'Advanced Entry'!W$6)/('Advanced Entry'!W$7-'Advanced Entry'!W$6)),1))),"No data"))</f>
        <v/>
      </c>
      <c r="X196" s="17">
        <f>IF('Advanced Entry'!X196="","",IFERROR(MAX(0,MIN(10,ROUND(IF('Advanced Entry'!X$8="Decrease Risk",10-10*((IF('Advanced Entry'!X$5="Logarithm",LN(0.001+'Advanced Entry'!X196),IF('Advanced Entry'!X$5="Exponential",EXP('Advanced Entry'!X196),'Advanced Entry'!X196)))-'Advanced Entry'!X$6)/('Advanced Entry'!X$7-'Advanced Entry'!X$6),10*((IF('Advanced Entry'!X$5="Logarithm",LN(0.001+'Advanced Entry'!X196),IF('Advanced Entry'!X$5="Exponential",EXP('Advanced Entry'!X196),'Advanced Entry'!X196)))-'Advanced Entry'!X$6)/('Advanced Entry'!X$7-'Advanced Entry'!X$6)),1))),"No data"))</f>
        <v/>
      </c>
      <c r="Y196" s="17">
        <f>IF('Advanced Entry'!Y196="","",IFERROR(MAX(0,MIN(10,ROUND(IF('Advanced Entry'!Y$8="Decrease Risk",10-10*((IF('Advanced Entry'!Y$5="Logarithm",LN(0.001+'Advanced Entry'!Y196),IF('Advanced Entry'!Y$5="Exponential",EXP('Advanced Entry'!Y196),'Advanced Entry'!Y196)))-'Advanced Entry'!Y$6)/('Advanced Entry'!Y$7-'Advanced Entry'!Y$6),10*((IF('Advanced Entry'!Y$5="Logarithm",LN(0.001+'Advanced Entry'!Y196),IF('Advanced Entry'!Y$5="Exponential",EXP('Advanced Entry'!Y196),'Advanced Entry'!Y196)))-'Advanced Entry'!Y$6)/('Advanced Entry'!Y$7-'Advanced Entry'!Y$6)),1))),"No data"))</f>
        <v/>
      </c>
      <c r="Z196" s="17">
        <f>IF('Advanced Entry'!Z196="","",IFERROR(MAX(0,MIN(10,ROUND(IF('Advanced Entry'!Z$8="Decrease Risk",10-10*((IF('Advanced Entry'!Z$5="Logarithm",LN(0.001+'Advanced Entry'!Z196),IF('Advanced Entry'!Z$5="Exponential",EXP('Advanced Entry'!Z196),'Advanced Entry'!Z196)))-'Advanced Entry'!Z$6)/('Advanced Entry'!Z$7-'Advanced Entry'!Z$6),10*((IF('Advanced Entry'!Z$5="Logarithm",LN(0.001+'Advanced Entry'!Z196),IF('Advanced Entry'!Z$5="Exponential",EXP('Advanced Entry'!Z196),'Advanced Entry'!Z196)))-'Advanced Entry'!Z$6)/('Advanced Entry'!Z$7-'Advanced Entry'!Z$6)),1))),"No data"))</f>
        <v/>
      </c>
      <c r="AA196" s="17">
        <f>IF('Advanced Entry'!AA196="","",IFERROR(MAX(0,MIN(10,ROUND(IF('Advanced Entry'!AA$8="Decrease Risk",10-10*((IF('Advanced Entry'!AA$5="Logarithm",LN(0.001+'Advanced Entry'!AA196),IF('Advanced Entry'!AA$5="Exponential",EXP('Advanced Entry'!AA196),'Advanced Entry'!AA196)))-'Advanced Entry'!AA$6)/('Advanced Entry'!AA$7-'Advanced Entry'!AA$6),10*((IF('Advanced Entry'!AA$5="Logarithm",LN(0.001+'Advanced Entry'!AA196),IF('Advanced Entry'!AA$5="Exponential",EXP('Advanced Entry'!AA196),'Advanced Entry'!AA196)))-'Advanced Entry'!AA$6)/('Advanced Entry'!AA$7-'Advanced Entry'!AA$6)),1))),"No data"))</f>
        <v/>
      </c>
      <c r="AB196" s="17">
        <f>IF('Advanced Entry'!AB196="","",IFERROR(MAX(0,MIN(10,ROUND(IF('Advanced Entry'!AB$8="Decrease Risk",10-10*((IF('Advanced Entry'!AB$5="Logarithm",LN(0.001+'Advanced Entry'!AB196),IF('Advanced Entry'!AB$5="Exponential",EXP('Advanced Entry'!AB196),'Advanced Entry'!AB196)))-'Advanced Entry'!AB$6)/('Advanced Entry'!AB$7-'Advanced Entry'!AB$6),10*((IF('Advanced Entry'!AB$5="Logarithm",LN(0.001+'Advanced Entry'!AB196),IF('Advanced Entry'!AB$5="Exponential",EXP('Advanced Entry'!AB196),'Advanced Entry'!AB196)))-'Advanced Entry'!AB$6)/('Advanced Entry'!AB$7-'Advanced Entry'!AB$6)),1))),"No data"))</f>
        <v/>
      </c>
    </row>
    <row r="197">
      <c r="A197" t="inlineStr">
        <is>
          <t>Tanga</t>
        </is>
      </c>
      <c r="B197" t="inlineStr">
        <is>
          <t>Handeni Town</t>
        </is>
      </c>
      <c r="C197" t="inlineStr">
        <is>
          <t>C031</t>
        </is>
      </c>
      <c r="D197" s="17">
        <f>IF('Advanced Entry'!D197="","",IFERROR(MAX(0,MIN(10,ROUND(IF('Advanced Entry'!D$8="Decrease Risk",10-10*((IF('Advanced Entry'!D$5="Logarithm",LN(0.001+'Advanced Entry'!D197),IF('Advanced Entry'!D$5="Exponential",EXP('Advanced Entry'!D197),'Advanced Entry'!D197)))-'Advanced Entry'!D$6)/('Advanced Entry'!D$7-'Advanced Entry'!D$6),10*((IF('Advanced Entry'!D$5="Logarithm",LN(0.001+'Advanced Entry'!D197),IF('Advanced Entry'!D$5="Exponential",EXP('Advanced Entry'!D197),'Advanced Entry'!D197)))-'Advanced Entry'!D$6)/('Advanced Entry'!D$7-'Advanced Entry'!D$6)),1))),"No data"))</f>
        <v/>
      </c>
      <c r="E197" s="17">
        <f>IF('Advanced Entry'!E197="","",IFERROR(MAX(0,MIN(10,ROUND(IF('Advanced Entry'!E$8="Decrease Risk",10-10*((IF('Advanced Entry'!E$5="Logarithm",LN(0.001+'Advanced Entry'!E197),IF('Advanced Entry'!E$5="Exponential",EXP('Advanced Entry'!E197),'Advanced Entry'!E197)))-'Advanced Entry'!E$6)/('Advanced Entry'!E$7-'Advanced Entry'!E$6),10*((IF('Advanced Entry'!E$5="Logarithm",LN(0.001+'Advanced Entry'!E197),IF('Advanced Entry'!E$5="Exponential",EXP('Advanced Entry'!E197),'Advanced Entry'!E197)))-'Advanced Entry'!E$6)/('Advanced Entry'!E$7-'Advanced Entry'!E$6)),1))),"No data"))</f>
        <v/>
      </c>
      <c r="F197" s="17">
        <f>IF('Advanced Entry'!F197="","",IFERROR(MAX(0,MIN(10,ROUND(IF('Advanced Entry'!F$8="Decrease Risk",10-10*((IF('Advanced Entry'!F$5="Logarithm",LN(0.001+'Advanced Entry'!F197),IF('Advanced Entry'!F$5="Exponential",EXP('Advanced Entry'!F197),'Advanced Entry'!F197)))-'Advanced Entry'!F$6)/('Advanced Entry'!F$7-'Advanced Entry'!F$6),10*((IF('Advanced Entry'!F$5="Logarithm",LN(0.001+'Advanced Entry'!F197),IF('Advanced Entry'!F$5="Exponential",EXP('Advanced Entry'!F197),'Advanced Entry'!F197)))-'Advanced Entry'!F$6)/('Advanced Entry'!F$7-'Advanced Entry'!F$6)),1))),"No data"))</f>
        <v/>
      </c>
      <c r="G197" s="17">
        <f>IF('Advanced Entry'!G197="","",IFERROR(MAX(0,MIN(10,ROUND(IF('Advanced Entry'!G$8="Decrease Risk",10-10*((IF('Advanced Entry'!G$5="Logarithm",LN(0.001+'Advanced Entry'!G197),IF('Advanced Entry'!G$5="Exponential",EXP('Advanced Entry'!G197),'Advanced Entry'!G197)))-'Advanced Entry'!G$6)/('Advanced Entry'!G$7-'Advanced Entry'!G$6),10*((IF('Advanced Entry'!G$5="Logarithm",LN(0.001+'Advanced Entry'!G197),IF('Advanced Entry'!G$5="Exponential",EXP('Advanced Entry'!G197),'Advanced Entry'!G197)))-'Advanced Entry'!G$6)/('Advanced Entry'!G$7-'Advanced Entry'!G$6)),1))),"No data"))</f>
        <v/>
      </c>
      <c r="H197" s="17">
        <f>IF('Advanced Entry'!H197="","",IFERROR(MAX(0,MIN(10,ROUND(IF('Advanced Entry'!H$8="Decrease Risk",10-10*((IF('Advanced Entry'!H$5="Logarithm",LN(0.001+'Advanced Entry'!H197),IF('Advanced Entry'!H$5="Exponential",EXP('Advanced Entry'!H197),'Advanced Entry'!H197)))-'Advanced Entry'!H$6)/('Advanced Entry'!H$7-'Advanced Entry'!H$6),10*((IF('Advanced Entry'!H$5="Logarithm",LN(0.001+'Advanced Entry'!H197),IF('Advanced Entry'!H$5="Exponential",EXP('Advanced Entry'!H197),'Advanced Entry'!H197)))-'Advanced Entry'!H$6)/('Advanced Entry'!H$7-'Advanced Entry'!H$6)),1))),"No data"))</f>
        <v/>
      </c>
      <c r="I197" s="17">
        <f>IF('Advanced Entry'!I197="","",IFERROR(MAX(0,MIN(10,ROUND(IF('Advanced Entry'!I$8="Decrease Risk",10-10*((IF('Advanced Entry'!I$5="Logarithm",LN(0.001+'Advanced Entry'!I197),IF('Advanced Entry'!I$5="Exponential",EXP('Advanced Entry'!I197),'Advanced Entry'!I197)))-'Advanced Entry'!I$6)/('Advanced Entry'!I$7-'Advanced Entry'!I$6),10*((IF('Advanced Entry'!I$5="Logarithm",LN(0.001+'Advanced Entry'!I197),IF('Advanced Entry'!I$5="Exponential",EXP('Advanced Entry'!I197),'Advanced Entry'!I197)))-'Advanced Entry'!I$6)/('Advanced Entry'!I$7-'Advanced Entry'!I$6)),1))),"No data"))</f>
        <v/>
      </c>
      <c r="J197" s="17">
        <f>IF('Advanced Entry'!J197="","",IFERROR(MAX(0,MIN(10,ROUND(IF('Advanced Entry'!J$8="Decrease Risk",10-10*((IF('Advanced Entry'!J$5="Logarithm",LN(0.001+'Advanced Entry'!J197),IF('Advanced Entry'!J$5="Exponential",EXP('Advanced Entry'!J197),'Advanced Entry'!J197)))-'Advanced Entry'!J$6)/('Advanced Entry'!J$7-'Advanced Entry'!J$6),10*((IF('Advanced Entry'!J$5="Logarithm",LN(0.001+'Advanced Entry'!J197),IF('Advanced Entry'!J$5="Exponential",EXP('Advanced Entry'!J197),'Advanced Entry'!J197)))-'Advanced Entry'!J$6)/('Advanced Entry'!J$7-'Advanced Entry'!J$6)),1))),"No data"))</f>
        <v/>
      </c>
      <c r="K197" s="17">
        <f>IF('Advanced Entry'!K197="","",IFERROR(MAX(0,MIN(10,ROUND(IF('Advanced Entry'!K$8="Decrease Risk",10-10*((IF('Advanced Entry'!K$5="Logarithm",LN(0.001+'Advanced Entry'!K197),IF('Advanced Entry'!K$5="Exponential",EXP('Advanced Entry'!K197),'Advanced Entry'!K197)))-'Advanced Entry'!K$6)/('Advanced Entry'!K$7-'Advanced Entry'!K$6),10*((IF('Advanced Entry'!K$5="Logarithm",LN(0.001+'Advanced Entry'!K197),IF('Advanced Entry'!K$5="Exponential",EXP('Advanced Entry'!K197),'Advanced Entry'!K197)))-'Advanced Entry'!K$6)/('Advanced Entry'!K$7-'Advanced Entry'!K$6)),1))),"No data"))</f>
        <v/>
      </c>
      <c r="L197" s="17">
        <f>IF('Advanced Entry'!L197="","",IFERROR(MAX(0,MIN(10,ROUND(IF('Advanced Entry'!L$8="Decrease Risk",10-10*((IF('Advanced Entry'!L$5="Logarithm",LN(0.001+'Advanced Entry'!L197),IF('Advanced Entry'!L$5="Exponential",EXP('Advanced Entry'!L197),'Advanced Entry'!L197)))-'Advanced Entry'!L$6)/('Advanced Entry'!L$7-'Advanced Entry'!L$6),10*((IF('Advanced Entry'!L$5="Logarithm",LN(0.001+'Advanced Entry'!L197),IF('Advanced Entry'!L$5="Exponential",EXP('Advanced Entry'!L197),'Advanced Entry'!L197)))-'Advanced Entry'!L$6)/('Advanced Entry'!L$7-'Advanced Entry'!L$6)),1))),"No data"))</f>
        <v/>
      </c>
      <c r="M197" s="17">
        <f>IF('Advanced Entry'!M197="","",IFERROR(MAX(0,MIN(10,ROUND(IF('Advanced Entry'!M$8="Decrease Risk",10-10*((IF('Advanced Entry'!M$5="Logarithm",LN(0.001+'Advanced Entry'!M197),IF('Advanced Entry'!M$5="Exponential",EXP('Advanced Entry'!M197),'Advanced Entry'!M197)))-'Advanced Entry'!M$6)/('Advanced Entry'!M$7-'Advanced Entry'!M$6),10*((IF('Advanced Entry'!M$5="Logarithm",LN(0.001+'Advanced Entry'!M197),IF('Advanced Entry'!M$5="Exponential",EXP('Advanced Entry'!M197),'Advanced Entry'!M197)))-'Advanced Entry'!M$6)/('Advanced Entry'!M$7-'Advanced Entry'!M$6)),1))),"No data"))</f>
        <v/>
      </c>
      <c r="N197" s="17">
        <f>IF('Advanced Entry'!N197="","",IFERROR(MAX(0,MIN(10,ROUND(IF('Advanced Entry'!N$8="Decrease Risk",10-10*((IF('Advanced Entry'!N$5="Logarithm",LN(0.001+'Advanced Entry'!N197),IF('Advanced Entry'!N$5="Exponential",EXP('Advanced Entry'!N197),'Advanced Entry'!N197)))-'Advanced Entry'!N$6)/('Advanced Entry'!N$7-'Advanced Entry'!N$6),10*((IF('Advanced Entry'!N$5="Logarithm",LN(0.001+'Advanced Entry'!N197),IF('Advanced Entry'!N$5="Exponential",EXP('Advanced Entry'!N197),'Advanced Entry'!N197)))-'Advanced Entry'!N$6)/('Advanced Entry'!N$7-'Advanced Entry'!N$6)),1))),"No data"))</f>
        <v/>
      </c>
      <c r="O197" s="17">
        <f>IF('Advanced Entry'!O197="","",IFERROR(MAX(0,MIN(10,ROUND(IF('Advanced Entry'!O$8="Decrease Risk",10-10*((IF('Advanced Entry'!O$5="Logarithm",LN(0.001+'Advanced Entry'!O197),IF('Advanced Entry'!O$5="Exponential",EXP('Advanced Entry'!O197),'Advanced Entry'!O197)))-'Advanced Entry'!O$6)/('Advanced Entry'!O$7-'Advanced Entry'!O$6),10*((IF('Advanced Entry'!O$5="Logarithm",LN(0.001+'Advanced Entry'!O197),IF('Advanced Entry'!O$5="Exponential",EXP('Advanced Entry'!O197),'Advanced Entry'!O197)))-'Advanced Entry'!O$6)/('Advanced Entry'!O$7-'Advanced Entry'!O$6)),1))),"No data"))</f>
        <v/>
      </c>
      <c r="P197" s="17">
        <f>IF('Advanced Entry'!P197="","",IFERROR(MAX(0,MIN(10,ROUND(IF('Advanced Entry'!P$8="Decrease Risk",10-10*((IF('Advanced Entry'!P$5="Logarithm",LN(0.001+'Advanced Entry'!P197),IF('Advanced Entry'!P$5="Exponential",EXP('Advanced Entry'!P197),'Advanced Entry'!P197)))-'Advanced Entry'!P$6)/('Advanced Entry'!P$7-'Advanced Entry'!P$6),10*((IF('Advanced Entry'!P$5="Logarithm",LN(0.001+'Advanced Entry'!P197),IF('Advanced Entry'!P$5="Exponential",EXP('Advanced Entry'!P197),'Advanced Entry'!P197)))-'Advanced Entry'!P$6)/('Advanced Entry'!P$7-'Advanced Entry'!P$6)),1))),"No data"))</f>
        <v/>
      </c>
      <c r="Q197" s="17">
        <f>IF('Advanced Entry'!Q197="","",IFERROR(MAX(0,MIN(10,ROUND(IF('Advanced Entry'!Q$8="Decrease Risk",10-10*((IF('Advanced Entry'!Q$5="Logarithm",LN(0.001+'Advanced Entry'!Q197),IF('Advanced Entry'!Q$5="Exponential",EXP('Advanced Entry'!Q197),'Advanced Entry'!Q197)))-'Advanced Entry'!Q$6)/('Advanced Entry'!Q$7-'Advanced Entry'!Q$6),10*((IF('Advanced Entry'!Q$5="Logarithm",LN(0.001+'Advanced Entry'!Q197),IF('Advanced Entry'!Q$5="Exponential",EXP('Advanced Entry'!Q197),'Advanced Entry'!Q197)))-'Advanced Entry'!Q$6)/('Advanced Entry'!Q$7-'Advanced Entry'!Q$6)),1))),"No data"))</f>
        <v/>
      </c>
      <c r="R197" s="17">
        <f>IF('Advanced Entry'!R197="","",IFERROR(MAX(0,MIN(10,ROUND(IF('Advanced Entry'!R$8="Decrease Risk",10-10*((IF('Advanced Entry'!R$5="Logarithm",LN(0.001+'Advanced Entry'!R197),IF('Advanced Entry'!R$5="Exponential",EXP('Advanced Entry'!R197),'Advanced Entry'!R197)))-'Advanced Entry'!R$6)/('Advanced Entry'!R$7-'Advanced Entry'!R$6),10*((IF('Advanced Entry'!R$5="Logarithm",LN(0.001+'Advanced Entry'!R197),IF('Advanced Entry'!R$5="Exponential",EXP('Advanced Entry'!R197),'Advanced Entry'!R197)))-'Advanced Entry'!R$6)/('Advanced Entry'!R$7-'Advanced Entry'!R$6)),1))),"No data"))</f>
        <v/>
      </c>
      <c r="S197" s="17">
        <f>IF('Advanced Entry'!S197="","",IFERROR(MAX(0,MIN(10,ROUND(IF('Advanced Entry'!S$8="Decrease Risk",10-10*((IF('Advanced Entry'!S$5="Logarithm",LN(0.001+'Advanced Entry'!S197),IF('Advanced Entry'!S$5="Exponential",EXP('Advanced Entry'!S197),'Advanced Entry'!S197)))-'Advanced Entry'!S$6)/('Advanced Entry'!S$7-'Advanced Entry'!S$6),10*((IF('Advanced Entry'!S$5="Logarithm",LN(0.001+'Advanced Entry'!S197),IF('Advanced Entry'!S$5="Exponential",EXP('Advanced Entry'!S197),'Advanced Entry'!S197)))-'Advanced Entry'!S$6)/('Advanced Entry'!S$7-'Advanced Entry'!S$6)),1))),"No data"))</f>
        <v/>
      </c>
      <c r="T197" s="17">
        <f>IF('Advanced Entry'!T197="","",IFERROR(MAX(0,MIN(10,ROUND(IF('Advanced Entry'!T$8="Decrease Risk",10-10*((IF('Advanced Entry'!T$5="Logarithm",LN(0.001+'Advanced Entry'!T197),IF('Advanced Entry'!T$5="Exponential",EXP('Advanced Entry'!T197),'Advanced Entry'!T197)))-'Advanced Entry'!T$6)/('Advanced Entry'!T$7-'Advanced Entry'!T$6),10*((IF('Advanced Entry'!T$5="Logarithm",LN(0.001+'Advanced Entry'!T197),IF('Advanced Entry'!T$5="Exponential",EXP('Advanced Entry'!T197),'Advanced Entry'!T197)))-'Advanced Entry'!T$6)/('Advanced Entry'!T$7-'Advanced Entry'!T$6)),1))),"No data"))</f>
        <v/>
      </c>
      <c r="U197" s="17">
        <f>IF('Advanced Entry'!U197="","",IFERROR(MAX(0,MIN(10,ROUND(IF('Advanced Entry'!U$8="Decrease Risk",10-10*((IF('Advanced Entry'!U$5="Logarithm",LN(0.001+'Advanced Entry'!U197),IF('Advanced Entry'!U$5="Exponential",EXP('Advanced Entry'!U197),'Advanced Entry'!U197)))-'Advanced Entry'!U$6)/('Advanced Entry'!U$7-'Advanced Entry'!U$6),10*((IF('Advanced Entry'!U$5="Logarithm",LN(0.001+'Advanced Entry'!U197),IF('Advanced Entry'!U$5="Exponential",EXP('Advanced Entry'!U197),'Advanced Entry'!U197)))-'Advanced Entry'!U$6)/('Advanced Entry'!U$7-'Advanced Entry'!U$6)),1))),"No data"))</f>
        <v/>
      </c>
      <c r="V197" s="17">
        <f>IF('Advanced Entry'!V197="","",IFERROR(MAX(0,MIN(10,ROUND(IF('Advanced Entry'!V$8="Decrease Risk",10-10*((IF('Advanced Entry'!V$5="Logarithm",LN(0.001+'Advanced Entry'!V197),IF('Advanced Entry'!V$5="Exponential",EXP('Advanced Entry'!V197),'Advanced Entry'!V197)))-'Advanced Entry'!V$6)/('Advanced Entry'!V$7-'Advanced Entry'!V$6),10*((IF('Advanced Entry'!V$5="Logarithm",LN(0.001+'Advanced Entry'!V197),IF('Advanced Entry'!V$5="Exponential",EXP('Advanced Entry'!V197),'Advanced Entry'!V197)))-'Advanced Entry'!V$6)/('Advanced Entry'!V$7-'Advanced Entry'!V$6)),1))),"No data"))</f>
        <v/>
      </c>
      <c r="W197" s="17">
        <f>IF('Advanced Entry'!W197="","",IFERROR(MAX(0,MIN(10,ROUND(IF('Advanced Entry'!W$8="Decrease Risk",10-10*((IF('Advanced Entry'!W$5="Logarithm",LN(0.001+'Advanced Entry'!W197),IF('Advanced Entry'!W$5="Exponential",EXP('Advanced Entry'!W197),'Advanced Entry'!W197)))-'Advanced Entry'!W$6)/('Advanced Entry'!W$7-'Advanced Entry'!W$6),10*((IF('Advanced Entry'!W$5="Logarithm",LN(0.001+'Advanced Entry'!W197),IF('Advanced Entry'!W$5="Exponential",EXP('Advanced Entry'!W197),'Advanced Entry'!W197)))-'Advanced Entry'!W$6)/('Advanced Entry'!W$7-'Advanced Entry'!W$6)),1))),"No data"))</f>
        <v/>
      </c>
      <c r="X197" s="17">
        <f>IF('Advanced Entry'!X197="","",IFERROR(MAX(0,MIN(10,ROUND(IF('Advanced Entry'!X$8="Decrease Risk",10-10*((IF('Advanced Entry'!X$5="Logarithm",LN(0.001+'Advanced Entry'!X197),IF('Advanced Entry'!X$5="Exponential",EXP('Advanced Entry'!X197),'Advanced Entry'!X197)))-'Advanced Entry'!X$6)/('Advanced Entry'!X$7-'Advanced Entry'!X$6),10*((IF('Advanced Entry'!X$5="Logarithm",LN(0.001+'Advanced Entry'!X197),IF('Advanced Entry'!X$5="Exponential",EXP('Advanced Entry'!X197),'Advanced Entry'!X197)))-'Advanced Entry'!X$6)/('Advanced Entry'!X$7-'Advanced Entry'!X$6)),1))),"No data"))</f>
        <v/>
      </c>
      <c r="Y197" s="17">
        <f>IF('Advanced Entry'!Y197="","",IFERROR(MAX(0,MIN(10,ROUND(IF('Advanced Entry'!Y$8="Decrease Risk",10-10*((IF('Advanced Entry'!Y$5="Logarithm",LN(0.001+'Advanced Entry'!Y197),IF('Advanced Entry'!Y$5="Exponential",EXP('Advanced Entry'!Y197),'Advanced Entry'!Y197)))-'Advanced Entry'!Y$6)/('Advanced Entry'!Y$7-'Advanced Entry'!Y$6),10*((IF('Advanced Entry'!Y$5="Logarithm",LN(0.001+'Advanced Entry'!Y197),IF('Advanced Entry'!Y$5="Exponential",EXP('Advanced Entry'!Y197),'Advanced Entry'!Y197)))-'Advanced Entry'!Y$6)/('Advanced Entry'!Y$7-'Advanced Entry'!Y$6)),1))),"No data"))</f>
        <v/>
      </c>
      <c r="Z197" s="17">
        <f>IF('Advanced Entry'!Z197="","",IFERROR(MAX(0,MIN(10,ROUND(IF('Advanced Entry'!Z$8="Decrease Risk",10-10*((IF('Advanced Entry'!Z$5="Logarithm",LN(0.001+'Advanced Entry'!Z197),IF('Advanced Entry'!Z$5="Exponential",EXP('Advanced Entry'!Z197),'Advanced Entry'!Z197)))-'Advanced Entry'!Z$6)/('Advanced Entry'!Z$7-'Advanced Entry'!Z$6),10*((IF('Advanced Entry'!Z$5="Logarithm",LN(0.001+'Advanced Entry'!Z197),IF('Advanced Entry'!Z$5="Exponential",EXP('Advanced Entry'!Z197),'Advanced Entry'!Z197)))-'Advanced Entry'!Z$6)/('Advanced Entry'!Z$7-'Advanced Entry'!Z$6)),1))),"No data"))</f>
        <v/>
      </c>
      <c r="AA197" s="17">
        <f>IF('Advanced Entry'!AA197="","",IFERROR(MAX(0,MIN(10,ROUND(IF('Advanced Entry'!AA$8="Decrease Risk",10-10*((IF('Advanced Entry'!AA$5="Logarithm",LN(0.001+'Advanced Entry'!AA197),IF('Advanced Entry'!AA$5="Exponential",EXP('Advanced Entry'!AA197),'Advanced Entry'!AA197)))-'Advanced Entry'!AA$6)/('Advanced Entry'!AA$7-'Advanced Entry'!AA$6),10*((IF('Advanced Entry'!AA$5="Logarithm",LN(0.001+'Advanced Entry'!AA197),IF('Advanced Entry'!AA$5="Exponential",EXP('Advanced Entry'!AA197),'Advanced Entry'!AA197)))-'Advanced Entry'!AA$6)/('Advanced Entry'!AA$7-'Advanced Entry'!AA$6)),1))),"No data"))</f>
        <v/>
      </c>
      <c r="AB197" s="17">
        <f>IF('Advanced Entry'!AB197="","",IFERROR(MAX(0,MIN(10,ROUND(IF('Advanced Entry'!AB$8="Decrease Risk",10-10*((IF('Advanced Entry'!AB$5="Logarithm",LN(0.001+'Advanced Entry'!AB197),IF('Advanced Entry'!AB$5="Exponential",EXP('Advanced Entry'!AB197),'Advanced Entry'!AB197)))-'Advanced Entry'!AB$6)/('Advanced Entry'!AB$7-'Advanced Entry'!AB$6),10*((IF('Advanced Entry'!AB$5="Logarithm",LN(0.001+'Advanced Entry'!AB197),IF('Advanced Entry'!AB$5="Exponential",EXP('Advanced Entry'!AB197),'Advanced Entry'!AB197)))-'Advanced Entry'!AB$6)/('Advanced Entry'!AB$7-'Advanced Entry'!AB$6)),1))),"No data"))</f>
        <v/>
      </c>
    </row>
    <row r="198">
      <c r="A198" t="inlineStr">
        <is>
          <t>Tanga</t>
        </is>
      </c>
      <c r="B198" t="inlineStr">
        <is>
          <t>Kilindi District</t>
        </is>
      </c>
      <c r="C198" t="inlineStr">
        <is>
          <t>C032</t>
        </is>
      </c>
      <c r="D198" s="17">
        <f>IF('Advanced Entry'!D198="","",IFERROR(MAX(0,MIN(10,ROUND(IF('Advanced Entry'!D$8="Decrease Risk",10-10*((IF('Advanced Entry'!D$5="Logarithm",LN(0.001+'Advanced Entry'!D198),IF('Advanced Entry'!D$5="Exponential",EXP('Advanced Entry'!D198),'Advanced Entry'!D198)))-'Advanced Entry'!D$6)/('Advanced Entry'!D$7-'Advanced Entry'!D$6),10*((IF('Advanced Entry'!D$5="Logarithm",LN(0.001+'Advanced Entry'!D198),IF('Advanced Entry'!D$5="Exponential",EXP('Advanced Entry'!D198),'Advanced Entry'!D198)))-'Advanced Entry'!D$6)/('Advanced Entry'!D$7-'Advanced Entry'!D$6)),1))),"No data"))</f>
        <v/>
      </c>
      <c r="E198" s="17">
        <f>IF('Advanced Entry'!E198="","",IFERROR(MAX(0,MIN(10,ROUND(IF('Advanced Entry'!E$8="Decrease Risk",10-10*((IF('Advanced Entry'!E$5="Logarithm",LN(0.001+'Advanced Entry'!E198),IF('Advanced Entry'!E$5="Exponential",EXP('Advanced Entry'!E198),'Advanced Entry'!E198)))-'Advanced Entry'!E$6)/('Advanced Entry'!E$7-'Advanced Entry'!E$6),10*((IF('Advanced Entry'!E$5="Logarithm",LN(0.001+'Advanced Entry'!E198),IF('Advanced Entry'!E$5="Exponential",EXP('Advanced Entry'!E198),'Advanced Entry'!E198)))-'Advanced Entry'!E$6)/('Advanced Entry'!E$7-'Advanced Entry'!E$6)),1))),"No data"))</f>
        <v/>
      </c>
      <c r="F198" s="17">
        <f>IF('Advanced Entry'!F198="","",IFERROR(MAX(0,MIN(10,ROUND(IF('Advanced Entry'!F$8="Decrease Risk",10-10*((IF('Advanced Entry'!F$5="Logarithm",LN(0.001+'Advanced Entry'!F198),IF('Advanced Entry'!F$5="Exponential",EXP('Advanced Entry'!F198),'Advanced Entry'!F198)))-'Advanced Entry'!F$6)/('Advanced Entry'!F$7-'Advanced Entry'!F$6),10*((IF('Advanced Entry'!F$5="Logarithm",LN(0.001+'Advanced Entry'!F198),IF('Advanced Entry'!F$5="Exponential",EXP('Advanced Entry'!F198),'Advanced Entry'!F198)))-'Advanced Entry'!F$6)/('Advanced Entry'!F$7-'Advanced Entry'!F$6)),1))),"No data"))</f>
        <v/>
      </c>
      <c r="G198" s="17">
        <f>IF('Advanced Entry'!G198="","",IFERROR(MAX(0,MIN(10,ROUND(IF('Advanced Entry'!G$8="Decrease Risk",10-10*((IF('Advanced Entry'!G$5="Logarithm",LN(0.001+'Advanced Entry'!G198),IF('Advanced Entry'!G$5="Exponential",EXP('Advanced Entry'!G198),'Advanced Entry'!G198)))-'Advanced Entry'!G$6)/('Advanced Entry'!G$7-'Advanced Entry'!G$6),10*((IF('Advanced Entry'!G$5="Logarithm",LN(0.001+'Advanced Entry'!G198),IF('Advanced Entry'!G$5="Exponential",EXP('Advanced Entry'!G198),'Advanced Entry'!G198)))-'Advanced Entry'!G$6)/('Advanced Entry'!G$7-'Advanced Entry'!G$6)),1))),"No data"))</f>
        <v/>
      </c>
      <c r="H198" s="17">
        <f>IF('Advanced Entry'!H198="","",IFERROR(MAX(0,MIN(10,ROUND(IF('Advanced Entry'!H$8="Decrease Risk",10-10*((IF('Advanced Entry'!H$5="Logarithm",LN(0.001+'Advanced Entry'!H198),IF('Advanced Entry'!H$5="Exponential",EXP('Advanced Entry'!H198),'Advanced Entry'!H198)))-'Advanced Entry'!H$6)/('Advanced Entry'!H$7-'Advanced Entry'!H$6),10*((IF('Advanced Entry'!H$5="Logarithm",LN(0.001+'Advanced Entry'!H198),IF('Advanced Entry'!H$5="Exponential",EXP('Advanced Entry'!H198),'Advanced Entry'!H198)))-'Advanced Entry'!H$6)/('Advanced Entry'!H$7-'Advanced Entry'!H$6)),1))),"No data"))</f>
        <v/>
      </c>
      <c r="I198" s="17">
        <f>IF('Advanced Entry'!I198="","",IFERROR(MAX(0,MIN(10,ROUND(IF('Advanced Entry'!I$8="Decrease Risk",10-10*((IF('Advanced Entry'!I$5="Logarithm",LN(0.001+'Advanced Entry'!I198),IF('Advanced Entry'!I$5="Exponential",EXP('Advanced Entry'!I198),'Advanced Entry'!I198)))-'Advanced Entry'!I$6)/('Advanced Entry'!I$7-'Advanced Entry'!I$6),10*((IF('Advanced Entry'!I$5="Logarithm",LN(0.001+'Advanced Entry'!I198),IF('Advanced Entry'!I$5="Exponential",EXP('Advanced Entry'!I198),'Advanced Entry'!I198)))-'Advanced Entry'!I$6)/('Advanced Entry'!I$7-'Advanced Entry'!I$6)),1))),"No data"))</f>
        <v/>
      </c>
      <c r="J198" s="17">
        <f>IF('Advanced Entry'!J198="","",IFERROR(MAX(0,MIN(10,ROUND(IF('Advanced Entry'!J$8="Decrease Risk",10-10*((IF('Advanced Entry'!J$5="Logarithm",LN(0.001+'Advanced Entry'!J198),IF('Advanced Entry'!J$5="Exponential",EXP('Advanced Entry'!J198),'Advanced Entry'!J198)))-'Advanced Entry'!J$6)/('Advanced Entry'!J$7-'Advanced Entry'!J$6),10*((IF('Advanced Entry'!J$5="Logarithm",LN(0.001+'Advanced Entry'!J198),IF('Advanced Entry'!J$5="Exponential",EXP('Advanced Entry'!J198),'Advanced Entry'!J198)))-'Advanced Entry'!J$6)/('Advanced Entry'!J$7-'Advanced Entry'!J$6)),1))),"No data"))</f>
        <v/>
      </c>
      <c r="K198" s="17">
        <f>IF('Advanced Entry'!K198="","",IFERROR(MAX(0,MIN(10,ROUND(IF('Advanced Entry'!K$8="Decrease Risk",10-10*((IF('Advanced Entry'!K$5="Logarithm",LN(0.001+'Advanced Entry'!K198),IF('Advanced Entry'!K$5="Exponential",EXP('Advanced Entry'!K198),'Advanced Entry'!K198)))-'Advanced Entry'!K$6)/('Advanced Entry'!K$7-'Advanced Entry'!K$6),10*((IF('Advanced Entry'!K$5="Logarithm",LN(0.001+'Advanced Entry'!K198),IF('Advanced Entry'!K$5="Exponential",EXP('Advanced Entry'!K198),'Advanced Entry'!K198)))-'Advanced Entry'!K$6)/('Advanced Entry'!K$7-'Advanced Entry'!K$6)),1))),"No data"))</f>
        <v/>
      </c>
      <c r="L198" s="17">
        <f>IF('Advanced Entry'!L198="","",IFERROR(MAX(0,MIN(10,ROUND(IF('Advanced Entry'!L$8="Decrease Risk",10-10*((IF('Advanced Entry'!L$5="Logarithm",LN(0.001+'Advanced Entry'!L198),IF('Advanced Entry'!L$5="Exponential",EXP('Advanced Entry'!L198),'Advanced Entry'!L198)))-'Advanced Entry'!L$6)/('Advanced Entry'!L$7-'Advanced Entry'!L$6),10*((IF('Advanced Entry'!L$5="Logarithm",LN(0.001+'Advanced Entry'!L198),IF('Advanced Entry'!L$5="Exponential",EXP('Advanced Entry'!L198),'Advanced Entry'!L198)))-'Advanced Entry'!L$6)/('Advanced Entry'!L$7-'Advanced Entry'!L$6)),1))),"No data"))</f>
        <v/>
      </c>
      <c r="M198" s="17">
        <f>IF('Advanced Entry'!M198="","",IFERROR(MAX(0,MIN(10,ROUND(IF('Advanced Entry'!M$8="Decrease Risk",10-10*((IF('Advanced Entry'!M$5="Logarithm",LN(0.001+'Advanced Entry'!M198),IF('Advanced Entry'!M$5="Exponential",EXP('Advanced Entry'!M198),'Advanced Entry'!M198)))-'Advanced Entry'!M$6)/('Advanced Entry'!M$7-'Advanced Entry'!M$6),10*((IF('Advanced Entry'!M$5="Logarithm",LN(0.001+'Advanced Entry'!M198),IF('Advanced Entry'!M$5="Exponential",EXP('Advanced Entry'!M198),'Advanced Entry'!M198)))-'Advanced Entry'!M$6)/('Advanced Entry'!M$7-'Advanced Entry'!M$6)),1))),"No data"))</f>
        <v/>
      </c>
      <c r="N198" s="17">
        <f>IF('Advanced Entry'!N198="","",IFERROR(MAX(0,MIN(10,ROUND(IF('Advanced Entry'!N$8="Decrease Risk",10-10*((IF('Advanced Entry'!N$5="Logarithm",LN(0.001+'Advanced Entry'!N198),IF('Advanced Entry'!N$5="Exponential",EXP('Advanced Entry'!N198),'Advanced Entry'!N198)))-'Advanced Entry'!N$6)/('Advanced Entry'!N$7-'Advanced Entry'!N$6),10*((IF('Advanced Entry'!N$5="Logarithm",LN(0.001+'Advanced Entry'!N198),IF('Advanced Entry'!N$5="Exponential",EXP('Advanced Entry'!N198),'Advanced Entry'!N198)))-'Advanced Entry'!N$6)/('Advanced Entry'!N$7-'Advanced Entry'!N$6)),1))),"No data"))</f>
        <v/>
      </c>
      <c r="O198" s="17">
        <f>IF('Advanced Entry'!O198="","",IFERROR(MAX(0,MIN(10,ROUND(IF('Advanced Entry'!O$8="Decrease Risk",10-10*((IF('Advanced Entry'!O$5="Logarithm",LN(0.001+'Advanced Entry'!O198),IF('Advanced Entry'!O$5="Exponential",EXP('Advanced Entry'!O198),'Advanced Entry'!O198)))-'Advanced Entry'!O$6)/('Advanced Entry'!O$7-'Advanced Entry'!O$6),10*((IF('Advanced Entry'!O$5="Logarithm",LN(0.001+'Advanced Entry'!O198),IF('Advanced Entry'!O$5="Exponential",EXP('Advanced Entry'!O198),'Advanced Entry'!O198)))-'Advanced Entry'!O$6)/('Advanced Entry'!O$7-'Advanced Entry'!O$6)),1))),"No data"))</f>
        <v/>
      </c>
      <c r="P198" s="17">
        <f>IF('Advanced Entry'!P198="","",IFERROR(MAX(0,MIN(10,ROUND(IF('Advanced Entry'!P$8="Decrease Risk",10-10*((IF('Advanced Entry'!P$5="Logarithm",LN(0.001+'Advanced Entry'!P198),IF('Advanced Entry'!P$5="Exponential",EXP('Advanced Entry'!P198),'Advanced Entry'!P198)))-'Advanced Entry'!P$6)/('Advanced Entry'!P$7-'Advanced Entry'!P$6),10*((IF('Advanced Entry'!P$5="Logarithm",LN(0.001+'Advanced Entry'!P198),IF('Advanced Entry'!P$5="Exponential",EXP('Advanced Entry'!P198),'Advanced Entry'!P198)))-'Advanced Entry'!P$6)/('Advanced Entry'!P$7-'Advanced Entry'!P$6)),1))),"No data"))</f>
        <v/>
      </c>
      <c r="Q198" s="17">
        <f>IF('Advanced Entry'!Q198="","",IFERROR(MAX(0,MIN(10,ROUND(IF('Advanced Entry'!Q$8="Decrease Risk",10-10*((IF('Advanced Entry'!Q$5="Logarithm",LN(0.001+'Advanced Entry'!Q198),IF('Advanced Entry'!Q$5="Exponential",EXP('Advanced Entry'!Q198),'Advanced Entry'!Q198)))-'Advanced Entry'!Q$6)/('Advanced Entry'!Q$7-'Advanced Entry'!Q$6),10*((IF('Advanced Entry'!Q$5="Logarithm",LN(0.001+'Advanced Entry'!Q198),IF('Advanced Entry'!Q$5="Exponential",EXP('Advanced Entry'!Q198),'Advanced Entry'!Q198)))-'Advanced Entry'!Q$6)/('Advanced Entry'!Q$7-'Advanced Entry'!Q$6)),1))),"No data"))</f>
        <v/>
      </c>
      <c r="R198" s="17">
        <f>IF('Advanced Entry'!R198="","",IFERROR(MAX(0,MIN(10,ROUND(IF('Advanced Entry'!R$8="Decrease Risk",10-10*((IF('Advanced Entry'!R$5="Logarithm",LN(0.001+'Advanced Entry'!R198),IF('Advanced Entry'!R$5="Exponential",EXP('Advanced Entry'!R198),'Advanced Entry'!R198)))-'Advanced Entry'!R$6)/('Advanced Entry'!R$7-'Advanced Entry'!R$6),10*((IF('Advanced Entry'!R$5="Logarithm",LN(0.001+'Advanced Entry'!R198),IF('Advanced Entry'!R$5="Exponential",EXP('Advanced Entry'!R198),'Advanced Entry'!R198)))-'Advanced Entry'!R$6)/('Advanced Entry'!R$7-'Advanced Entry'!R$6)),1))),"No data"))</f>
        <v/>
      </c>
      <c r="S198" s="17">
        <f>IF('Advanced Entry'!S198="","",IFERROR(MAX(0,MIN(10,ROUND(IF('Advanced Entry'!S$8="Decrease Risk",10-10*((IF('Advanced Entry'!S$5="Logarithm",LN(0.001+'Advanced Entry'!S198),IF('Advanced Entry'!S$5="Exponential",EXP('Advanced Entry'!S198),'Advanced Entry'!S198)))-'Advanced Entry'!S$6)/('Advanced Entry'!S$7-'Advanced Entry'!S$6),10*((IF('Advanced Entry'!S$5="Logarithm",LN(0.001+'Advanced Entry'!S198),IF('Advanced Entry'!S$5="Exponential",EXP('Advanced Entry'!S198),'Advanced Entry'!S198)))-'Advanced Entry'!S$6)/('Advanced Entry'!S$7-'Advanced Entry'!S$6)),1))),"No data"))</f>
        <v/>
      </c>
      <c r="T198" s="17">
        <f>IF('Advanced Entry'!T198="","",IFERROR(MAX(0,MIN(10,ROUND(IF('Advanced Entry'!T$8="Decrease Risk",10-10*((IF('Advanced Entry'!T$5="Logarithm",LN(0.001+'Advanced Entry'!T198),IF('Advanced Entry'!T$5="Exponential",EXP('Advanced Entry'!T198),'Advanced Entry'!T198)))-'Advanced Entry'!T$6)/('Advanced Entry'!T$7-'Advanced Entry'!T$6),10*((IF('Advanced Entry'!T$5="Logarithm",LN(0.001+'Advanced Entry'!T198),IF('Advanced Entry'!T$5="Exponential",EXP('Advanced Entry'!T198),'Advanced Entry'!T198)))-'Advanced Entry'!T$6)/('Advanced Entry'!T$7-'Advanced Entry'!T$6)),1))),"No data"))</f>
        <v/>
      </c>
      <c r="U198" s="17">
        <f>IF('Advanced Entry'!U198="","",IFERROR(MAX(0,MIN(10,ROUND(IF('Advanced Entry'!U$8="Decrease Risk",10-10*((IF('Advanced Entry'!U$5="Logarithm",LN(0.001+'Advanced Entry'!U198),IF('Advanced Entry'!U$5="Exponential",EXP('Advanced Entry'!U198),'Advanced Entry'!U198)))-'Advanced Entry'!U$6)/('Advanced Entry'!U$7-'Advanced Entry'!U$6),10*((IF('Advanced Entry'!U$5="Logarithm",LN(0.001+'Advanced Entry'!U198),IF('Advanced Entry'!U$5="Exponential",EXP('Advanced Entry'!U198),'Advanced Entry'!U198)))-'Advanced Entry'!U$6)/('Advanced Entry'!U$7-'Advanced Entry'!U$6)),1))),"No data"))</f>
        <v/>
      </c>
      <c r="V198" s="17">
        <f>IF('Advanced Entry'!V198="","",IFERROR(MAX(0,MIN(10,ROUND(IF('Advanced Entry'!V$8="Decrease Risk",10-10*((IF('Advanced Entry'!V$5="Logarithm",LN(0.001+'Advanced Entry'!V198),IF('Advanced Entry'!V$5="Exponential",EXP('Advanced Entry'!V198),'Advanced Entry'!V198)))-'Advanced Entry'!V$6)/('Advanced Entry'!V$7-'Advanced Entry'!V$6),10*((IF('Advanced Entry'!V$5="Logarithm",LN(0.001+'Advanced Entry'!V198),IF('Advanced Entry'!V$5="Exponential",EXP('Advanced Entry'!V198),'Advanced Entry'!V198)))-'Advanced Entry'!V$6)/('Advanced Entry'!V$7-'Advanced Entry'!V$6)),1))),"No data"))</f>
        <v/>
      </c>
      <c r="W198" s="17">
        <f>IF('Advanced Entry'!W198="","",IFERROR(MAX(0,MIN(10,ROUND(IF('Advanced Entry'!W$8="Decrease Risk",10-10*((IF('Advanced Entry'!W$5="Logarithm",LN(0.001+'Advanced Entry'!W198),IF('Advanced Entry'!W$5="Exponential",EXP('Advanced Entry'!W198),'Advanced Entry'!W198)))-'Advanced Entry'!W$6)/('Advanced Entry'!W$7-'Advanced Entry'!W$6),10*((IF('Advanced Entry'!W$5="Logarithm",LN(0.001+'Advanced Entry'!W198),IF('Advanced Entry'!W$5="Exponential",EXP('Advanced Entry'!W198),'Advanced Entry'!W198)))-'Advanced Entry'!W$6)/('Advanced Entry'!W$7-'Advanced Entry'!W$6)),1))),"No data"))</f>
        <v/>
      </c>
      <c r="X198" s="17">
        <f>IF('Advanced Entry'!X198="","",IFERROR(MAX(0,MIN(10,ROUND(IF('Advanced Entry'!X$8="Decrease Risk",10-10*((IF('Advanced Entry'!X$5="Logarithm",LN(0.001+'Advanced Entry'!X198),IF('Advanced Entry'!X$5="Exponential",EXP('Advanced Entry'!X198),'Advanced Entry'!X198)))-'Advanced Entry'!X$6)/('Advanced Entry'!X$7-'Advanced Entry'!X$6),10*((IF('Advanced Entry'!X$5="Logarithm",LN(0.001+'Advanced Entry'!X198),IF('Advanced Entry'!X$5="Exponential",EXP('Advanced Entry'!X198),'Advanced Entry'!X198)))-'Advanced Entry'!X$6)/('Advanced Entry'!X$7-'Advanced Entry'!X$6)),1))),"No data"))</f>
        <v/>
      </c>
      <c r="Y198" s="17">
        <f>IF('Advanced Entry'!Y198="","",IFERROR(MAX(0,MIN(10,ROUND(IF('Advanced Entry'!Y$8="Decrease Risk",10-10*((IF('Advanced Entry'!Y$5="Logarithm",LN(0.001+'Advanced Entry'!Y198),IF('Advanced Entry'!Y$5="Exponential",EXP('Advanced Entry'!Y198),'Advanced Entry'!Y198)))-'Advanced Entry'!Y$6)/('Advanced Entry'!Y$7-'Advanced Entry'!Y$6),10*((IF('Advanced Entry'!Y$5="Logarithm",LN(0.001+'Advanced Entry'!Y198),IF('Advanced Entry'!Y$5="Exponential",EXP('Advanced Entry'!Y198),'Advanced Entry'!Y198)))-'Advanced Entry'!Y$6)/('Advanced Entry'!Y$7-'Advanced Entry'!Y$6)),1))),"No data"))</f>
        <v/>
      </c>
      <c r="Z198" s="17">
        <f>IF('Advanced Entry'!Z198="","",IFERROR(MAX(0,MIN(10,ROUND(IF('Advanced Entry'!Z$8="Decrease Risk",10-10*((IF('Advanced Entry'!Z$5="Logarithm",LN(0.001+'Advanced Entry'!Z198),IF('Advanced Entry'!Z$5="Exponential",EXP('Advanced Entry'!Z198),'Advanced Entry'!Z198)))-'Advanced Entry'!Z$6)/('Advanced Entry'!Z$7-'Advanced Entry'!Z$6),10*((IF('Advanced Entry'!Z$5="Logarithm",LN(0.001+'Advanced Entry'!Z198),IF('Advanced Entry'!Z$5="Exponential",EXP('Advanced Entry'!Z198),'Advanced Entry'!Z198)))-'Advanced Entry'!Z$6)/('Advanced Entry'!Z$7-'Advanced Entry'!Z$6)),1))),"No data"))</f>
        <v/>
      </c>
      <c r="AA198" s="17">
        <f>IF('Advanced Entry'!AA198="","",IFERROR(MAX(0,MIN(10,ROUND(IF('Advanced Entry'!AA$8="Decrease Risk",10-10*((IF('Advanced Entry'!AA$5="Logarithm",LN(0.001+'Advanced Entry'!AA198),IF('Advanced Entry'!AA$5="Exponential",EXP('Advanced Entry'!AA198),'Advanced Entry'!AA198)))-'Advanced Entry'!AA$6)/('Advanced Entry'!AA$7-'Advanced Entry'!AA$6),10*((IF('Advanced Entry'!AA$5="Logarithm",LN(0.001+'Advanced Entry'!AA198),IF('Advanced Entry'!AA$5="Exponential",EXP('Advanced Entry'!AA198),'Advanced Entry'!AA198)))-'Advanced Entry'!AA$6)/('Advanced Entry'!AA$7-'Advanced Entry'!AA$6)),1))),"No data"))</f>
        <v/>
      </c>
      <c r="AB198" s="17">
        <f>IF('Advanced Entry'!AB198="","",IFERROR(MAX(0,MIN(10,ROUND(IF('Advanced Entry'!AB$8="Decrease Risk",10-10*((IF('Advanced Entry'!AB$5="Logarithm",LN(0.001+'Advanced Entry'!AB198),IF('Advanced Entry'!AB$5="Exponential",EXP('Advanced Entry'!AB198),'Advanced Entry'!AB198)))-'Advanced Entry'!AB$6)/('Advanced Entry'!AB$7-'Advanced Entry'!AB$6),10*((IF('Advanced Entry'!AB$5="Logarithm",LN(0.001+'Advanced Entry'!AB198),IF('Advanced Entry'!AB$5="Exponential",EXP('Advanced Entry'!AB198),'Advanced Entry'!AB198)))-'Advanced Entry'!AB$6)/('Advanced Entry'!AB$7-'Advanced Entry'!AB$6)),1))),"No data"))</f>
        <v/>
      </c>
    </row>
    <row r="199">
      <c r="A199" t="inlineStr">
        <is>
          <t>Tanga</t>
        </is>
      </c>
      <c r="B199" t="inlineStr">
        <is>
          <t>Korogwe District</t>
        </is>
      </c>
      <c r="C199" t="inlineStr">
        <is>
          <t>C025</t>
        </is>
      </c>
      <c r="D199" s="17">
        <f>IF('Advanced Entry'!D199="","",IFERROR(MAX(0,MIN(10,ROUND(IF('Advanced Entry'!D$8="Decrease Risk",10-10*((IF('Advanced Entry'!D$5="Logarithm",LN(0.001+'Advanced Entry'!D199),IF('Advanced Entry'!D$5="Exponential",EXP('Advanced Entry'!D199),'Advanced Entry'!D199)))-'Advanced Entry'!D$6)/('Advanced Entry'!D$7-'Advanced Entry'!D$6),10*((IF('Advanced Entry'!D$5="Logarithm",LN(0.001+'Advanced Entry'!D199),IF('Advanced Entry'!D$5="Exponential",EXP('Advanced Entry'!D199),'Advanced Entry'!D199)))-'Advanced Entry'!D$6)/('Advanced Entry'!D$7-'Advanced Entry'!D$6)),1))),"No data"))</f>
        <v/>
      </c>
      <c r="E199" s="17">
        <f>IF('Advanced Entry'!E199="","",IFERROR(MAX(0,MIN(10,ROUND(IF('Advanced Entry'!E$8="Decrease Risk",10-10*((IF('Advanced Entry'!E$5="Logarithm",LN(0.001+'Advanced Entry'!E199),IF('Advanced Entry'!E$5="Exponential",EXP('Advanced Entry'!E199),'Advanced Entry'!E199)))-'Advanced Entry'!E$6)/('Advanced Entry'!E$7-'Advanced Entry'!E$6),10*((IF('Advanced Entry'!E$5="Logarithm",LN(0.001+'Advanced Entry'!E199),IF('Advanced Entry'!E$5="Exponential",EXP('Advanced Entry'!E199),'Advanced Entry'!E199)))-'Advanced Entry'!E$6)/('Advanced Entry'!E$7-'Advanced Entry'!E$6)),1))),"No data"))</f>
        <v/>
      </c>
      <c r="F199" s="17">
        <f>IF('Advanced Entry'!F199="","",IFERROR(MAX(0,MIN(10,ROUND(IF('Advanced Entry'!F$8="Decrease Risk",10-10*((IF('Advanced Entry'!F$5="Logarithm",LN(0.001+'Advanced Entry'!F199),IF('Advanced Entry'!F$5="Exponential",EXP('Advanced Entry'!F199),'Advanced Entry'!F199)))-'Advanced Entry'!F$6)/('Advanced Entry'!F$7-'Advanced Entry'!F$6),10*((IF('Advanced Entry'!F$5="Logarithm",LN(0.001+'Advanced Entry'!F199),IF('Advanced Entry'!F$5="Exponential",EXP('Advanced Entry'!F199),'Advanced Entry'!F199)))-'Advanced Entry'!F$6)/('Advanced Entry'!F$7-'Advanced Entry'!F$6)),1))),"No data"))</f>
        <v/>
      </c>
      <c r="G199" s="17">
        <f>IF('Advanced Entry'!G199="","",IFERROR(MAX(0,MIN(10,ROUND(IF('Advanced Entry'!G$8="Decrease Risk",10-10*((IF('Advanced Entry'!G$5="Logarithm",LN(0.001+'Advanced Entry'!G199),IF('Advanced Entry'!G$5="Exponential",EXP('Advanced Entry'!G199),'Advanced Entry'!G199)))-'Advanced Entry'!G$6)/('Advanced Entry'!G$7-'Advanced Entry'!G$6),10*((IF('Advanced Entry'!G$5="Logarithm",LN(0.001+'Advanced Entry'!G199),IF('Advanced Entry'!G$5="Exponential",EXP('Advanced Entry'!G199),'Advanced Entry'!G199)))-'Advanced Entry'!G$6)/('Advanced Entry'!G$7-'Advanced Entry'!G$6)),1))),"No data"))</f>
        <v/>
      </c>
      <c r="H199" s="17">
        <f>IF('Advanced Entry'!H199="","",IFERROR(MAX(0,MIN(10,ROUND(IF('Advanced Entry'!H$8="Decrease Risk",10-10*((IF('Advanced Entry'!H$5="Logarithm",LN(0.001+'Advanced Entry'!H199),IF('Advanced Entry'!H$5="Exponential",EXP('Advanced Entry'!H199),'Advanced Entry'!H199)))-'Advanced Entry'!H$6)/('Advanced Entry'!H$7-'Advanced Entry'!H$6),10*((IF('Advanced Entry'!H$5="Logarithm",LN(0.001+'Advanced Entry'!H199),IF('Advanced Entry'!H$5="Exponential",EXP('Advanced Entry'!H199),'Advanced Entry'!H199)))-'Advanced Entry'!H$6)/('Advanced Entry'!H$7-'Advanced Entry'!H$6)),1))),"No data"))</f>
        <v/>
      </c>
      <c r="I199" s="17">
        <f>IF('Advanced Entry'!I199="","",IFERROR(MAX(0,MIN(10,ROUND(IF('Advanced Entry'!I$8="Decrease Risk",10-10*((IF('Advanced Entry'!I$5="Logarithm",LN(0.001+'Advanced Entry'!I199),IF('Advanced Entry'!I$5="Exponential",EXP('Advanced Entry'!I199),'Advanced Entry'!I199)))-'Advanced Entry'!I$6)/('Advanced Entry'!I$7-'Advanced Entry'!I$6),10*((IF('Advanced Entry'!I$5="Logarithm",LN(0.001+'Advanced Entry'!I199),IF('Advanced Entry'!I$5="Exponential",EXP('Advanced Entry'!I199),'Advanced Entry'!I199)))-'Advanced Entry'!I$6)/('Advanced Entry'!I$7-'Advanced Entry'!I$6)),1))),"No data"))</f>
        <v/>
      </c>
      <c r="J199" s="17">
        <f>IF('Advanced Entry'!J199="","",IFERROR(MAX(0,MIN(10,ROUND(IF('Advanced Entry'!J$8="Decrease Risk",10-10*((IF('Advanced Entry'!J$5="Logarithm",LN(0.001+'Advanced Entry'!J199),IF('Advanced Entry'!J$5="Exponential",EXP('Advanced Entry'!J199),'Advanced Entry'!J199)))-'Advanced Entry'!J$6)/('Advanced Entry'!J$7-'Advanced Entry'!J$6),10*((IF('Advanced Entry'!J$5="Logarithm",LN(0.001+'Advanced Entry'!J199),IF('Advanced Entry'!J$5="Exponential",EXP('Advanced Entry'!J199),'Advanced Entry'!J199)))-'Advanced Entry'!J$6)/('Advanced Entry'!J$7-'Advanced Entry'!J$6)),1))),"No data"))</f>
        <v/>
      </c>
      <c r="K199" s="17">
        <f>IF('Advanced Entry'!K199="","",IFERROR(MAX(0,MIN(10,ROUND(IF('Advanced Entry'!K$8="Decrease Risk",10-10*((IF('Advanced Entry'!K$5="Logarithm",LN(0.001+'Advanced Entry'!K199),IF('Advanced Entry'!K$5="Exponential",EXP('Advanced Entry'!K199),'Advanced Entry'!K199)))-'Advanced Entry'!K$6)/('Advanced Entry'!K$7-'Advanced Entry'!K$6),10*((IF('Advanced Entry'!K$5="Logarithm",LN(0.001+'Advanced Entry'!K199),IF('Advanced Entry'!K$5="Exponential",EXP('Advanced Entry'!K199),'Advanced Entry'!K199)))-'Advanced Entry'!K$6)/('Advanced Entry'!K$7-'Advanced Entry'!K$6)),1))),"No data"))</f>
        <v/>
      </c>
      <c r="L199" s="17">
        <f>IF('Advanced Entry'!L199="","",IFERROR(MAX(0,MIN(10,ROUND(IF('Advanced Entry'!L$8="Decrease Risk",10-10*((IF('Advanced Entry'!L$5="Logarithm",LN(0.001+'Advanced Entry'!L199),IF('Advanced Entry'!L$5="Exponential",EXP('Advanced Entry'!L199),'Advanced Entry'!L199)))-'Advanced Entry'!L$6)/('Advanced Entry'!L$7-'Advanced Entry'!L$6),10*((IF('Advanced Entry'!L$5="Logarithm",LN(0.001+'Advanced Entry'!L199),IF('Advanced Entry'!L$5="Exponential",EXP('Advanced Entry'!L199),'Advanced Entry'!L199)))-'Advanced Entry'!L$6)/('Advanced Entry'!L$7-'Advanced Entry'!L$6)),1))),"No data"))</f>
        <v/>
      </c>
      <c r="M199" s="17">
        <f>IF('Advanced Entry'!M199="","",IFERROR(MAX(0,MIN(10,ROUND(IF('Advanced Entry'!M$8="Decrease Risk",10-10*((IF('Advanced Entry'!M$5="Logarithm",LN(0.001+'Advanced Entry'!M199),IF('Advanced Entry'!M$5="Exponential",EXP('Advanced Entry'!M199),'Advanced Entry'!M199)))-'Advanced Entry'!M$6)/('Advanced Entry'!M$7-'Advanced Entry'!M$6),10*((IF('Advanced Entry'!M$5="Logarithm",LN(0.001+'Advanced Entry'!M199),IF('Advanced Entry'!M$5="Exponential",EXP('Advanced Entry'!M199),'Advanced Entry'!M199)))-'Advanced Entry'!M$6)/('Advanced Entry'!M$7-'Advanced Entry'!M$6)),1))),"No data"))</f>
        <v/>
      </c>
      <c r="N199" s="17">
        <f>IF('Advanced Entry'!N199="","",IFERROR(MAX(0,MIN(10,ROUND(IF('Advanced Entry'!N$8="Decrease Risk",10-10*((IF('Advanced Entry'!N$5="Logarithm",LN(0.001+'Advanced Entry'!N199),IF('Advanced Entry'!N$5="Exponential",EXP('Advanced Entry'!N199),'Advanced Entry'!N199)))-'Advanced Entry'!N$6)/('Advanced Entry'!N$7-'Advanced Entry'!N$6),10*((IF('Advanced Entry'!N$5="Logarithm",LN(0.001+'Advanced Entry'!N199),IF('Advanced Entry'!N$5="Exponential",EXP('Advanced Entry'!N199),'Advanced Entry'!N199)))-'Advanced Entry'!N$6)/('Advanced Entry'!N$7-'Advanced Entry'!N$6)),1))),"No data"))</f>
        <v/>
      </c>
      <c r="O199" s="17">
        <f>IF('Advanced Entry'!O199="","",IFERROR(MAX(0,MIN(10,ROUND(IF('Advanced Entry'!O$8="Decrease Risk",10-10*((IF('Advanced Entry'!O$5="Logarithm",LN(0.001+'Advanced Entry'!O199),IF('Advanced Entry'!O$5="Exponential",EXP('Advanced Entry'!O199),'Advanced Entry'!O199)))-'Advanced Entry'!O$6)/('Advanced Entry'!O$7-'Advanced Entry'!O$6),10*((IF('Advanced Entry'!O$5="Logarithm",LN(0.001+'Advanced Entry'!O199),IF('Advanced Entry'!O$5="Exponential",EXP('Advanced Entry'!O199),'Advanced Entry'!O199)))-'Advanced Entry'!O$6)/('Advanced Entry'!O$7-'Advanced Entry'!O$6)),1))),"No data"))</f>
        <v/>
      </c>
      <c r="P199" s="17">
        <f>IF('Advanced Entry'!P199="","",IFERROR(MAX(0,MIN(10,ROUND(IF('Advanced Entry'!P$8="Decrease Risk",10-10*((IF('Advanced Entry'!P$5="Logarithm",LN(0.001+'Advanced Entry'!P199),IF('Advanced Entry'!P$5="Exponential",EXP('Advanced Entry'!P199),'Advanced Entry'!P199)))-'Advanced Entry'!P$6)/('Advanced Entry'!P$7-'Advanced Entry'!P$6),10*((IF('Advanced Entry'!P$5="Logarithm",LN(0.001+'Advanced Entry'!P199),IF('Advanced Entry'!P$5="Exponential",EXP('Advanced Entry'!P199),'Advanced Entry'!P199)))-'Advanced Entry'!P$6)/('Advanced Entry'!P$7-'Advanced Entry'!P$6)),1))),"No data"))</f>
        <v/>
      </c>
      <c r="Q199" s="17">
        <f>IF('Advanced Entry'!Q199="","",IFERROR(MAX(0,MIN(10,ROUND(IF('Advanced Entry'!Q$8="Decrease Risk",10-10*((IF('Advanced Entry'!Q$5="Logarithm",LN(0.001+'Advanced Entry'!Q199),IF('Advanced Entry'!Q$5="Exponential",EXP('Advanced Entry'!Q199),'Advanced Entry'!Q199)))-'Advanced Entry'!Q$6)/('Advanced Entry'!Q$7-'Advanced Entry'!Q$6),10*((IF('Advanced Entry'!Q$5="Logarithm",LN(0.001+'Advanced Entry'!Q199),IF('Advanced Entry'!Q$5="Exponential",EXP('Advanced Entry'!Q199),'Advanced Entry'!Q199)))-'Advanced Entry'!Q$6)/('Advanced Entry'!Q$7-'Advanced Entry'!Q$6)),1))),"No data"))</f>
        <v/>
      </c>
      <c r="R199" s="17">
        <f>IF('Advanced Entry'!R199="","",IFERROR(MAX(0,MIN(10,ROUND(IF('Advanced Entry'!R$8="Decrease Risk",10-10*((IF('Advanced Entry'!R$5="Logarithm",LN(0.001+'Advanced Entry'!R199),IF('Advanced Entry'!R$5="Exponential",EXP('Advanced Entry'!R199),'Advanced Entry'!R199)))-'Advanced Entry'!R$6)/('Advanced Entry'!R$7-'Advanced Entry'!R$6),10*((IF('Advanced Entry'!R$5="Logarithm",LN(0.001+'Advanced Entry'!R199),IF('Advanced Entry'!R$5="Exponential",EXP('Advanced Entry'!R199),'Advanced Entry'!R199)))-'Advanced Entry'!R$6)/('Advanced Entry'!R$7-'Advanced Entry'!R$6)),1))),"No data"))</f>
        <v/>
      </c>
      <c r="S199" s="17">
        <f>IF('Advanced Entry'!S199="","",IFERROR(MAX(0,MIN(10,ROUND(IF('Advanced Entry'!S$8="Decrease Risk",10-10*((IF('Advanced Entry'!S$5="Logarithm",LN(0.001+'Advanced Entry'!S199),IF('Advanced Entry'!S$5="Exponential",EXP('Advanced Entry'!S199),'Advanced Entry'!S199)))-'Advanced Entry'!S$6)/('Advanced Entry'!S$7-'Advanced Entry'!S$6),10*((IF('Advanced Entry'!S$5="Logarithm",LN(0.001+'Advanced Entry'!S199),IF('Advanced Entry'!S$5="Exponential",EXP('Advanced Entry'!S199),'Advanced Entry'!S199)))-'Advanced Entry'!S$6)/('Advanced Entry'!S$7-'Advanced Entry'!S$6)),1))),"No data"))</f>
        <v/>
      </c>
      <c r="T199" s="17">
        <f>IF('Advanced Entry'!T199="","",IFERROR(MAX(0,MIN(10,ROUND(IF('Advanced Entry'!T$8="Decrease Risk",10-10*((IF('Advanced Entry'!T$5="Logarithm",LN(0.001+'Advanced Entry'!T199),IF('Advanced Entry'!T$5="Exponential",EXP('Advanced Entry'!T199),'Advanced Entry'!T199)))-'Advanced Entry'!T$6)/('Advanced Entry'!T$7-'Advanced Entry'!T$6),10*((IF('Advanced Entry'!T$5="Logarithm",LN(0.001+'Advanced Entry'!T199),IF('Advanced Entry'!T$5="Exponential",EXP('Advanced Entry'!T199),'Advanced Entry'!T199)))-'Advanced Entry'!T$6)/('Advanced Entry'!T$7-'Advanced Entry'!T$6)),1))),"No data"))</f>
        <v/>
      </c>
      <c r="U199" s="17">
        <f>IF('Advanced Entry'!U199="","",IFERROR(MAX(0,MIN(10,ROUND(IF('Advanced Entry'!U$8="Decrease Risk",10-10*((IF('Advanced Entry'!U$5="Logarithm",LN(0.001+'Advanced Entry'!U199),IF('Advanced Entry'!U$5="Exponential",EXP('Advanced Entry'!U199),'Advanced Entry'!U199)))-'Advanced Entry'!U$6)/('Advanced Entry'!U$7-'Advanced Entry'!U$6),10*((IF('Advanced Entry'!U$5="Logarithm",LN(0.001+'Advanced Entry'!U199),IF('Advanced Entry'!U$5="Exponential",EXP('Advanced Entry'!U199),'Advanced Entry'!U199)))-'Advanced Entry'!U$6)/('Advanced Entry'!U$7-'Advanced Entry'!U$6)),1))),"No data"))</f>
        <v/>
      </c>
      <c r="V199" s="17">
        <f>IF('Advanced Entry'!V199="","",IFERROR(MAX(0,MIN(10,ROUND(IF('Advanced Entry'!V$8="Decrease Risk",10-10*((IF('Advanced Entry'!V$5="Logarithm",LN(0.001+'Advanced Entry'!V199),IF('Advanced Entry'!V$5="Exponential",EXP('Advanced Entry'!V199),'Advanced Entry'!V199)))-'Advanced Entry'!V$6)/('Advanced Entry'!V$7-'Advanced Entry'!V$6),10*((IF('Advanced Entry'!V$5="Logarithm",LN(0.001+'Advanced Entry'!V199),IF('Advanced Entry'!V$5="Exponential",EXP('Advanced Entry'!V199),'Advanced Entry'!V199)))-'Advanced Entry'!V$6)/('Advanced Entry'!V$7-'Advanced Entry'!V$6)),1))),"No data"))</f>
        <v/>
      </c>
      <c r="W199" s="17">
        <f>IF('Advanced Entry'!W199="","",IFERROR(MAX(0,MIN(10,ROUND(IF('Advanced Entry'!W$8="Decrease Risk",10-10*((IF('Advanced Entry'!W$5="Logarithm",LN(0.001+'Advanced Entry'!W199),IF('Advanced Entry'!W$5="Exponential",EXP('Advanced Entry'!W199),'Advanced Entry'!W199)))-'Advanced Entry'!W$6)/('Advanced Entry'!W$7-'Advanced Entry'!W$6),10*((IF('Advanced Entry'!W$5="Logarithm",LN(0.001+'Advanced Entry'!W199),IF('Advanced Entry'!W$5="Exponential",EXP('Advanced Entry'!W199),'Advanced Entry'!W199)))-'Advanced Entry'!W$6)/('Advanced Entry'!W$7-'Advanced Entry'!W$6)),1))),"No data"))</f>
        <v/>
      </c>
      <c r="X199" s="17">
        <f>IF('Advanced Entry'!X199="","",IFERROR(MAX(0,MIN(10,ROUND(IF('Advanced Entry'!X$8="Decrease Risk",10-10*((IF('Advanced Entry'!X$5="Logarithm",LN(0.001+'Advanced Entry'!X199),IF('Advanced Entry'!X$5="Exponential",EXP('Advanced Entry'!X199),'Advanced Entry'!X199)))-'Advanced Entry'!X$6)/('Advanced Entry'!X$7-'Advanced Entry'!X$6),10*((IF('Advanced Entry'!X$5="Logarithm",LN(0.001+'Advanced Entry'!X199),IF('Advanced Entry'!X$5="Exponential",EXP('Advanced Entry'!X199),'Advanced Entry'!X199)))-'Advanced Entry'!X$6)/('Advanced Entry'!X$7-'Advanced Entry'!X$6)),1))),"No data"))</f>
        <v/>
      </c>
      <c r="Y199" s="17">
        <f>IF('Advanced Entry'!Y199="","",IFERROR(MAX(0,MIN(10,ROUND(IF('Advanced Entry'!Y$8="Decrease Risk",10-10*((IF('Advanced Entry'!Y$5="Logarithm",LN(0.001+'Advanced Entry'!Y199),IF('Advanced Entry'!Y$5="Exponential",EXP('Advanced Entry'!Y199),'Advanced Entry'!Y199)))-'Advanced Entry'!Y$6)/('Advanced Entry'!Y$7-'Advanced Entry'!Y$6),10*((IF('Advanced Entry'!Y$5="Logarithm",LN(0.001+'Advanced Entry'!Y199),IF('Advanced Entry'!Y$5="Exponential",EXP('Advanced Entry'!Y199),'Advanced Entry'!Y199)))-'Advanced Entry'!Y$6)/('Advanced Entry'!Y$7-'Advanced Entry'!Y$6)),1))),"No data"))</f>
        <v/>
      </c>
      <c r="Z199" s="17">
        <f>IF('Advanced Entry'!Z199="","",IFERROR(MAX(0,MIN(10,ROUND(IF('Advanced Entry'!Z$8="Decrease Risk",10-10*((IF('Advanced Entry'!Z$5="Logarithm",LN(0.001+'Advanced Entry'!Z199),IF('Advanced Entry'!Z$5="Exponential",EXP('Advanced Entry'!Z199),'Advanced Entry'!Z199)))-'Advanced Entry'!Z$6)/('Advanced Entry'!Z$7-'Advanced Entry'!Z$6),10*((IF('Advanced Entry'!Z$5="Logarithm",LN(0.001+'Advanced Entry'!Z199),IF('Advanced Entry'!Z$5="Exponential",EXP('Advanced Entry'!Z199),'Advanced Entry'!Z199)))-'Advanced Entry'!Z$6)/('Advanced Entry'!Z$7-'Advanced Entry'!Z$6)),1))),"No data"))</f>
        <v/>
      </c>
      <c r="AA199" s="17">
        <f>IF('Advanced Entry'!AA199="","",IFERROR(MAX(0,MIN(10,ROUND(IF('Advanced Entry'!AA$8="Decrease Risk",10-10*((IF('Advanced Entry'!AA$5="Logarithm",LN(0.001+'Advanced Entry'!AA199),IF('Advanced Entry'!AA$5="Exponential",EXP('Advanced Entry'!AA199),'Advanced Entry'!AA199)))-'Advanced Entry'!AA$6)/('Advanced Entry'!AA$7-'Advanced Entry'!AA$6),10*((IF('Advanced Entry'!AA$5="Logarithm",LN(0.001+'Advanced Entry'!AA199),IF('Advanced Entry'!AA$5="Exponential",EXP('Advanced Entry'!AA199),'Advanced Entry'!AA199)))-'Advanced Entry'!AA$6)/('Advanced Entry'!AA$7-'Advanced Entry'!AA$6)),1))),"No data"))</f>
        <v/>
      </c>
      <c r="AB199" s="17">
        <f>IF('Advanced Entry'!AB199="","",IFERROR(MAX(0,MIN(10,ROUND(IF('Advanced Entry'!AB$8="Decrease Risk",10-10*((IF('Advanced Entry'!AB$5="Logarithm",LN(0.001+'Advanced Entry'!AB199),IF('Advanced Entry'!AB$5="Exponential",EXP('Advanced Entry'!AB199),'Advanced Entry'!AB199)))-'Advanced Entry'!AB$6)/('Advanced Entry'!AB$7-'Advanced Entry'!AB$6),10*((IF('Advanced Entry'!AB$5="Logarithm",LN(0.001+'Advanced Entry'!AB199),IF('Advanced Entry'!AB$5="Exponential",EXP('Advanced Entry'!AB199),'Advanced Entry'!AB199)))-'Advanced Entry'!AB$6)/('Advanced Entry'!AB$7-'Advanced Entry'!AB$6)),1))),"No data"))</f>
        <v/>
      </c>
    </row>
    <row r="200">
      <c r="A200" t="inlineStr">
        <is>
          <t>Tanga</t>
        </is>
      </c>
      <c r="B200" t="inlineStr">
        <is>
          <t>Korogwe Town</t>
        </is>
      </c>
      <c r="C200" t="inlineStr">
        <is>
          <t>C026</t>
        </is>
      </c>
      <c r="D200" s="17">
        <f>IF('Advanced Entry'!D200="","",IFERROR(MAX(0,MIN(10,ROUND(IF('Advanced Entry'!D$8="Decrease Risk",10-10*((IF('Advanced Entry'!D$5="Logarithm",LN(0.001+'Advanced Entry'!D200),IF('Advanced Entry'!D$5="Exponential",EXP('Advanced Entry'!D200),'Advanced Entry'!D200)))-'Advanced Entry'!D$6)/('Advanced Entry'!D$7-'Advanced Entry'!D$6),10*((IF('Advanced Entry'!D$5="Logarithm",LN(0.001+'Advanced Entry'!D200),IF('Advanced Entry'!D$5="Exponential",EXP('Advanced Entry'!D200),'Advanced Entry'!D200)))-'Advanced Entry'!D$6)/('Advanced Entry'!D$7-'Advanced Entry'!D$6)),1))),"No data"))</f>
        <v/>
      </c>
      <c r="E200" s="17">
        <f>IF('Advanced Entry'!E200="","",IFERROR(MAX(0,MIN(10,ROUND(IF('Advanced Entry'!E$8="Decrease Risk",10-10*((IF('Advanced Entry'!E$5="Logarithm",LN(0.001+'Advanced Entry'!E200),IF('Advanced Entry'!E$5="Exponential",EXP('Advanced Entry'!E200),'Advanced Entry'!E200)))-'Advanced Entry'!E$6)/('Advanced Entry'!E$7-'Advanced Entry'!E$6),10*((IF('Advanced Entry'!E$5="Logarithm",LN(0.001+'Advanced Entry'!E200),IF('Advanced Entry'!E$5="Exponential",EXP('Advanced Entry'!E200),'Advanced Entry'!E200)))-'Advanced Entry'!E$6)/('Advanced Entry'!E$7-'Advanced Entry'!E$6)),1))),"No data"))</f>
        <v/>
      </c>
      <c r="F200" s="17">
        <f>IF('Advanced Entry'!F200="","",IFERROR(MAX(0,MIN(10,ROUND(IF('Advanced Entry'!F$8="Decrease Risk",10-10*((IF('Advanced Entry'!F$5="Logarithm",LN(0.001+'Advanced Entry'!F200),IF('Advanced Entry'!F$5="Exponential",EXP('Advanced Entry'!F200),'Advanced Entry'!F200)))-'Advanced Entry'!F$6)/('Advanced Entry'!F$7-'Advanced Entry'!F$6),10*((IF('Advanced Entry'!F$5="Logarithm",LN(0.001+'Advanced Entry'!F200),IF('Advanced Entry'!F$5="Exponential",EXP('Advanced Entry'!F200),'Advanced Entry'!F200)))-'Advanced Entry'!F$6)/('Advanced Entry'!F$7-'Advanced Entry'!F$6)),1))),"No data"))</f>
        <v/>
      </c>
      <c r="G200" s="17">
        <f>IF('Advanced Entry'!G200="","",IFERROR(MAX(0,MIN(10,ROUND(IF('Advanced Entry'!G$8="Decrease Risk",10-10*((IF('Advanced Entry'!G$5="Logarithm",LN(0.001+'Advanced Entry'!G200),IF('Advanced Entry'!G$5="Exponential",EXP('Advanced Entry'!G200),'Advanced Entry'!G200)))-'Advanced Entry'!G$6)/('Advanced Entry'!G$7-'Advanced Entry'!G$6),10*((IF('Advanced Entry'!G$5="Logarithm",LN(0.001+'Advanced Entry'!G200),IF('Advanced Entry'!G$5="Exponential",EXP('Advanced Entry'!G200),'Advanced Entry'!G200)))-'Advanced Entry'!G$6)/('Advanced Entry'!G$7-'Advanced Entry'!G$6)),1))),"No data"))</f>
        <v/>
      </c>
      <c r="H200" s="17">
        <f>IF('Advanced Entry'!H200="","",IFERROR(MAX(0,MIN(10,ROUND(IF('Advanced Entry'!H$8="Decrease Risk",10-10*((IF('Advanced Entry'!H$5="Logarithm",LN(0.001+'Advanced Entry'!H200),IF('Advanced Entry'!H$5="Exponential",EXP('Advanced Entry'!H200),'Advanced Entry'!H200)))-'Advanced Entry'!H$6)/('Advanced Entry'!H$7-'Advanced Entry'!H$6),10*((IF('Advanced Entry'!H$5="Logarithm",LN(0.001+'Advanced Entry'!H200),IF('Advanced Entry'!H$5="Exponential",EXP('Advanced Entry'!H200),'Advanced Entry'!H200)))-'Advanced Entry'!H$6)/('Advanced Entry'!H$7-'Advanced Entry'!H$6)),1))),"No data"))</f>
        <v/>
      </c>
      <c r="I200" s="17">
        <f>IF('Advanced Entry'!I200="","",IFERROR(MAX(0,MIN(10,ROUND(IF('Advanced Entry'!I$8="Decrease Risk",10-10*((IF('Advanced Entry'!I$5="Logarithm",LN(0.001+'Advanced Entry'!I200),IF('Advanced Entry'!I$5="Exponential",EXP('Advanced Entry'!I200),'Advanced Entry'!I200)))-'Advanced Entry'!I$6)/('Advanced Entry'!I$7-'Advanced Entry'!I$6),10*((IF('Advanced Entry'!I$5="Logarithm",LN(0.001+'Advanced Entry'!I200),IF('Advanced Entry'!I$5="Exponential",EXP('Advanced Entry'!I200),'Advanced Entry'!I200)))-'Advanced Entry'!I$6)/('Advanced Entry'!I$7-'Advanced Entry'!I$6)),1))),"No data"))</f>
        <v/>
      </c>
      <c r="J200" s="17">
        <f>IF('Advanced Entry'!J200="","",IFERROR(MAX(0,MIN(10,ROUND(IF('Advanced Entry'!J$8="Decrease Risk",10-10*((IF('Advanced Entry'!J$5="Logarithm",LN(0.001+'Advanced Entry'!J200),IF('Advanced Entry'!J$5="Exponential",EXP('Advanced Entry'!J200),'Advanced Entry'!J200)))-'Advanced Entry'!J$6)/('Advanced Entry'!J$7-'Advanced Entry'!J$6),10*((IF('Advanced Entry'!J$5="Logarithm",LN(0.001+'Advanced Entry'!J200),IF('Advanced Entry'!J$5="Exponential",EXP('Advanced Entry'!J200),'Advanced Entry'!J200)))-'Advanced Entry'!J$6)/('Advanced Entry'!J$7-'Advanced Entry'!J$6)),1))),"No data"))</f>
        <v/>
      </c>
      <c r="K200" s="17">
        <f>IF('Advanced Entry'!K200="","",IFERROR(MAX(0,MIN(10,ROUND(IF('Advanced Entry'!K$8="Decrease Risk",10-10*((IF('Advanced Entry'!K$5="Logarithm",LN(0.001+'Advanced Entry'!K200),IF('Advanced Entry'!K$5="Exponential",EXP('Advanced Entry'!K200),'Advanced Entry'!K200)))-'Advanced Entry'!K$6)/('Advanced Entry'!K$7-'Advanced Entry'!K$6),10*((IF('Advanced Entry'!K$5="Logarithm",LN(0.001+'Advanced Entry'!K200),IF('Advanced Entry'!K$5="Exponential",EXP('Advanced Entry'!K200),'Advanced Entry'!K200)))-'Advanced Entry'!K$6)/('Advanced Entry'!K$7-'Advanced Entry'!K$6)),1))),"No data"))</f>
        <v/>
      </c>
      <c r="L200" s="17">
        <f>IF('Advanced Entry'!L200="","",IFERROR(MAX(0,MIN(10,ROUND(IF('Advanced Entry'!L$8="Decrease Risk",10-10*((IF('Advanced Entry'!L$5="Logarithm",LN(0.001+'Advanced Entry'!L200),IF('Advanced Entry'!L$5="Exponential",EXP('Advanced Entry'!L200),'Advanced Entry'!L200)))-'Advanced Entry'!L$6)/('Advanced Entry'!L$7-'Advanced Entry'!L$6),10*((IF('Advanced Entry'!L$5="Logarithm",LN(0.001+'Advanced Entry'!L200),IF('Advanced Entry'!L$5="Exponential",EXP('Advanced Entry'!L200),'Advanced Entry'!L200)))-'Advanced Entry'!L$6)/('Advanced Entry'!L$7-'Advanced Entry'!L$6)),1))),"No data"))</f>
        <v/>
      </c>
      <c r="M200" s="17">
        <f>IF('Advanced Entry'!M200="","",IFERROR(MAX(0,MIN(10,ROUND(IF('Advanced Entry'!M$8="Decrease Risk",10-10*((IF('Advanced Entry'!M$5="Logarithm",LN(0.001+'Advanced Entry'!M200),IF('Advanced Entry'!M$5="Exponential",EXP('Advanced Entry'!M200),'Advanced Entry'!M200)))-'Advanced Entry'!M$6)/('Advanced Entry'!M$7-'Advanced Entry'!M$6),10*((IF('Advanced Entry'!M$5="Logarithm",LN(0.001+'Advanced Entry'!M200),IF('Advanced Entry'!M$5="Exponential",EXP('Advanced Entry'!M200),'Advanced Entry'!M200)))-'Advanced Entry'!M$6)/('Advanced Entry'!M$7-'Advanced Entry'!M$6)),1))),"No data"))</f>
        <v/>
      </c>
      <c r="N200" s="17">
        <f>IF('Advanced Entry'!N200="","",IFERROR(MAX(0,MIN(10,ROUND(IF('Advanced Entry'!N$8="Decrease Risk",10-10*((IF('Advanced Entry'!N$5="Logarithm",LN(0.001+'Advanced Entry'!N200),IF('Advanced Entry'!N$5="Exponential",EXP('Advanced Entry'!N200),'Advanced Entry'!N200)))-'Advanced Entry'!N$6)/('Advanced Entry'!N$7-'Advanced Entry'!N$6),10*((IF('Advanced Entry'!N$5="Logarithm",LN(0.001+'Advanced Entry'!N200),IF('Advanced Entry'!N$5="Exponential",EXP('Advanced Entry'!N200),'Advanced Entry'!N200)))-'Advanced Entry'!N$6)/('Advanced Entry'!N$7-'Advanced Entry'!N$6)),1))),"No data"))</f>
        <v/>
      </c>
      <c r="O200" s="17">
        <f>IF('Advanced Entry'!O200="","",IFERROR(MAX(0,MIN(10,ROUND(IF('Advanced Entry'!O$8="Decrease Risk",10-10*((IF('Advanced Entry'!O$5="Logarithm",LN(0.001+'Advanced Entry'!O200),IF('Advanced Entry'!O$5="Exponential",EXP('Advanced Entry'!O200),'Advanced Entry'!O200)))-'Advanced Entry'!O$6)/('Advanced Entry'!O$7-'Advanced Entry'!O$6),10*((IF('Advanced Entry'!O$5="Logarithm",LN(0.001+'Advanced Entry'!O200),IF('Advanced Entry'!O$5="Exponential",EXP('Advanced Entry'!O200),'Advanced Entry'!O200)))-'Advanced Entry'!O$6)/('Advanced Entry'!O$7-'Advanced Entry'!O$6)),1))),"No data"))</f>
        <v/>
      </c>
      <c r="P200" s="17">
        <f>IF('Advanced Entry'!P200="","",IFERROR(MAX(0,MIN(10,ROUND(IF('Advanced Entry'!P$8="Decrease Risk",10-10*((IF('Advanced Entry'!P$5="Logarithm",LN(0.001+'Advanced Entry'!P200),IF('Advanced Entry'!P$5="Exponential",EXP('Advanced Entry'!P200),'Advanced Entry'!P200)))-'Advanced Entry'!P$6)/('Advanced Entry'!P$7-'Advanced Entry'!P$6),10*((IF('Advanced Entry'!P$5="Logarithm",LN(0.001+'Advanced Entry'!P200),IF('Advanced Entry'!P$5="Exponential",EXP('Advanced Entry'!P200),'Advanced Entry'!P200)))-'Advanced Entry'!P$6)/('Advanced Entry'!P$7-'Advanced Entry'!P$6)),1))),"No data"))</f>
        <v/>
      </c>
      <c r="Q200" s="17">
        <f>IF('Advanced Entry'!Q200="","",IFERROR(MAX(0,MIN(10,ROUND(IF('Advanced Entry'!Q$8="Decrease Risk",10-10*((IF('Advanced Entry'!Q$5="Logarithm",LN(0.001+'Advanced Entry'!Q200),IF('Advanced Entry'!Q$5="Exponential",EXP('Advanced Entry'!Q200),'Advanced Entry'!Q200)))-'Advanced Entry'!Q$6)/('Advanced Entry'!Q$7-'Advanced Entry'!Q$6),10*((IF('Advanced Entry'!Q$5="Logarithm",LN(0.001+'Advanced Entry'!Q200),IF('Advanced Entry'!Q$5="Exponential",EXP('Advanced Entry'!Q200),'Advanced Entry'!Q200)))-'Advanced Entry'!Q$6)/('Advanced Entry'!Q$7-'Advanced Entry'!Q$6)),1))),"No data"))</f>
        <v/>
      </c>
      <c r="R200" s="17">
        <f>IF('Advanced Entry'!R200="","",IFERROR(MAX(0,MIN(10,ROUND(IF('Advanced Entry'!R$8="Decrease Risk",10-10*((IF('Advanced Entry'!R$5="Logarithm",LN(0.001+'Advanced Entry'!R200),IF('Advanced Entry'!R$5="Exponential",EXP('Advanced Entry'!R200),'Advanced Entry'!R200)))-'Advanced Entry'!R$6)/('Advanced Entry'!R$7-'Advanced Entry'!R$6),10*((IF('Advanced Entry'!R$5="Logarithm",LN(0.001+'Advanced Entry'!R200),IF('Advanced Entry'!R$5="Exponential",EXP('Advanced Entry'!R200),'Advanced Entry'!R200)))-'Advanced Entry'!R$6)/('Advanced Entry'!R$7-'Advanced Entry'!R$6)),1))),"No data"))</f>
        <v/>
      </c>
      <c r="S200" s="17">
        <f>IF('Advanced Entry'!S200="","",IFERROR(MAX(0,MIN(10,ROUND(IF('Advanced Entry'!S$8="Decrease Risk",10-10*((IF('Advanced Entry'!S$5="Logarithm",LN(0.001+'Advanced Entry'!S200),IF('Advanced Entry'!S$5="Exponential",EXP('Advanced Entry'!S200),'Advanced Entry'!S200)))-'Advanced Entry'!S$6)/('Advanced Entry'!S$7-'Advanced Entry'!S$6),10*((IF('Advanced Entry'!S$5="Logarithm",LN(0.001+'Advanced Entry'!S200),IF('Advanced Entry'!S$5="Exponential",EXP('Advanced Entry'!S200),'Advanced Entry'!S200)))-'Advanced Entry'!S$6)/('Advanced Entry'!S$7-'Advanced Entry'!S$6)),1))),"No data"))</f>
        <v/>
      </c>
      <c r="T200" s="17">
        <f>IF('Advanced Entry'!T200="","",IFERROR(MAX(0,MIN(10,ROUND(IF('Advanced Entry'!T$8="Decrease Risk",10-10*((IF('Advanced Entry'!T$5="Logarithm",LN(0.001+'Advanced Entry'!T200),IF('Advanced Entry'!T$5="Exponential",EXP('Advanced Entry'!T200),'Advanced Entry'!T200)))-'Advanced Entry'!T$6)/('Advanced Entry'!T$7-'Advanced Entry'!T$6),10*((IF('Advanced Entry'!T$5="Logarithm",LN(0.001+'Advanced Entry'!T200),IF('Advanced Entry'!T$5="Exponential",EXP('Advanced Entry'!T200),'Advanced Entry'!T200)))-'Advanced Entry'!T$6)/('Advanced Entry'!T$7-'Advanced Entry'!T$6)),1))),"No data"))</f>
        <v/>
      </c>
      <c r="U200" s="17">
        <f>IF('Advanced Entry'!U200="","",IFERROR(MAX(0,MIN(10,ROUND(IF('Advanced Entry'!U$8="Decrease Risk",10-10*((IF('Advanced Entry'!U$5="Logarithm",LN(0.001+'Advanced Entry'!U200),IF('Advanced Entry'!U$5="Exponential",EXP('Advanced Entry'!U200),'Advanced Entry'!U200)))-'Advanced Entry'!U$6)/('Advanced Entry'!U$7-'Advanced Entry'!U$6),10*((IF('Advanced Entry'!U$5="Logarithm",LN(0.001+'Advanced Entry'!U200),IF('Advanced Entry'!U$5="Exponential",EXP('Advanced Entry'!U200),'Advanced Entry'!U200)))-'Advanced Entry'!U$6)/('Advanced Entry'!U$7-'Advanced Entry'!U$6)),1))),"No data"))</f>
        <v/>
      </c>
      <c r="V200" s="17">
        <f>IF('Advanced Entry'!V200="","",IFERROR(MAX(0,MIN(10,ROUND(IF('Advanced Entry'!V$8="Decrease Risk",10-10*((IF('Advanced Entry'!V$5="Logarithm",LN(0.001+'Advanced Entry'!V200),IF('Advanced Entry'!V$5="Exponential",EXP('Advanced Entry'!V200),'Advanced Entry'!V200)))-'Advanced Entry'!V$6)/('Advanced Entry'!V$7-'Advanced Entry'!V$6),10*((IF('Advanced Entry'!V$5="Logarithm",LN(0.001+'Advanced Entry'!V200),IF('Advanced Entry'!V$5="Exponential",EXP('Advanced Entry'!V200),'Advanced Entry'!V200)))-'Advanced Entry'!V$6)/('Advanced Entry'!V$7-'Advanced Entry'!V$6)),1))),"No data"))</f>
        <v/>
      </c>
      <c r="W200" s="17">
        <f>IF('Advanced Entry'!W200="","",IFERROR(MAX(0,MIN(10,ROUND(IF('Advanced Entry'!W$8="Decrease Risk",10-10*((IF('Advanced Entry'!W$5="Logarithm",LN(0.001+'Advanced Entry'!W200),IF('Advanced Entry'!W$5="Exponential",EXP('Advanced Entry'!W200),'Advanced Entry'!W200)))-'Advanced Entry'!W$6)/('Advanced Entry'!W$7-'Advanced Entry'!W$6),10*((IF('Advanced Entry'!W$5="Logarithm",LN(0.001+'Advanced Entry'!W200),IF('Advanced Entry'!W$5="Exponential",EXP('Advanced Entry'!W200),'Advanced Entry'!W200)))-'Advanced Entry'!W$6)/('Advanced Entry'!W$7-'Advanced Entry'!W$6)),1))),"No data"))</f>
        <v/>
      </c>
      <c r="X200" s="17">
        <f>IF('Advanced Entry'!X200="","",IFERROR(MAX(0,MIN(10,ROUND(IF('Advanced Entry'!X$8="Decrease Risk",10-10*((IF('Advanced Entry'!X$5="Logarithm",LN(0.001+'Advanced Entry'!X200),IF('Advanced Entry'!X$5="Exponential",EXP('Advanced Entry'!X200),'Advanced Entry'!X200)))-'Advanced Entry'!X$6)/('Advanced Entry'!X$7-'Advanced Entry'!X$6),10*((IF('Advanced Entry'!X$5="Logarithm",LN(0.001+'Advanced Entry'!X200),IF('Advanced Entry'!X$5="Exponential",EXP('Advanced Entry'!X200),'Advanced Entry'!X200)))-'Advanced Entry'!X$6)/('Advanced Entry'!X$7-'Advanced Entry'!X$6)),1))),"No data"))</f>
        <v/>
      </c>
      <c r="Y200" s="17">
        <f>IF('Advanced Entry'!Y200="","",IFERROR(MAX(0,MIN(10,ROUND(IF('Advanced Entry'!Y$8="Decrease Risk",10-10*((IF('Advanced Entry'!Y$5="Logarithm",LN(0.001+'Advanced Entry'!Y200),IF('Advanced Entry'!Y$5="Exponential",EXP('Advanced Entry'!Y200),'Advanced Entry'!Y200)))-'Advanced Entry'!Y$6)/('Advanced Entry'!Y$7-'Advanced Entry'!Y$6),10*((IF('Advanced Entry'!Y$5="Logarithm",LN(0.001+'Advanced Entry'!Y200),IF('Advanced Entry'!Y$5="Exponential",EXP('Advanced Entry'!Y200),'Advanced Entry'!Y200)))-'Advanced Entry'!Y$6)/('Advanced Entry'!Y$7-'Advanced Entry'!Y$6)),1))),"No data"))</f>
        <v/>
      </c>
      <c r="Z200" s="17">
        <f>IF('Advanced Entry'!Z200="","",IFERROR(MAX(0,MIN(10,ROUND(IF('Advanced Entry'!Z$8="Decrease Risk",10-10*((IF('Advanced Entry'!Z$5="Logarithm",LN(0.001+'Advanced Entry'!Z200),IF('Advanced Entry'!Z$5="Exponential",EXP('Advanced Entry'!Z200),'Advanced Entry'!Z200)))-'Advanced Entry'!Z$6)/('Advanced Entry'!Z$7-'Advanced Entry'!Z$6),10*((IF('Advanced Entry'!Z$5="Logarithm",LN(0.001+'Advanced Entry'!Z200),IF('Advanced Entry'!Z$5="Exponential",EXP('Advanced Entry'!Z200),'Advanced Entry'!Z200)))-'Advanced Entry'!Z$6)/('Advanced Entry'!Z$7-'Advanced Entry'!Z$6)),1))),"No data"))</f>
        <v/>
      </c>
      <c r="AA200" s="17">
        <f>IF('Advanced Entry'!AA200="","",IFERROR(MAX(0,MIN(10,ROUND(IF('Advanced Entry'!AA$8="Decrease Risk",10-10*((IF('Advanced Entry'!AA$5="Logarithm",LN(0.001+'Advanced Entry'!AA200),IF('Advanced Entry'!AA$5="Exponential",EXP('Advanced Entry'!AA200),'Advanced Entry'!AA200)))-'Advanced Entry'!AA$6)/('Advanced Entry'!AA$7-'Advanced Entry'!AA$6),10*((IF('Advanced Entry'!AA$5="Logarithm",LN(0.001+'Advanced Entry'!AA200),IF('Advanced Entry'!AA$5="Exponential",EXP('Advanced Entry'!AA200),'Advanced Entry'!AA200)))-'Advanced Entry'!AA$6)/('Advanced Entry'!AA$7-'Advanced Entry'!AA$6)),1))),"No data"))</f>
        <v/>
      </c>
      <c r="AB200" s="17">
        <f>IF('Advanced Entry'!AB200="","",IFERROR(MAX(0,MIN(10,ROUND(IF('Advanced Entry'!AB$8="Decrease Risk",10-10*((IF('Advanced Entry'!AB$5="Logarithm",LN(0.001+'Advanced Entry'!AB200),IF('Advanced Entry'!AB$5="Exponential",EXP('Advanced Entry'!AB200),'Advanced Entry'!AB200)))-'Advanced Entry'!AB$6)/('Advanced Entry'!AB$7-'Advanced Entry'!AB$6),10*((IF('Advanced Entry'!AB$5="Logarithm",LN(0.001+'Advanced Entry'!AB200),IF('Advanced Entry'!AB$5="Exponential",EXP('Advanced Entry'!AB200),'Advanced Entry'!AB200)))-'Advanced Entry'!AB$6)/('Advanced Entry'!AB$7-'Advanced Entry'!AB$6)),1))),"No data"))</f>
        <v/>
      </c>
    </row>
    <row r="201">
      <c r="A201" t="inlineStr">
        <is>
          <t>Tanga</t>
        </is>
      </c>
      <c r="B201" t="inlineStr">
        <is>
          <t>Lushoto District</t>
        </is>
      </c>
      <c r="C201" t="inlineStr">
        <is>
          <t>C023</t>
        </is>
      </c>
      <c r="D201" s="17">
        <f>IF('Advanced Entry'!D201="","",IFERROR(MAX(0,MIN(10,ROUND(IF('Advanced Entry'!D$8="Decrease Risk",10-10*((IF('Advanced Entry'!D$5="Logarithm",LN(0.001+'Advanced Entry'!D201),IF('Advanced Entry'!D$5="Exponential",EXP('Advanced Entry'!D201),'Advanced Entry'!D201)))-'Advanced Entry'!D$6)/('Advanced Entry'!D$7-'Advanced Entry'!D$6),10*((IF('Advanced Entry'!D$5="Logarithm",LN(0.001+'Advanced Entry'!D201),IF('Advanced Entry'!D$5="Exponential",EXP('Advanced Entry'!D201),'Advanced Entry'!D201)))-'Advanced Entry'!D$6)/('Advanced Entry'!D$7-'Advanced Entry'!D$6)),1))),"No data"))</f>
        <v/>
      </c>
      <c r="E201" s="17">
        <f>IF('Advanced Entry'!E201="","",IFERROR(MAX(0,MIN(10,ROUND(IF('Advanced Entry'!E$8="Decrease Risk",10-10*((IF('Advanced Entry'!E$5="Logarithm",LN(0.001+'Advanced Entry'!E201),IF('Advanced Entry'!E$5="Exponential",EXP('Advanced Entry'!E201),'Advanced Entry'!E201)))-'Advanced Entry'!E$6)/('Advanced Entry'!E$7-'Advanced Entry'!E$6),10*((IF('Advanced Entry'!E$5="Logarithm",LN(0.001+'Advanced Entry'!E201),IF('Advanced Entry'!E$5="Exponential",EXP('Advanced Entry'!E201),'Advanced Entry'!E201)))-'Advanced Entry'!E$6)/('Advanced Entry'!E$7-'Advanced Entry'!E$6)),1))),"No data"))</f>
        <v/>
      </c>
      <c r="F201" s="17">
        <f>IF('Advanced Entry'!F201="","",IFERROR(MAX(0,MIN(10,ROUND(IF('Advanced Entry'!F$8="Decrease Risk",10-10*((IF('Advanced Entry'!F$5="Logarithm",LN(0.001+'Advanced Entry'!F201),IF('Advanced Entry'!F$5="Exponential",EXP('Advanced Entry'!F201),'Advanced Entry'!F201)))-'Advanced Entry'!F$6)/('Advanced Entry'!F$7-'Advanced Entry'!F$6),10*((IF('Advanced Entry'!F$5="Logarithm",LN(0.001+'Advanced Entry'!F201),IF('Advanced Entry'!F$5="Exponential",EXP('Advanced Entry'!F201),'Advanced Entry'!F201)))-'Advanced Entry'!F$6)/('Advanced Entry'!F$7-'Advanced Entry'!F$6)),1))),"No data"))</f>
        <v/>
      </c>
      <c r="G201" s="17">
        <f>IF('Advanced Entry'!G201="","",IFERROR(MAX(0,MIN(10,ROUND(IF('Advanced Entry'!G$8="Decrease Risk",10-10*((IF('Advanced Entry'!G$5="Logarithm",LN(0.001+'Advanced Entry'!G201),IF('Advanced Entry'!G$5="Exponential",EXP('Advanced Entry'!G201),'Advanced Entry'!G201)))-'Advanced Entry'!G$6)/('Advanced Entry'!G$7-'Advanced Entry'!G$6),10*((IF('Advanced Entry'!G$5="Logarithm",LN(0.001+'Advanced Entry'!G201),IF('Advanced Entry'!G$5="Exponential",EXP('Advanced Entry'!G201),'Advanced Entry'!G201)))-'Advanced Entry'!G$6)/('Advanced Entry'!G$7-'Advanced Entry'!G$6)),1))),"No data"))</f>
        <v/>
      </c>
      <c r="H201" s="17">
        <f>IF('Advanced Entry'!H201="","",IFERROR(MAX(0,MIN(10,ROUND(IF('Advanced Entry'!H$8="Decrease Risk",10-10*((IF('Advanced Entry'!H$5="Logarithm",LN(0.001+'Advanced Entry'!H201),IF('Advanced Entry'!H$5="Exponential",EXP('Advanced Entry'!H201),'Advanced Entry'!H201)))-'Advanced Entry'!H$6)/('Advanced Entry'!H$7-'Advanced Entry'!H$6),10*((IF('Advanced Entry'!H$5="Logarithm",LN(0.001+'Advanced Entry'!H201),IF('Advanced Entry'!H$5="Exponential",EXP('Advanced Entry'!H201),'Advanced Entry'!H201)))-'Advanced Entry'!H$6)/('Advanced Entry'!H$7-'Advanced Entry'!H$6)),1))),"No data"))</f>
        <v/>
      </c>
      <c r="I201" s="17">
        <f>IF('Advanced Entry'!I201="","",IFERROR(MAX(0,MIN(10,ROUND(IF('Advanced Entry'!I$8="Decrease Risk",10-10*((IF('Advanced Entry'!I$5="Logarithm",LN(0.001+'Advanced Entry'!I201),IF('Advanced Entry'!I$5="Exponential",EXP('Advanced Entry'!I201),'Advanced Entry'!I201)))-'Advanced Entry'!I$6)/('Advanced Entry'!I$7-'Advanced Entry'!I$6),10*((IF('Advanced Entry'!I$5="Logarithm",LN(0.001+'Advanced Entry'!I201),IF('Advanced Entry'!I$5="Exponential",EXP('Advanced Entry'!I201),'Advanced Entry'!I201)))-'Advanced Entry'!I$6)/('Advanced Entry'!I$7-'Advanced Entry'!I$6)),1))),"No data"))</f>
        <v/>
      </c>
      <c r="J201" s="17">
        <f>IF('Advanced Entry'!J201="","",IFERROR(MAX(0,MIN(10,ROUND(IF('Advanced Entry'!J$8="Decrease Risk",10-10*((IF('Advanced Entry'!J$5="Logarithm",LN(0.001+'Advanced Entry'!J201),IF('Advanced Entry'!J$5="Exponential",EXP('Advanced Entry'!J201),'Advanced Entry'!J201)))-'Advanced Entry'!J$6)/('Advanced Entry'!J$7-'Advanced Entry'!J$6),10*((IF('Advanced Entry'!J$5="Logarithm",LN(0.001+'Advanced Entry'!J201),IF('Advanced Entry'!J$5="Exponential",EXP('Advanced Entry'!J201),'Advanced Entry'!J201)))-'Advanced Entry'!J$6)/('Advanced Entry'!J$7-'Advanced Entry'!J$6)),1))),"No data"))</f>
        <v/>
      </c>
      <c r="K201" s="17">
        <f>IF('Advanced Entry'!K201="","",IFERROR(MAX(0,MIN(10,ROUND(IF('Advanced Entry'!K$8="Decrease Risk",10-10*((IF('Advanced Entry'!K$5="Logarithm",LN(0.001+'Advanced Entry'!K201),IF('Advanced Entry'!K$5="Exponential",EXP('Advanced Entry'!K201),'Advanced Entry'!K201)))-'Advanced Entry'!K$6)/('Advanced Entry'!K$7-'Advanced Entry'!K$6),10*((IF('Advanced Entry'!K$5="Logarithm",LN(0.001+'Advanced Entry'!K201),IF('Advanced Entry'!K$5="Exponential",EXP('Advanced Entry'!K201),'Advanced Entry'!K201)))-'Advanced Entry'!K$6)/('Advanced Entry'!K$7-'Advanced Entry'!K$6)),1))),"No data"))</f>
        <v/>
      </c>
      <c r="L201" s="17">
        <f>IF('Advanced Entry'!L201="","",IFERROR(MAX(0,MIN(10,ROUND(IF('Advanced Entry'!L$8="Decrease Risk",10-10*((IF('Advanced Entry'!L$5="Logarithm",LN(0.001+'Advanced Entry'!L201),IF('Advanced Entry'!L$5="Exponential",EXP('Advanced Entry'!L201),'Advanced Entry'!L201)))-'Advanced Entry'!L$6)/('Advanced Entry'!L$7-'Advanced Entry'!L$6),10*((IF('Advanced Entry'!L$5="Logarithm",LN(0.001+'Advanced Entry'!L201),IF('Advanced Entry'!L$5="Exponential",EXP('Advanced Entry'!L201),'Advanced Entry'!L201)))-'Advanced Entry'!L$6)/('Advanced Entry'!L$7-'Advanced Entry'!L$6)),1))),"No data"))</f>
        <v/>
      </c>
      <c r="M201" s="17">
        <f>IF('Advanced Entry'!M201="","",IFERROR(MAX(0,MIN(10,ROUND(IF('Advanced Entry'!M$8="Decrease Risk",10-10*((IF('Advanced Entry'!M$5="Logarithm",LN(0.001+'Advanced Entry'!M201),IF('Advanced Entry'!M$5="Exponential",EXP('Advanced Entry'!M201),'Advanced Entry'!M201)))-'Advanced Entry'!M$6)/('Advanced Entry'!M$7-'Advanced Entry'!M$6),10*((IF('Advanced Entry'!M$5="Logarithm",LN(0.001+'Advanced Entry'!M201),IF('Advanced Entry'!M$5="Exponential",EXP('Advanced Entry'!M201),'Advanced Entry'!M201)))-'Advanced Entry'!M$6)/('Advanced Entry'!M$7-'Advanced Entry'!M$6)),1))),"No data"))</f>
        <v/>
      </c>
      <c r="N201" s="17">
        <f>IF('Advanced Entry'!N201="","",IFERROR(MAX(0,MIN(10,ROUND(IF('Advanced Entry'!N$8="Decrease Risk",10-10*((IF('Advanced Entry'!N$5="Logarithm",LN(0.001+'Advanced Entry'!N201),IF('Advanced Entry'!N$5="Exponential",EXP('Advanced Entry'!N201),'Advanced Entry'!N201)))-'Advanced Entry'!N$6)/('Advanced Entry'!N$7-'Advanced Entry'!N$6),10*((IF('Advanced Entry'!N$5="Logarithm",LN(0.001+'Advanced Entry'!N201),IF('Advanced Entry'!N$5="Exponential",EXP('Advanced Entry'!N201),'Advanced Entry'!N201)))-'Advanced Entry'!N$6)/('Advanced Entry'!N$7-'Advanced Entry'!N$6)),1))),"No data"))</f>
        <v/>
      </c>
      <c r="O201" s="17">
        <f>IF('Advanced Entry'!O201="","",IFERROR(MAX(0,MIN(10,ROUND(IF('Advanced Entry'!O$8="Decrease Risk",10-10*((IF('Advanced Entry'!O$5="Logarithm",LN(0.001+'Advanced Entry'!O201),IF('Advanced Entry'!O$5="Exponential",EXP('Advanced Entry'!O201),'Advanced Entry'!O201)))-'Advanced Entry'!O$6)/('Advanced Entry'!O$7-'Advanced Entry'!O$6),10*((IF('Advanced Entry'!O$5="Logarithm",LN(0.001+'Advanced Entry'!O201),IF('Advanced Entry'!O$5="Exponential",EXP('Advanced Entry'!O201),'Advanced Entry'!O201)))-'Advanced Entry'!O$6)/('Advanced Entry'!O$7-'Advanced Entry'!O$6)),1))),"No data"))</f>
        <v/>
      </c>
      <c r="P201" s="17">
        <f>IF('Advanced Entry'!P201="","",IFERROR(MAX(0,MIN(10,ROUND(IF('Advanced Entry'!P$8="Decrease Risk",10-10*((IF('Advanced Entry'!P$5="Logarithm",LN(0.001+'Advanced Entry'!P201),IF('Advanced Entry'!P$5="Exponential",EXP('Advanced Entry'!P201),'Advanced Entry'!P201)))-'Advanced Entry'!P$6)/('Advanced Entry'!P$7-'Advanced Entry'!P$6),10*((IF('Advanced Entry'!P$5="Logarithm",LN(0.001+'Advanced Entry'!P201),IF('Advanced Entry'!P$5="Exponential",EXP('Advanced Entry'!P201),'Advanced Entry'!P201)))-'Advanced Entry'!P$6)/('Advanced Entry'!P$7-'Advanced Entry'!P$6)),1))),"No data"))</f>
        <v/>
      </c>
      <c r="Q201" s="17">
        <f>IF('Advanced Entry'!Q201="","",IFERROR(MAX(0,MIN(10,ROUND(IF('Advanced Entry'!Q$8="Decrease Risk",10-10*((IF('Advanced Entry'!Q$5="Logarithm",LN(0.001+'Advanced Entry'!Q201),IF('Advanced Entry'!Q$5="Exponential",EXP('Advanced Entry'!Q201),'Advanced Entry'!Q201)))-'Advanced Entry'!Q$6)/('Advanced Entry'!Q$7-'Advanced Entry'!Q$6),10*((IF('Advanced Entry'!Q$5="Logarithm",LN(0.001+'Advanced Entry'!Q201),IF('Advanced Entry'!Q$5="Exponential",EXP('Advanced Entry'!Q201),'Advanced Entry'!Q201)))-'Advanced Entry'!Q$6)/('Advanced Entry'!Q$7-'Advanced Entry'!Q$6)),1))),"No data"))</f>
        <v/>
      </c>
      <c r="R201" s="17">
        <f>IF('Advanced Entry'!R201="","",IFERROR(MAX(0,MIN(10,ROUND(IF('Advanced Entry'!R$8="Decrease Risk",10-10*((IF('Advanced Entry'!R$5="Logarithm",LN(0.001+'Advanced Entry'!R201),IF('Advanced Entry'!R$5="Exponential",EXP('Advanced Entry'!R201),'Advanced Entry'!R201)))-'Advanced Entry'!R$6)/('Advanced Entry'!R$7-'Advanced Entry'!R$6),10*((IF('Advanced Entry'!R$5="Logarithm",LN(0.001+'Advanced Entry'!R201),IF('Advanced Entry'!R$5="Exponential",EXP('Advanced Entry'!R201),'Advanced Entry'!R201)))-'Advanced Entry'!R$6)/('Advanced Entry'!R$7-'Advanced Entry'!R$6)),1))),"No data"))</f>
        <v/>
      </c>
      <c r="S201" s="17">
        <f>IF('Advanced Entry'!S201="","",IFERROR(MAX(0,MIN(10,ROUND(IF('Advanced Entry'!S$8="Decrease Risk",10-10*((IF('Advanced Entry'!S$5="Logarithm",LN(0.001+'Advanced Entry'!S201),IF('Advanced Entry'!S$5="Exponential",EXP('Advanced Entry'!S201),'Advanced Entry'!S201)))-'Advanced Entry'!S$6)/('Advanced Entry'!S$7-'Advanced Entry'!S$6),10*((IF('Advanced Entry'!S$5="Logarithm",LN(0.001+'Advanced Entry'!S201),IF('Advanced Entry'!S$5="Exponential",EXP('Advanced Entry'!S201),'Advanced Entry'!S201)))-'Advanced Entry'!S$6)/('Advanced Entry'!S$7-'Advanced Entry'!S$6)),1))),"No data"))</f>
        <v/>
      </c>
      <c r="T201" s="17">
        <f>IF('Advanced Entry'!T201="","",IFERROR(MAX(0,MIN(10,ROUND(IF('Advanced Entry'!T$8="Decrease Risk",10-10*((IF('Advanced Entry'!T$5="Logarithm",LN(0.001+'Advanced Entry'!T201),IF('Advanced Entry'!T$5="Exponential",EXP('Advanced Entry'!T201),'Advanced Entry'!T201)))-'Advanced Entry'!T$6)/('Advanced Entry'!T$7-'Advanced Entry'!T$6),10*((IF('Advanced Entry'!T$5="Logarithm",LN(0.001+'Advanced Entry'!T201),IF('Advanced Entry'!T$5="Exponential",EXP('Advanced Entry'!T201),'Advanced Entry'!T201)))-'Advanced Entry'!T$6)/('Advanced Entry'!T$7-'Advanced Entry'!T$6)),1))),"No data"))</f>
        <v/>
      </c>
      <c r="U201" s="17">
        <f>IF('Advanced Entry'!U201="","",IFERROR(MAX(0,MIN(10,ROUND(IF('Advanced Entry'!U$8="Decrease Risk",10-10*((IF('Advanced Entry'!U$5="Logarithm",LN(0.001+'Advanced Entry'!U201),IF('Advanced Entry'!U$5="Exponential",EXP('Advanced Entry'!U201),'Advanced Entry'!U201)))-'Advanced Entry'!U$6)/('Advanced Entry'!U$7-'Advanced Entry'!U$6),10*((IF('Advanced Entry'!U$5="Logarithm",LN(0.001+'Advanced Entry'!U201),IF('Advanced Entry'!U$5="Exponential",EXP('Advanced Entry'!U201),'Advanced Entry'!U201)))-'Advanced Entry'!U$6)/('Advanced Entry'!U$7-'Advanced Entry'!U$6)),1))),"No data"))</f>
        <v/>
      </c>
      <c r="V201" s="17">
        <f>IF('Advanced Entry'!V201="","",IFERROR(MAX(0,MIN(10,ROUND(IF('Advanced Entry'!V$8="Decrease Risk",10-10*((IF('Advanced Entry'!V$5="Logarithm",LN(0.001+'Advanced Entry'!V201),IF('Advanced Entry'!V$5="Exponential",EXP('Advanced Entry'!V201),'Advanced Entry'!V201)))-'Advanced Entry'!V$6)/('Advanced Entry'!V$7-'Advanced Entry'!V$6),10*((IF('Advanced Entry'!V$5="Logarithm",LN(0.001+'Advanced Entry'!V201),IF('Advanced Entry'!V$5="Exponential",EXP('Advanced Entry'!V201),'Advanced Entry'!V201)))-'Advanced Entry'!V$6)/('Advanced Entry'!V$7-'Advanced Entry'!V$6)),1))),"No data"))</f>
        <v/>
      </c>
      <c r="W201" s="17">
        <f>IF('Advanced Entry'!W201="","",IFERROR(MAX(0,MIN(10,ROUND(IF('Advanced Entry'!W$8="Decrease Risk",10-10*((IF('Advanced Entry'!W$5="Logarithm",LN(0.001+'Advanced Entry'!W201),IF('Advanced Entry'!W$5="Exponential",EXP('Advanced Entry'!W201),'Advanced Entry'!W201)))-'Advanced Entry'!W$6)/('Advanced Entry'!W$7-'Advanced Entry'!W$6),10*((IF('Advanced Entry'!W$5="Logarithm",LN(0.001+'Advanced Entry'!W201),IF('Advanced Entry'!W$5="Exponential",EXP('Advanced Entry'!W201),'Advanced Entry'!W201)))-'Advanced Entry'!W$6)/('Advanced Entry'!W$7-'Advanced Entry'!W$6)),1))),"No data"))</f>
        <v/>
      </c>
      <c r="X201" s="17">
        <f>IF('Advanced Entry'!X201="","",IFERROR(MAX(0,MIN(10,ROUND(IF('Advanced Entry'!X$8="Decrease Risk",10-10*((IF('Advanced Entry'!X$5="Logarithm",LN(0.001+'Advanced Entry'!X201),IF('Advanced Entry'!X$5="Exponential",EXP('Advanced Entry'!X201),'Advanced Entry'!X201)))-'Advanced Entry'!X$6)/('Advanced Entry'!X$7-'Advanced Entry'!X$6),10*((IF('Advanced Entry'!X$5="Logarithm",LN(0.001+'Advanced Entry'!X201),IF('Advanced Entry'!X$5="Exponential",EXP('Advanced Entry'!X201),'Advanced Entry'!X201)))-'Advanced Entry'!X$6)/('Advanced Entry'!X$7-'Advanced Entry'!X$6)),1))),"No data"))</f>
        <v/>
      </c>
      <c r="Y201" s="17">
        <f>IF('Advanced Entry'!Y201="","",IFERROR(MAX(0,MIN(10,ROUND(IF('Advanced Entry'!Y$8="Decrease Risk",10-10*((IF('Advanced Entry'!Y$5="Logarithm",LN(0.001+'Advanced Entry'!Y201),IF('Advanced Entry'!Y$5="Exponential",EXP('Advanced Entry'!Y201),'Advanced Entry'!Y201)))-'Advanced Entry'!Y$6)/('Advanced Entry'!Y$7-'Advanced Entry'!Y$6),10*((IF('Advanced Entry'!Y$5="Logarithm",LN(0.001+'Advanced Entry'!Y201),IF('Advanced Entry'!Y$5="Exponential",EXP('Advanced Entry'!Y201),'Advanced Entry'!Y201)))-'Advanced Entry'!Y$6)/('Advanced Entry'!Y$7-'Advanced Entry'!Y$6)),1))),"No data"))</f>
        <v/>
      </c>
      <c r="Z201" s="17">
        <f>IF('Advanced Entry'!Z201="","",IFERROR(MAX(0,MIN(10,ROUND(IF('Advanced Entry'!Z$8="Decrease Risk",10-10*((IF('Advanced Entry'!Z$5="Logarithm",LN(0.001+'Advanced Entry'!Z201),IF('Advanced Entry'!Z$5="Exponential",EXP('Advanced Entry'!Z201),'Advanced Entry'!Z201)))-'Advanced Entry'!Z$6)/('Advanced Entry'!Z$7-'Advanced Entry'!Z$6),10*((IF('Advanced Entry'!Z$5="Logarithm",LN(0.001+'Advanced Entry'!Z201),IF('Advanced Entry'!Z$5="Exponential",EXP('Advanced Entry'!Z201),'Advanced Entry'!Z201)))-'Advanced Entry'!Z$6)/('Advanced Entry'!Z$7-'Advanced Entry'!Z$6)),1))),"No data"))</f>
        <v/>
      </c>
      <c r="AA201" s="17">
        <f>IF('Advanced Entry'!AA201="","",IFERROR(MAX(0,MIN(10,ROUND(IF('Advanced Entry'!AA$8="Decrease Risk",10-10*((IF('Advanced Entry'!AA$5="Logarithm",LN(0.001+'Advanced Entry'!AA201),IF('Advanced Entry'!AA$5="Exponential",EXP('Advanced Entry'!AA201),'Advanced Entry'!AA201)))-'Advanced Entry'!AA$6)/('Advanced Entry'!AA$7-'Advanced Entry'!AA$6),10*((IF('Advanced Entry'!AA$5="Logarithm",LN(0.001+'Advanced Entry'!AA201),IF('Advanced Entry'!AA$5="Exponential",EXP('Advanced Entry'!AA201),'Advanced Entry'!AA201)))-'Advanced Entry'!AA$6)/('Advanced Entry'!AA$7-'Advanced Entry'!AA$6)),1))),"No data"))</f>
        <v/>
      </c>
      <c r="AB201" s="17">
        <f>IF('Advanced Entry'!AB201="","",IFERROR(MAX(0,MIN(10,ROUND(IF('Advanced Entry'!AB$8="Decrease Risk",10-10*((IF('Advanced Entry'!AB$5="Logarithm",LN(0.001+'Advanced Entry'!AB201),IF('Advanced Entry'!AB$5="Exponential",EXP('Advanced Entry'!AB201),'Advanced Entry'!AB201)))-'Advanced Entry'!AB$6)/('Advanced Entry'!AB$7-'Advanced Entry'!AB$6),10*((IF('Advanced Entry'!AB$5="Logarithm",LN(0.001+'Advanced Entry'!AB201),IF('Advanced Entry'!AB$5="Exponential",EXP('Advanced Entry'!AB201),'Advanced Entry'!AB201)))-'Advanced Entry'!AB$6)/('Advanced Entry'!AB$7-'Advanced Entry'!AB$6)),1))),"No data"))</f>
        <v/>
      </c>
    </row>
    <row r="202">
      <c r="A202" t="inlineStr">
        <is>
          <t>Tanga</t>
        </is>
      </c>
      <c r="B202" t="inlineStr">
        <is>
          <t>Mkinga District</t>
        </is>
      </c>
      <c r="C202" t="inlineStr">
        <is>
          <t>C033</t>
        </is>
      </c>
      <c r="D202" s="17">
        <f>IF('Advanced Entry'!D202="","",IFERROR(MAX(0,MIN(10,ROUND(IF('Advanced Entry'!D$8="Decrease Risk",10-10*((IF('Advanced Entry'!D$5="Logarithm",LN(0.001+'Advanced Entry'!D202),IF('Advanced Entry'!D$5="Exponential",EXP('Advanced Entry'!D202),'Advanced Entry'!D202)))-'Advanced Entry'!D$6)/('Advanced Entry'!D$7-'Advanced Entry'!D$6),10*((IF('Advanced Entry'!D$5="Logarithm",LN(0.001+'Advanced Entry'!D202),IF('Advanced Entry'!D$5="Exponential",EXP('Advanced Entry'!D202),'Advanced Entry'!D202)))-'Advanced Entry'!D$6)/('Advanced Entry'!D$7-'Advanced Entry'!D$6)),1))),"No data"))</f>
        <v/>
      </c>
      <c r="E202" s="17">
        <f>IF('Advanced Entry'!E202="","",IFERROR(MAX(0,MIN(10,ROUND(IF('Advanced Entry'!E$8="Decrease Risk",10-10*((IF('Advanced Entry'!E$5="Logarithm",LN(0.001+'Advanced Entry'!E202),IF('Advanced Entry'!E$5="Exponential",EXP('Advanced Entry'!E202),'Advanced Entry'!E202)))-'Advanced Entry'!E$6)/('Advanced Entry'!E$7-'Advanced Entry'!E$6),10*((IF('Advanced Entry'!E$5="Logarithm",LN(0.001+'Advanced Entry'!E202),IF('Advanced Entry'!E$5="Exponential",EXP('Advanced Entry'!E202),'Advanced Entry'!E202)))-'Advanced Entry'!E$6)/('Advanced Entry'!E$7-'Advanced Entry'!E$6)),1))),"No data"))</f>
        <v/>
      </c>
      <c r="F202" s="17">
        <f>IF('Advanced Entry'!F202="","",IFERROR(MAX(0,MIN(10,ROUND(IF('Advanced Entry'!F$8="Decrease Risk",10-10*((IF('Advanced Entry'!F$5="Logarithm",LN(0.001+'Advanced Entry'!F202),IF('Advanced Entry'!F$5="Exponential",EXP('Advanced Entry'!F202),'Advanced Entry'!F202)))-'Advanced Entry'!F$6)/('Advanced Entry'!F$7-'Advanced Entry'!F$6),10*((IF('Advanced Entry'!F$5="Logarithm",LN(0.001+'Advanced Entry'!F202),IF('Advanced Entry'!F$5="Exponential",EXP('Advanced Entry'!F202),'Advanced Entry'!F202)))-'Advanced Entry'!F$6)/('Advanced Entry'!F$7-'Advanced Entry'!F$6)),1))),"No data"))</f>
        <v/>
      </c>
      <c r="G202" s="17">
        <f>IF('Advanced Entry'!G202="","",IFERROR(MAX(0,MIN(10,ROUND(IF('Advanced Entry'!G$8="Decrease Risk",10-10*((IF('Advanced Entry'!G$5="Logarithm",LN(0.001+'Advanced Entry'!G202),IF('Advanced Entry'!G$5="Exponential",EXP('Advanced Entry'!G202),'Advanced Entry'!G202)))-'Advanced Entry'!G$6)/('Advanced Entry'!G$7-'Advanced Entry'!G$6),10*((IF('Advanced Entry'!G$5="Logarithm",LN(0.001+'Advanced Entry'!G202),IF('Advanced Entry'!G$5="Exponential",EXP('Advanced Entry'!G202),'Advanced Entry'!G202)))-'Advanced Entry'!G$6)/('Advanced Entry'!G$7-'Advanced Entry'!G$6)),1))),"No data"))</f>
        <v/>
      </c>
      <c r="H202" s="17">
        <f>IF('Advanced Entry'!H202="","",IFERROR(MAX(0,MIN(10,ROUND(IF('Advanced Entry'!H$8="Decrease Risk",10-10*((IF('Advanced Entry'!H$5="Logarithm",LN(0.001+'Advanced Entry'!H202),IF('Advanced Entry'!H$5="Exponential",EXP('Advanced Entry'!H202),'Advanced Entry'!H202)))-'Advanced Entry'!H$6)/('Advanced Entry'!H$7-'Advanced Entry'!H$6),10*((IF('Advanced Entry'!H$5="Logarithm",LN(0.001+'Advanced Entry'!H202),IF('Advanced Entry'!H$5="Exponential",EXP('Advanced Entry'!H202),'Advanced Entry'!H202)))-'Advanced Entry'!H$6)/('Advanced Entry'!H$7-'Advanced Entry'!H$6)),1))),"No data"))</f>
        <v/>
      </c>
      <c r="I202" s="17">
        <f>IF('Advanced Entry'!I202="","",IFERROR(MAX(0,MIN(10,ROUND(IF('Advanced Entry'!I$8="Decrease Risk",10-10*((IF('Advanced Entry'!I$5="Logarithm",LN(0.001+'Advanced Entry'!I202),IF('Advanced Entry'!I$5="Exponential",EXP('Advanced Entry'!I202),'Advanced Entry'!I202)))-'Advanced Entry'!I$6)/('Advanced Entry'!I$7-'Advanced Entry'!I$6),10*((IF('Advanced Entry'!I$5="Logarithm",LN(0.001+'Advanced Entry'!I202),IF('Advanced Entry'!I$5="Exponential",EXP('Advanced Entry'!I202),'Advanced Entry'!I202)))-'Advanced Entry'!I$6)/('Advanced Entry'!I$7-'Advanced Entry'!I$6)),1))),"No data"))</f>
        <v/>
      </c>
      <c r="J202" s="17">
        <f>IF('Advanced Entry'!J202="","",IFERROR(MAX(0,MIN(10,ROUND(IF('Advanced Entry'!J$8="Decrease Risk",10-10*((IF('Advanced Entry'!J$5="Logarithm",LN(0.001+'Advanced Entry'!J202),IF('Advanced Entry'!J$5="Exponential",EXP('Advanced Entry'!J202),'Advanced Entry'!J202)))-'Advanced Entry'!J$6)/('Advanced Entry'!J$7-'Advanced Entry'!J$6),10*((IF('Advanced Entry'!J$5="Logarithm",LN(0.001+'Advanced Entry'!J202),IF('Advanced Entry'!J$5="Exponential",EXP('Advanced Entry'!J202),'Advanced Entry'!J202)))-'Advanced Entry'!J$6)/('Advanced Entry'!J$7-'Advanced Entry'!J$6)),1))),"No data"))</f>
        <v/>
      </c>
      <c r="K202" s="17">
        <f>IF('Advanced Entry'!K202="","",IFERROR(MAX(0,MIN(10,ROUND(IF('Advanced Entry'!K$8="Decrease Risk",10-10*((IF('Advanced Entry'!K$5="Logarithm",LN(0.001+'Advanced Entry'!K202),IF('Advanced Entry'!K$5="Exponential",EXP('Advanced Entry'!K202),'Advanced Entry'!K202)))-'Advanced Entry'!K$6)/('Advanced Entry'!K$7-'Advanced Entry'!K$6),10*((IF('Advanced Entry'!K$5="Logarithm",LN(0.001+'Advanced Entry'!K202),IF('Advanced Entry'!K$5="Exponential",EXP('Advanced Entry'!K202),'Advanced Entry'!K202)))-'Advanced Entry'!K$6)/('Advanced Entry'!K$7-'Advanced Entry'!K$6)),1))),"No data"))</f>
        <v/>
      </c>
      <c r="L202" s="17">
        <f>IF('Advanced Entry'!L202="","",IFERROR(MAX(0,MIN(10,ROUND(IF('Advanced Entry'!L$8="Decrease Risk",10-10*((IF('Advanced Entry'!L$5="Logarithm",LN(0.001+'Advanced Entry'!L202),IF('Advanced Entry'!L$5="Exponential",EXP('Advanced Entry'!L202),'Advanced Entry'!L202)))-'Advanced Entry'!L$6)/('Advanced Entry'!L$7-'Advanced Entry'!L$6),10*((IF('Advanced Entry'!L$5="Logarithm",LN(0.001+'Advanced Entry'!L202),IF('Advanced Entry'!L$5="Exponential",EXP('Advanced Entry'!L202),'Advanced Entry'!L202)))-'Advanced Entry'!L$6)/('Advanced Entry'!L$7-'Advanced Entry'!L$6)),1))),"No data"))</f>
        <v/>
      </c>
      <c r="M202" s="17">
        <f>IF('Advanced Entry'!M202="","",IFERROR(MAX(0,MIN(10,ROUND(IF('Advanced Entry'!M$8="Decrease Risk",10-10*((IF('Advanced Entry'!M$5="Logarithm",LN(0.001+'Advanced Entry'!M202),IF('Advanced Entry'!M$5="Exponential",EXP('Advanced Entry'!M202),'Advanced Entry'!M202)))-'Advanced Entry'!M$6)/('Advanced Entry'!M$7-'Advanced Entry'!M$6),10*((IF('Advanced Entry'!M$5="Logarithm",LN(0.001+'Advanced Entry'!M202),IF('Advanced Entry'!M$5="Exponential",EXP('Advanced Entry'!M202),'Advanced Entry'!M202)))-'Advanced Entry'!M$6)/('Advanced Entry'!M$7-'Advanced Entry'!M$6)),1))),"No data"))</f>
        <v/>
      </c>
      <c r="N202" s="17">
        <f>IF('Advanced Entry'!N202="","",IFERROR(MAX(0,MIN(10,ROUND(IF('Advanced Entry'!N$8="Decrease Risk",10-10*((IF('Advanced Entry'!N$5="Logarithm",LN(0.001+'Advanced Entry'!N202),IF('Advanced Entry'!N$5="Exponential",EXP('Advanced Entry'!N202),'Advanced Entry'!N202)))-'Advanced Entry'!N$6)/('Advanced Entry'!N$7-'Advanced Entry'!N$6),10*((IF('Advanced Entry'!N$5="Logarithm",LN(0.001+'Advanced Entry'!N202),IF('Advanced Entry'!N$5="Exponential",EXP('Advanced Entry'!N202),'Advanced Entry'!N202)))-'Advanced Entry'!N$6)/('Advanced Entry'!N$7-'Advanced Entry'!N$6)),1))),"No data"))</f>
        <v/>
      </c>
      <c r="O202" s="17">
        <f>IF('Advanced Entry'!O202="","",IFERROR(MAX(0,MIN(10,ROUND(IF('Advanced Entry'!O$8="Decrease Risk",10-10*((IF('Advanced Entry'!O$5="Logarithm",LN(0.001+'Advanced Entry'!O202),IF('Advanced Entry'!O$5="Exponential",EXP('Advanced Entry'!O202),'Advanced Entry'!O202)))-'Advanced Entry'!O$6)/('Advanced Entry'!O$7-'Advanced Entry'!O$6),10*((IF('Advanced Entry'!O$5="Logarithm",LN(0.001+'Advanced Entry'!O202),IF('Advanced Entry'!O$5="Exponential",EXP('Advanced Entry'!O202),'Advanced Entry'!O202)))-'Advanced Entry'!O$6)/('Advanced Entry'!O$7-'Advanced Entry'!O$6)),1))),"No data"))</f>
        <v/>
      </c>
      <c r="P202" s="17">
        <f>IF('Advanced Entry'!P202="","",IFERROR(MAX(0,MIN(10,ROUND(IF('Advanced Entry'!P$8="Decrease Risk",10-10*((IF('Advanced Entry'!P$5="Logarithm",LN(0.001+'Advanced Entry'!P202),IF('Advanced Entry'!P$5="Exponential",EXP('Advanced Entry'!P202),'Advanced Entry'!P202)))-'Advanced Entry'!P$6)/('Advanced Entry'!P$7-'Advanced Entry'!P$6),10*((IF('Advanced Entry'!P$5="Logarithm",LN(0.001+'Advanced Entry'!P202),IF('Advanced Entry'!P$5="Exponential",EXP('Advanced Entry'!P202),'Advanced Entry'!P202)))-'Advanced Entry'!P$6)/('Advanced Entry'!P$7-'Advanced Entry'!P$6)),1))),"No data"))</f>
        <v/>
      </c>
      <c r="Q202" s="17">
        <f>IF('Advanced Entry'!Q202="","",IFERROR(MAX(0,MIN(10,ROUND(IF('Advanced Entry'!Q$8="Decrease Risk",10-10*((IF('Advanced Entry'!Q$5="Logarithm",LN(0.001+'Advanced Entry'!Q202),IF('Advanced Entry'!Q$5="Exponential",EXP('Advanced Entry'!Q202),'Advanced Entry'!Q202)))-'Advanced Entry'!Q$6)/('Advanced Entry'!Q$7-'Advanced Entry'!Q$6),10*((IF('Advanced Entry'!Q$5="Logarithm",LN(0.001+'Advanced Entry'!Q202),IF('Advanced Entry'!Q$5="Exponential",EXP('Advanced Entry'!Q202),'Advanced Entry'!Q202)))-'Advanced Entry'!Q$6)/('Advanced Entry'!Q$7-'Advanced Entry'!Q$6)),1))),"No data"))</f>
        <v/>
      </c>
      <c r="R202" s="17">
        <f>IF('Advanced Entry'!R202="","",IFERROR(MAX(0,MIN(10,ROUND(IF('Advanced Entry'!R$8="Decrease Risk",10-10*((IF('Advanced Entry'!R$5="Logarithm",LN(0.001+'Advanced Entry'!R202),IF('Advanced Entry'!R$5="Exponential",EXP('Advanced Entry'!R202),'Advanced Entry'!R202)))-'Advanced Entry'!R$6)/('Advanced Entry'!R$7-'Advanced Entry'!R$6),10*((IF('Advanced Entry'!R$5="Logarithm",LN(0.001+'Advanced Entry'!R202),IF('Advanced Entry'!R$5="Exponential",EXP('Advanced Entry'!R202),'Advanced Entry'!R202)))-'Advanced Entry'!R$6)/('Advanced Entry'!R$7-'Advanced Entry'!R$6)),1))),"No data"))</f>
        <v/>
      </c>
      <c r="S202" s="17">
        <f>IF('Advanced Entry'!S202="","",IFERROR(MAX(0,MIN(10,ROUND(IF('Advanced Entry'!S$8="Decrease Risk",10-10*((IF('Advanced Entry'!S$5="Logarithm",LN(0.001+'Advanced Entry'!S202),IF('Advanced Entry'!S$5="Exponential",EXP('Advanced Entry'!S202),'Advanced Entry'!S202)))-'Advanced Entry'!S$6)/('Advanced Entry'!S$7-'Advanced Entry'!S$6),10*((IF('Advanced Entry'!S$5="Logarithm",LN(0.001+'Advanced Entry'!S202),IF('Advanced Entry'!S$5="Exponential",EXP('Advanced Entry'!S202),'Advanced Entry'!S202)))-'Advanced Entry'!S$6)/('Advanced Entry'!S$7-'Advanced Entry'!S$6)),1))),"No data"))</f>
        <v/>
      </c>
      <c r="T202" s="17">
        <f>IF('Advanced Entry'!T202="","",IFERROR(MAX(0,MIN(10,ROUND(IF('Advanced Entry'!T$8="Decrease Risk",10-10*((IF('Advanced Entry'!T$5="Logarithm",LN(0.001+'Advanced Entry'!T202),IF('Advanced Entry'!T$5="Exponential",EXP('Advanced Entry'!T202),'Advanced Entry'!T202)))-'Advanced Entry'!T$6)/('Advanced Entry'!T$7-'Advanced Entry'!T$6),10*((IF('Advanced Entry'!T$5="Logarithm",LN(0.001+'Advanced Entry'!T202),IF('Advanced Entry'!T$5="Exponential",EXP('Advanced Entry'!T202),'Advanced Entry'!T202)))-'Advanced Entry'!T$6)/('Advanced Entry'!T$7-'Advanced Entry'!T$6)),1))),"No data"))</f>
        <v/>
      </c>
      <c r="U202" s="17">
        <f>IF('Advanced Entry'!U202="","",IFERROR(MAX(0,MIN(10,ROUND(IF('Advanced Entry'!U$8="Decrease Risk",10-10*((IF('Advanced Entry'!U$5="Logarithm",LN(0.001+'Advanced Entry'!U202),IF('Advanced Entry'!U$5="Exponential",EXP('Advanced Entry'!U202),'Advanced Entry'!U202)))-'Advanced Entry'!U$6)/('Advanced Entry'!U$7-'Advanced Entry'!U$6),10*((IF('Advanced Entry'!U$5="Logarithm",LN(0.001+'Advanced Entry'!U202),IF('Advanced Entry'!U$5="Exponential",EXP('Advanced Entry'!U202),'Advanced Entry'!U202)))-'Advanced Entry'!U$6)/('Advanced Entry'!U$7-'Advanced Entry'!U$6)),1))),"No data"))</f>
        <v/>
      </c>
      <c r="V202" s="17">
        <f>IF('Advanced Entry'!V202="","",IFERROR(MAX(0,MIN(10,ROUND(IF('Advanced Entry'!V$8="Decrease Risk",10-10*((IF('Advanced Entry'!V$5="Logarithm",LN(0.001+'Advanced Entry'!V202),IF('Advanced Entry'!V$5="Exponential",EXP('Advanced Entry'!V202),'Advanced Entry'!V202)))-'Advanced Entry'!V$6)/('Advanced Entry'!V$7-'Advanced Entry'!V$6),10*((IF('Advanced Entry'!V$5="Logarithm",LN(0.001+'Advanced Entry'!V202),IF('Advanced Entry'!V$5="Exponential",EXP('Advanced Entry'!V202),'Advanced Entry'!V202)))-'Advanced Entry'!V$6)/('Advanced Entry'!V$7-'Advanced Entry'!V$6)),1))),"No data"))</f>
        <v/>
      </c>
      <c r="W202" s="17">
        <f>IF('Advanced Entry'!W202="","",IFERROR(MAX(0,MIN(10,ROUND(IF('Advanced Entry'!W$8="Decrease Risk",10-10*((IF('Advanced Entry'!W$5="Logarithm",LN(0.001+'Advanced Entry'!W202),IF('Advanced Entry'!W$5="Exponential",EXP('Advanced Entry'!W202),'Advanced Entry'!W202)))-'Advanced Entry'!W$6)/('Advanced Entry'!W$7-'Advanced Entry'!W$6),10*((IF('Advanced Entry'!W$5="Logarithm",LN(0.001+'Advanced Entry'!W202),IF('Advanced Entry'!W$5="Exponential",EXP('Advanced Entry'!W202),'Advanced Entry'!W202)))-'Advanced Entry'!W$6)/('Advanced Entry'!W$7-'Advanced Entry'!W$6)),1))),"No data"))</f>
        <v/>
      </c>
      <c r="X202" s="17">
        <f>IF('Advanced Entry'!X202="","",IFERROR(MAX(0,MIN(10,ROUND(IF('Advanced Entry'!X$8="Decrease Risk",10-10*((IF('Advanced Entry'!X$5="Logarithm",LN(0.001+'Advanced Entry'!X202),IF('Advanced Entry'!X$5="Exponential",EXP('Advanced Entry'!X202),'Advanced Entry'!X202)))-'Advanced Entry'!X$6)/('Advanced Entry'!X$7-'Advanced Entry'!X$6),10*((IF('Advanced Entry'!X$5="Logarithm",LN(0.001+'Advanced Entry'!X202),IF('Advanced Entry'!X$5="Exponential",EXP('Advanced Entry'!X202),'Advanced Entry'!X202)))-'Advanced Entry'!X$6)/('Advanced Entry'!X$7-'Advanced Entry'!X$6)),1))),"No data"))</f>
        <v/>
      </c>
      <c r="Y202" s="17">
        <f>IF('Advanced Entry'!Y202="","",IFERROR(MAX(0,MIN(10,ROUND(IF('Advanced Entry'!Y$8="Decrease Risk",10-10*((IF('Advanced Entry'!Y$5="Logarithm",LN(0.001+'Advanced Entry'!Y202),IF('Advanced Entry'!Y$5="Exponential",EXP('Advanced Entry'!Y202),'Advanced Entry'!Y202)))-'Advanced Entry'!Y$6)/('Advanced Entry'!Y$7-'Advanced Entry'!Y$6),10*((IF('Advanced Entry'!Y$5="Logarithm",LN(0.001+'Advanced Entry'!Y202),IF('Advanced Entry'!Y$5="Exponential",EXP('Advanced Entry'!Y202),'Advanced Entry'!Y202)))-'Advanced Entry'!Y$6)/('Advanced Entry'!Y$7-'Advanced Entry'!Y$6)),1))),"No data"))</f>
        <v/>
      </c>
      <c r="Z202" s="17">
        <f>IF('Advanced Entry'!Z202="","",IFERROR(MAX(0,MIN(10,ROUND(IF('Advanced Entry'!Z$8="Decrease Risk",10-10*((IF('Advanced Entry'!Z$5="Logarithm",LN(0.001+'Advanced Entry'!Z202),IF('Advanced Entry'!Z$5="Exponential",EXP('Advanced Entry'!Z202),'Advanced Entry'!Z202)))-'Advanced Entry'!Z$6)/('Advanced Entry'!Z$7-'Advanced Entry'!Z$6),10*((IF('Advanced Entry'!Z$5="Logarithm",LN(0.001+'Advanced Entry'!Z202),IF('Advanced Entry'!Z$5="Exponential",EXP('Advanced Entry'!Z202),'Advanced Entry'!Z202)))-'Advanced Entry'!Z$6)/('Advanced Entry'!Z$7-'Advanced Entry'!Z$6)),1))),"No data"))</f>
        <v/>
      </c>
      <c r="AA202" s="17">
        <f>IF('Advanced Entry'!AA202="","",IFERROR(MAX(0,MIN(10,ROUND(IF('Advanced Entry'!AA$8="Decrease Risk",10-10*((IF('Advanced Entry'!AA$5="Logarithm",LN(0.001+'Advanced Entry'!AA202),IF('Advanced Entry'!AA$5="Exponential",EXP('Advanced Entry'!AA202),'Advanced Entry'!AA202)))-'Advanced Entry'!AA$6)/('Advanced Entry'!AA$7-'Advanced Entry'!AA$6),10*((IF('Advanced Entry'!AA$5="Logarithm",LN(0.001+'Advanced Entry'!AA202),IF('Advanced Entry'!AA$5="Exponential",EXP('Advanced Entry'!AA202),'Advanced Entry'!AA202)))-'Advanced Entry'!AA$6)/('Advanced Entry'!AA$7-'Advanced Entry'!AA$6)),1))),"No data"))</f>
        <v/>
      </c>
      <c r="AB202" s="17">
        <f>IF('Advanced Entry'!AB202="","",IFERROR(MAX(0,MIN(10,ROUND(IF('Advanced Entry'!AB$8="Decrease Risk",10-10*((IF('Advanced Entry'!AB$5="Logarithm",LN(0.001+'Advanced Entry'!AB202),IF('Advanced Entry'!AB$5="Exponential",EXP('Advanced Entry'!AB202),'Advanced Entry'!AB202)))-'Advanced Entry'!AB$6)/('Advanced Entry'!AB$7-'Advanced Entry'!AB$6),10*((IF('Advanced Entry'!AB$5="Logarithm",LN(0.001+'Advanced Entry'!AB202),IF('Advanced Entry'!AB$5="Exponential",EXP('Advanced Entry'!AB202),'Advanced Entry'!AB202)))-'Advanced Entry'!AB$6)/('Advanced Entry'!AB$7-'Advanced Entry'!AB$6)),1))),"No data"))</f>
        <v/>
      </c>
    </row>
    <row r="203">
      <c r="A203" t="inlineStr">
        <is>
          <t>Tanga</t>
        </is>
      </c>
      <c r="B203" t="inlineStr">
        <is>
          <t>Muheza District</t>
        </is>
      </c>
      <c r="C203" t="inlineStr">
        <is>
          <t>C027</t>
        </is>
      </c>
      <c r="D203" s="17">
        <f>IF('Advanced Entry'!D203="","",IFERROR(MAX(0,MIN(10,ROUND(IF('Advanced Entry'!D$8="Decrease Risk",10-10*((IF('Advanced Entry'!D$5="Logarithm",LN(0.001+'Advanced Entry'!D203),IF('Advanced Entry'!D$5="Exponential",EXP('Advanced Entry'!D203),'Advanced Entry'!D203)))-'Advanced Entry'!D$6)/('Advanced Entry'!D$7-'Advanced Entry'!D$6),10*((IF('Advanced Entry'!D$5="Logarithm",LN(0.001+'Advanced Entry'!D203),IF('Advanced Entry'!D$5="Exponential",EXP('Advanced Entry'!D203),'Advanced Entry'!D203)))-'Advanced Entry'!D$6)/('Advanced Entry'!D$7-'Advanced Entry'!D$6)),1))),"No data"))</f>
        <v/>
      </c>
      <c r="E203" s="17">
        <f>IF('Advanced Entry'!E203="","",IFERROR(MAX(0,MIN(10,ROUND(IF('Advanced Entry'!E$8="Decrease Risk",10-10*((IF('Advanced Entry'!E$5="Logarithm",LN(0.001+'Advanced Entry'!E203),IF('Advanced Entry'!E$5="Exponential",EXP('Advanced Entry'!E203),'Advanced Entry'!E203)))-'Advanced Entry'!E$6)/('Advanced Entry'!E$7-'Advanced Entry'!E$6),10*((IF('Advanced Entry'!E$5="Logarithm",LN(0.001+'Advanced Entry'!E203),IF('Advanced Entry'!E$5="Exponential",EXP('Advanced Entry'!E203),'Advanced Entry'!E203)))-'Advanced Entry'!E$6)/('Advanced Entry'!E$7-'Advanced Entry'!E$6)),1))),"No data"))</f>
        <v/>
      </c>
      <c r="F203" s="17">
        <f>IF('Advanced Entry'!F203="","",IFERROR(MAX(0,MIN(10,ROUND(IF('Advanced Entry'!F$8="Decrease Risk",10-10*((IF('Advanced Entry'!F$5="Logarithm",LN(0.001+'Advanced Entry'!F203),IF('Advanced Entry'!F$5="Exponential",EXP('Advanced Entry'!F203),'Advanced Entry'!F203)))-'Advanced Entry'!F$6)/('Advanced Entry'!F$7-'Advanced Entry'!F$6),10*((IF('Advanced Entry'!F$5="Logarithm",LN(0.001+'Advanced Entry'!F203),IF('Advanced Entry'!F$5="Exponential",EXP('Advanced Entry'!F203),'Advanced Entry'!F203)))-'Advanced Entry'!F$6)/('Advanced Entry'!F$7-'Advanced Entry'!F$6)),1))),"No data"))</f>
        <v/>
      </c>
      <c r="G203" s="17">
        <f>IF('Advanced Entry'!G203="","",IFERROR(MAX(0,MIN(10,ROUND(IF('Advanced Entry'!G$8="Decrease Risk",10-10*((IF('Advanced Entry'!G$5="Logarithm",LN(0.001+'Advanced Entry'!G203),IF('Advanced Entry'!G$5="Exponential",EXP('Advanced Entry'!G203),'Advanced Entry'!G203)))-'Advanced Entry'!G$6)/('Advanced Entry'!G$7-'Advanced Entry'!G$6),10*((IF('Advanced Entry'!G$5="Logarithm",LN(0.001+'Advanced Entry'!G203),IF('Advanced Entry'!G$5="Exponential",EXP('Advanced Entry'!G203),'Advanced Entry'!G203)))-'Advanced Entry'!G$6)/('Advanced Entry'!G$7-'Advanced Entry'!G$6)),1))),"No data"))</f>
        <v/>
      </c>
      <c r="H203" s="17">
        <f>IF('Advanced Entry'!H203="","",IFERROR(MAX(0,MIN(10,ROUND(IF('Advanced Entry'!H$8="Decrease Risk",10-10*((IF('Advanced Entry'!H$5="Logarithm",LN(0.001+'Advanced Entry'!H203),IF('Advanced Entry'!H$5="Exponential",EXP('Advanced Entry'!H203),'Advanced Entry'!H203)))-'Advanced Entry'!H$6)/('Advanced Entry'!H$7-'Advanced Entry'!H$6),10*((IF('Advanced Entry'!H$5="Logarithm",LN(0.001+'Advanced Entry'!H203),IF('Advanced Entry'!H$5="Exponential",EXP('Advanced Entry'!H203),'Advanced Entry'!H203)))-'Advanced Entry'!H$6)/('Advanced Entry'!H$7-'Advanced Entry'!H$6)),1))),"No data"))</f>
        <v/>
      </c>
      <c r="I203" s="17">
        <f>IF('Advanced Entry'!I203="","",IFERROR(MAX(0,MIN(10,ROUND(IF('Advanced Entry'!I$8="Decrease Risk",10-10*((IF('Advanced Entry'!I$5="Logarithm",LN(0.001+'Advanced Entry'!I203),IF('Advanced Entry'!I$5="Exponential",EXP('Advanced Entry'!I203),'Advanced Entry'!I203)))-'Advanced Entry'!I$6)/('Advanced Entry'!I$7-'Advanced Entry'!I$6),10*((IF('Advanced Entry'!I$5="Logarithm",LN(0.001+'Advanced Entry'!I203),IF('Advanced Entry'!I$5="Exponential",EXP('Advanced Entry'!I203),'Advanced Entry'!I203)))-'Advanced Entry'!I$6)/('Advanced Entry'!I$7-'Advanced Entry'!I$6)),1))),"No data"))</f>
        <v/>
      </c>
      <c r="J203" s="17">
        <f>IF('Advanced Entry'!J203="","",IFERROR(MAX(0,MIN(10,ROUND(IF('Advanced Entry'!J$8="Decrease Risk",10-10*((IF('Advanced Entry'!J$5="Logarithm",LN(0.001+'Advanced Entry'!J203),IF('Advanced Entry'!J$5="Exponential",EXP('Advanced Entry'!J203),'Advanced Entry'!J203)))-'Advanced Entry'!J$6)/('Advanced Entry'!J$7-'Advanced Entry'!J$6),10*((IF('Advanced Entry'!J$5="Logarithm",LN(0.001+'Advanced Entry'!J203),IF('Advanced Entry'!J$5="Exponential",EXP('Advanced Entry'!J203),'Advanced Entry'!J203)))-'Advanced Entry'!J$6)/('Advanced Entry'!J$7-'Advanced Entry'!J$6)),1))),"No data"))</f>
        <v/>
      </c>
      <c r="K203" s="17">
        <f>IF('Advanced Entry'!K203="","",IFERROR(MAX(0,MIN(10,ROUND(IF('Advanced Entry'!K$8="Decrease Risk",10-10*((IF('Advanced Entry'!K$5="Logarithm",LN(0.001+'Advanced Entry'!K203),IF('Advanced Entry'!K$5="Exponential",EXP('Advanced Entry'!K203),'Advanced Entry'!K203)))-'Advanced Entry'!K$6)/('Advanced Entry'!K$7-'Advanced Entry'!K$6),10*((IF('Advanced Entry'!K$5="Logarithm",LN(0.001+'Advanced Entry'!K203),IF('Advanced Entry'!K$5="Exponential",EXP('Advanced Entry'!K203),'Advanced Entry'!K203)))-'Advanced Entry'!K$6)/('Advanced Entry'!K$7-'Advanced Entry'!K$6)),1))),"No data"))</f>
        <v/>
      </c>
      <c r="L203" s="17">
        <f>IF('Advanced Entry'!L203="","",IFERROR(MAX(0,MIN(10,ROUND(IF('Advanced Entry'!L$8="Decrease Risk",10-10*((IF('Advanced Entry'!L$5="Logarithm",LN(0.001+'Advanced Entry'!L203),IF('Advanced Entry'!L$5="Exponential",EXP('Advanced Entry'!L203),'Advanced Entry'!L203)))-'Advanced Entry'!L$6)/('Advanced Entry'!L$7-'Advanced Entry'!L$6),10*((IF('Advanced Entry'!L$5="Logarithm",LN(0.001+'Advanced Entry'!L203),IF('Advanced Entry'!L$5="Exponential",EXP('Advanced Entry'!L203),'Advanced Entry'!L203)))-'Advanced Entry'!L$6)/('Advanced Entry'!L$7-'Advanced Entry'!L$6)),1))),"No data"))</f>
        <v/>
      </c>
      <c r="M203" s="17">
        <f>IF('Advanced Entry'!M203="","",IFERROR(MAX(0,MIN(10,ROUND(IF('Advanced Entry'!M$8="Decrease Risk",10-10*((IF('Advanced Entry'!M$5="Logarithm",LN(0.001+'Advanced Entry'!M203),IF('Advanced Entry'!M$5="Exponential",EXP('Advanced Entry'!M203),'Advanced Entry'!M203)))-'Advanced Entry'!M$6)/('Advanced Entry'!M$7-'Advanced Entry'!M$6),10*((IF('Advanced Entry'!M$5="Logarithm",LN(0.001+'Advanced Entry'!M203),IF('Advanced Entry'!M$5="Exponential",EXP('Advanced Entry'!M203),'Advanced Entry'!M203)))-'Advanced Entry'!M$6)/('Advanced Entry'!M$7-'Advanced Entry'!M$6)),1))),"No data"))</f>
        <v/>
      </c>
      <c r="N203" s="17">
        <f>IF('Advanced Entry'!N203="","",IFERROR(MAX(0,MIN(10,ROUND(IF('Advanced Entry'!N$8="Decrease Risk",10-10*((IF('Advanced Entry'!N$5="Logarithm",LN(0.001+'Advanced Entry'!N203),IF('Advanced Entry'!N$5="Exponential",EXP('Advanced Entry'!N203),'Advanced Entry'!N203)))-'Advanced Entry'!N$6)/('Advanced Entry'!N$7-'Advanced Entry'!N$6),10*((IF('Advanced Entry'!N$5="Logarithm",LN(0.001+'Advanced Entry'!N203),IF('Advanced Entry'!N$5="Exponential",EXP('Advanced Entry'!N203),'Advanced Entry'!N203)))-'Advanced Entry'!N$6)/('Advanced Entry'!N$7-'Advanced Entry'!N$6)),1))),"No data"))</f>
        <v/>
      </c>
      <c r="O203" s="17">
        <f>IF('Advanced Entry'!O203="","",IFERROR(MAX(0,MIN(10,ROUND(IF('Advanced Entry'!O$8="Decrease Risk",10-10*((IF('Advanced Entry'!O$5="Logarithm",LN(0.001+'Advanced Entry'!O203),IF('Advanced Entry'!O$5="Exponential",EXP('Advanced Entry'!O203),'Advanced Entry'!O203)))-'Advanced Entry'!O$6)/('Advanced Entry'!O$7-'Advanced Entry'!O$6),10*((IF('Advanced Entry'!O$5="Logarithm",LN(0.001+'Advanced Entry'!O203),IF('Advanced Entry'!O$5="Exponential",EXP('Advanced Entry'!O203),'Advanced Entry'!O203)))-'Advanced Entry'!O$6)/('Advanced Entry'!O$7-'Advanced Entry'!O$6)),1))),"No data"))</f>
        <v/>
      </c>
      <c r="P203" s="17">
        <f>IF('Advanced Entry'!P203="","",IFERROR(MAX(0,MIN(10,ROUND(IF('Advanced Entry'!P$8="Decrease Risk",10-10*((IF('Advanced Entry'!P$5="Logarithm",LN(0.001+'Advanced Entry'!P203),IF('Advanced Entry'!P$5="Exponential",EXP('Advanced Entry'!P203),'Advanced Entry'!P203)))-'Advanced Entry'!P$6)/('Advanced Entry'!P$7-'Advanced Entry'!P$6),10*((IF('Advanced Entry'!P$5="Logarithm",LN(0.001+'Advanced Entry'!P203),IF('Advanced Entry'!P$5="Exponential",EXP('Advanced Entry'!P203),'Advanced Entry'!P203)))-'Advanced Entry'!P$6)/('Advanced Entry'!P$7-'Advanced Entry'!P$6)),1))),"No data"))</f>
        <v/>
      </c>
      <c r="Q203" s="17">
        <f>IF('Advanced Entry'!Q203="","",IFERROR(MAX(0,MIN(10,ROUND(IF('Advanced Entry'!Q$8="Decrease Risk",10-10*((IF('Advanced Entry'!Q$5="Logarithm",LN(0.001+'Advanced Entry'!Q203),IF('Advanced Entry'!Q$5="Exponential",EXP('Advanced Entry'!Q203),'Advanced Entry'!Q203)))-'Advanced Entry'!Q$6)/('Advanced Entry'!Q$7-'Advanced Entry'!Q$6),10*((IF('Advanced Entry'!Q$5="Logarithm",LN(0.001+'Advanced Entry'!Q203),IF('Advanced Entry'!Q$5="Exponential",EXP('Advanced Entry'!Q203),'Advanced Entry'!Q203)))-'Advanced Entry'!Q$6)/('Advanced Entry'!Q$7-'Advanced Entry'!Q$6)),1))),"No data"))</f>
        <v/>
      </c>
      <c r="R203" s="17">
        <f>IF('Advanced Entry'!R203="","",IFERROR(MAX(0,MIN(10,ROUND(IF('Advanced Entry'!R$8="Decrease Risk",10-10*((IF('Advanced Entry'!R$5="Logarithm",LN(0.001+'Advanced Entry'!R203),IF('Advanced Entry'!R$5="Exponential",EXP('Advanced Entry'!R203),'Advanced Entry'!R203)))-'Advanced Entry'!R$6)/('Advanced Entry'!R$7-'Advanced Entry'!R$6),10*((IF('Advanced Entry'!R$5="Logarithm",LN(0.001+'Advanced Entry'!R203),IF('Advanced Entry'!R$5="Exponential",EXP('Advanced Entry'!R203),'Advanced Entry'!R203)))-'Advanced Entry'!R$6)/('Advanced Entry'!R$7-'Advanced Entry'!R$6)),1))),"No data"))</f>
        <v/>
      </c>
      <c r="S203" s="17">
        <f>IF('Advanced Entry'!S203="","",IFERROR(MAX(0,MIN(10,ROUND(IF('Advanced Entry'!S$8="Decrease Risk",10-10*((IF('Advanced Entry'!S$5="Logarithm",LN(0.001+'Advanced Entry'!S203),IF('Advanced Entry'!S$5="Exponential",EXP('Advanced Entry'!S203),'Advanced Entry'!S203)))-'Advanced Entry'!S$6)/('Advanced Entry'!S$7-'Advanced Entry'!S$6),10*((IF('Advanced Entry'!S$5="Logarithm",LN(0.001+'Advanced Entry'!S203),IF('Advanced Entry'!S$5="Exponential",EXP('Advanced Entry'!S203),'Advanced Entry'!S203)))-'Advanced Entry'!S$6)/('Advanced Entry'!S$7-'Advanced Entry'!S$6)),1))),"No data"))</f>
        <v/>
      </c>
      <c r="T203" s="17">
        <f>IF('Advanced Entry'!T203="","",IFERROR(MAX(0,MIN(10,ROUND(IF('Advanced Entry'!T$8="Decrease Risk",10-10*((IF('Advanced Entry'!T$5="Logarithm",LN(0.001+'Advanced Entry'!T203),IF('Advanced Entry'!T$5="Exponential",EXP('Advanced Entry'!T203),'Advanced Entry'!T203)))-'Advanced Entry'!T$6)/('Advanced Entry'!T$7-'Advanced Entry'!T$6),10*((IF('Advanced Entry'!T$5="Logarithm",LN(0.001+'Advanced Entry'!T203),IF('Advanced Entry'!T$5="Exponential",EXP('Advanced Entry'!T203),'Advanced Entry'!T203)))-'Advanced Entry'!T$6)/('Advanced Entry'!T$7-'Advanced Entry'!T$6)),1))),"No data"))</f>
        <v/>
      </c>
      <c r="U203" s="17">
        <f>IF('Advanced Entry'!U203="","",IFERROR(MAX(0,MIN(10,ROUND(IF('Advanced Entry'!U$8="Decrease Risk",10-10*((IF('Advanced Entry'!U$5="Logarithm",LN(0.001+'Advanced Entry'!U203),IF('Advanced Entry'!U$5="Exponential",EXP('Advanced Entry'!U203),'Advanced Entry'!U203)))-'Advanced Entry'!U$6)/('Advanced Entry'!U$7-'Advanced Entry'!U$6),10*((IF('Advanced Entry'!U$5="Logarithm",LN(0.001+'Advanced Entry'!U203),IF('Advanced Entry'!U$5="Exponential",EXP('Advanced Entry'!U203),'Advanced Entry'!U203)))-'Advanced Entry'!U$6)/('Advanced Entry'!U$7-'Advanced Entry'!U$6)),1))),"No data"))</f>
        <v/>
      </c>
      <c r="V203" s="17">
        <f>IF('Advanced Entry'!V203="","",IFERROR(MAX(0,MIN(10,ROUND(IF('Advanced Entry'!V$8="Decrease Risk",10-10*((IF('Advanced Entry'!V$5="Logarithm",LN(0.001+'Advanced Entry'!V203),IF('Advanced Entry'!V$5="Exponential",EXP('Advanced Entry'!V203),'Advanced Entry'!V203)))-'Advanced Entry'!V$6)/('Advanced Entry'!V$7-'Advanced Entry'!V$6),10*((IF('Advanced Entry'!V$5="Logarithm",LN(0.001+'Advanced Entry'!V203),IF('Advanced Entry'!V$5="Exponential",EXP('Advanced Entry'!V203),'Advanced Entry'!V203)))-'Advanced Entry'!V$6)/('Advanced Entry'!V$7-'Advanced Entry'!V$6)),1))),"No data"))</f>
        <v/>
      </c>
      <c r="W203" s="17">
        <f>IF('Advanced Entry'!W203="","",IFERROR(MAX(0,MIN(10,ROUND(IF('Advanced Entry'!W$8="Decrease Risk",10-10*((IF('Advanced Entry'!W$5="Logarithm",LN(0.001+'Advanced Entry'!W203),IF('Advanced Entry'!W$5="Exponential",EXP('Advanced Entry'!W203),'Advanced Entry'!W203)))-'Advanced Entry'!W$6)/('Advanced Entry'!W$7-'Advanced Entry'!W$6),10*((IF('Advanced Entry'!W$5="Logarithm",LN(0.001+'Advanced Entry'!W203),IF('Advanced Entry'!W$5="Exponential",EXP('Advanced Entry'!W203),'Advanced Entry'!W203)))-'Advanced Entry'!W$6)/('Advanced Entry'!W$7-'Advanced Entry'!W$6)),1))),"No data"))</f>
        <v/>
      </c>
      <c r="X203" s="17">
        <f>IF('Advanced Entry'!X203="","",IFERROR(MAX(0,MIN(10,ROUND(IF('Advanced Entry'!X$8="Decrease Risk",10-10*((IF('Advanced Entry'!X$5="Logarithm",LN(0.001+'Advanced Entry'!X203),IF('Advanced Entry'!X$5="Exponential",EXP('Advanced Entry'!X203),'Advanced Entry'!X203)))-'Advanced Entry'!X$6)/('Advanced Entry'!X$7-'Advanced Entry'!X$6),10*((IF('Advanced Entry'!X$5="Logarithm",LN(0.001+'Advanced Entry'!X203),IF('Advanced Entry'!X$5="Exponential",EXP('Advanced Entry'!X203),'Advanced Entry'!X203)))-'Advanced Entry'!X$6)/('Advanced Entry'!X$7-'Advanced Entry'!X$6)),1))),"No data"))</f>
        <v/>
      </c>
      <c r="Y203" s="17">
        <f>IF('Advanced Entry'!Y203="","",IFERROR(MAX(0,MIN(10,ROUND(IF('Advanced Entry'!Y$8="Decrease Risk",10-10*((IF('Advanced Entry'!Y$5="Logarithm",LN(0.001+'Advanced Entry'!Y203),IF('Advanced Entry'!Y$5="Exponential",EXP('Advanced Entry'!Y203),'Advanced Entry'!Y203)))-'Advanced Entry'!Y$6)/('Advanced Entry'!Y$7-'Advanced Entry'!Y$6),10*((IF('Advanced Entry'!Y$5="Logarithm",LN(0.001+'Advanced Entry'!Y203),IF('Advanced Entry'!Y$5="Exponential",EXP('Advanced Entry'!Y203),'Advanced Entry'!Y203)))-'Advanced Entry'!Y$6)/('Advanced Entry'!Y$7-'Advanced Entry'!Y$6)),1))),"No data"))</f>
        <v/>
      </c>
      <c r="Z203" s="17">
        <f>IF('Advanced Entry'!Z203="","",IFERROR(MAX(0,MIN(10,ROUND(IF('Advanced Entry'!Z$8="Decrease Risk",10-10*((IF('Advanced Entry'!Z$5="Logarithm",LN(0.001+'Advanced Entry'!Z203),IF('Advanced Entry'!Z$5="Exponential",EXP('Advanced Entry'!Z203),'Advanced Entry'!Z203)))-'Advanced Entry'!Z$6)/('Advanced Entry'!Z$7-'Advanced Entry'!Z$6),10*((IF('Advanced Entry'!Z$5="Logarithm",LN(0.001+'Advanced Entry'!Z203),IF('Advanced Entry'!Z$5="Exponential",EXP('Advanced Entry'!Z203),'Advanced Entry'!Z203)))-'Advanced Entry'!Z$6)/('Advanced Entry'!Z$7-'Advanced Entry'!Z$6)),1))),"No data"))</f>
        <v/>
      </c>
      <c r="AA203" s="17">
        <f>IF('Advanced Entry'!AA203="","",IFERROR(MAX(0,MIN(10,ROUND(IF('Advanced Entry'!AA$8="Decrease Risk",10-10*((IF('Advanced Entry'!AA$5="Logarithm",LN(0.001+'Advanced Entry'!AA203),IF('Advanced Entry'!AA$5="Exponential",EXP('Advanced Entry'!AA203),'Advanced Entry'!AA203)))-'Advanced Entry'!AA$6)/('Advanced Entry'!AA$7-'Advanced Entry'!AA$6),10*((IF('Advanced Entry'!AA$5="Logarithm",LN(0.001+'Advanced Entry'!AA203),IF('Advanced Entry'!AA$5="Exponential",EXP('Advanced Entry'!AA203),'Advanced Entry'!AA203)))-'Advanced Entry'!AA$6)/('Advanced Entry'!AA$7-'Advanced Entry'!AA$6)),1))),"No data"))</f>
        <v/>
      </c>
      <c r="AB203" s="17">
        <f>IF('Advanced Entry'!AB203="","",IFERROR(MAX(0,MIN(10,ROUND(IF('Advanced Entry'!AB$8="Decrease Risk",10-10*((IF('Advanced Entry'!AB$5="Logarithm",LN(0.001+'Advanced Entry'!AB203),IF('Advanced Entry'!AB$5="Exponential",EXP('Advanced Entry'!AB203),'Advanced Entry'!AB203)))-'Advanced Entry'!AB$6)/('Advanced Entry'!AB$7-'Advanced Entry'!AB$6),10*((IF('Advanced Entry'!AB$5="Logarithm",LN(0.001+'Advanced Entry'!AB203),IF('Advanced Entry'!AB$5="Exponential",EXP('Advanced Entry'!AB203),'Advanced Entry'!AB203)))-'Advanced Entry'!AB$6)/('Advanced Entry'!AB$7-'Advanced Entry'!AB$6)),1))),"No data"))</f>
        <v/>
      </c>
    </row>
    <row r="204">
      <c r="A204" t="inlineStr">
        <is>
          <t>Tanga</t>
        </is>
      </c>
      <c r="B204" t="inlineStr">
        <is>
          <t>Pangani District</t>
        </is>
      </c>
      <c r="C204" t="inlineStr">
        <is>
          <t>C029</t>
        </is>
      </c>
      <c r="D204" s="17">
        <f>IF('Advanced Entry'!D204="","",IFERROR(MAX(0,MIN(10,ROUND(IF('Advanced Entry'!D$8="Decrease Risk",10-10*((IF('Advanced Entry'!D$5="Logarithm",LN(0.001+'Advanced Entry'!D204),IF('Advanced Entry'!D$5="Exponential",EXP('Advanced Entry'!D204),'Advanced Entry'!D204)))-'Advanced Entry'!D$6)/('Advanced Entry'!D$7-'Advanced Entry'!D$6),10*((IF('Advanced Entry'!D$5="Logarithm",LN(0.001+'Advanced Entry'!D204),IF('Advanced Entry'!D$5="Exponential",EXP('Advanced Entry'!D204),'Advanced Entry'!D204)))-'Advanced Entry'!D$6)/('Advanced Entry'!D$7-'Advanced Entry'!D$6)),1))),"No data"))</f>
        <v/>
      </c>
      <c r="E204" s="17">
        <f>IF('Advanced Entry'!E204="","",IFERROR(MAX(0,MIN(10,ROUND(IF('Advanced Entry'!E$8="Decrease Risk",10-10*((IF('Advanced Entry'!E$5="Logarithm",LN(0.001+'Advanced Entry'!E204),IF('Advanced Entry'!E$5="Exponential",EXP('Advanced Entry'!E204),'Advanced Entry'!E204)))-'Advanced Entry'!E$6)/('Advanced Entry'!E$7-'Advanced Entry'!E$6),10*((IF('Advanced Entry'!E$5="Logarithm",LN(0.001+'Advanced Entry'!E204),IF('Advanced Entry'!E$5="Exponential",EXP('Advanced Entry'!E204),'Advanced Entry'!E204)))-'Advanced Entry'!E$6)/('Advanced Entry'!E$7-'Advanced Entry'!E$6)),1))),"No data"))</f>
        <v/>
      </c>
      <c r="F204" s="17">
        <f>IF('Advanced Entry'!F204="","",IFERROR(MAX(0,MIN(10,ROUND(IF('Advanced Entry'!F$8="Decrease Risk",10-10*((IF('Advanced Entry'!F$5="Logarithm",LN(0.001+'Advanced Entry'!F204),IF('Advanced Entry'!F$5="Exponential",EXP('Advanced Entry'!F204),'Advanced Entry'!F204)))-'Advanced Entry'!F$6)/('Advanced Entry'!F$7-'Advanced Entry'!F$6),10*((IF('Advanced Entry'!F$5="Logarithm",LN(0.001+'Advanced Entry'!F204),IF('Advanced Entry'!F$5="Exponential",EXP('Advanced Entry'!F204),'Advanced Entry'!F204)))-'Advanced Entry'!F$6)/('Advanced Entry'!F$7-'Advanced Entry'!F$6)),1))),"No data"))</f>
        <v/>
      </c>
      <c r="G204" s="17">
        <f>IF('Advanced Entry'!G204="","",IFERROR(MAX(0,MIN(10,ROUND(IF('Advanced Entry'!G$8="Decrease Risk",10-10*((IF('Advanced Entry'!G$5="Logarithm",LN(0.001+'Advanced Entry'!G204),IF('Advanced Entry'!G$5="Exponential",EXP('Advanced Entry'!G204),'Advanced Entry'!G204)))-'Advanced Entry'!G$6)/('Advanced Entry'!G$7-'Advanced Entry'!G$6),10*((IF('Advanced Entry'!G$5="Logarithm",LN(0.001+'Advanced Entry'!G204),IF('Advanced Entry'!G$5="Exponential",EXP('Advanced Entry'!G204),'Advanced Entry'!G204)))-'Advanced Entry'!G$6)/('Advanced Entry'!G$7-'Advanced Entry'!G$6)),1))),"No data"))</f>
        <v/>
      </c>
      <c r="H204" s="17">
        <f>IF('Advanced Entry'!H204="","",IFERROR(MAX(0,MIN(10,ROUND(IF('Advanced Entry'!H$8="Decrease Risk",10-10*((IF('Advanced Entry'!H$5="Logarithm",LN(0.001+'Advanced Entry'!H204),IF('Advanced Entry'!H$5="Exponential",EXP('Advanced Entry'!H204),'Advanced Entry'!H204)))-'Advanced Entry'!H$6)/('Advanced Entry'!H$7-'Advanced Entry'!H$6),10*((IF('Advanced Entry'!H$5="Logarithm",LN(0.001+'Advanced Entry'!H204),IF('Advanced Entry'!H$5="Exponential",EXP('Advanced Entry'!H204),'Advanced Entry'!H204)))-'Advanced Entry'!H$6)/('Advanced Entry'!H$7-'Advanced Entry'!H$6)),1))),"No data"))</f>
        <v/>
      </c>
      <c r="I204" s="17">
        <f>IF('Advanced Entry'!I204="","",IFERROR(MAX(0,MIN(10,ROUND(IF('Advanced Entry'!I$8="Decrease Risk",10-10*((IF('Advanced Entry'!I$5="Logarithm",LN(0.001+'Advanced Entry'!I204),IF('Advanced Entry'!I$5="Exponential",EXP('Advanced Entry'!I204),'Advanced Entry'!I204)))-'Advanced Entry'!I$6)/('Advanced Entry'!I$7-'Advanced Entry'!I$6),10*((IF('Advanced Entry'!I$5="Logarithm",LN(0.001+'Advanced Entry'!I204),IF('Advanced Entry'!I$5="Exponential",EXP('Advanced Entry'!I204),'Advanced Entry'!I204)))-'Advanced Entry'!I$6)/('Advanced Entry'!I$7-'Advanced Entry'!I$6)),1))),"No data"))</f>
        <v/>
      </c>
      <c r="J204" s="17">
        <f>IF('Advanced Entry'!J204="","",IFERROR(MAX(0,MIN(10,ROUND(IF('Advanced Entry'!J$8="Decrease Risk",10-10*((IF('Advanced Entry'!J$5="Logarithm",LN(0.001+'Advanced Entry'!J204),IF('Advanced Entry'!J$5="Exponential",EXP('Advanced Entry'!J204),'Advanced Entry'!J204)))-'Advanced Entry'!J$6)/('Advanced Entry'!J$7-'Advanced Entry'!J$6),10*((IF('Advanced Entry'!J$5="Logarithm",LN(0.001+'Advanced Entry'!J204),IF('Advanced Entry'!J$5="Exponential",EXP('Advanced Entry'!J204),'Advanced Entry'!J204)))-'Advanced Entry'!J$6)/('Advanced Entry'!J$7-'Advanced Entry'!J$6)),1))),"No data"))</f>
        <v/>
      </c>
      <c r="K204" s="17">
        <f>IF('Advanced Entry'!K204="","",IFERROR(MAX(0,MIN(10,ROUND(IF('Advanced Entry'!K$8="Decrease Risk",10-10*((IF('Advanced Entry'!K$5="Logarithm",LN(0.001+'Advanced Entry'!K204),IF('Advanced Entry'!K$5="Exponential",EXP('Advanced Entry'!K204),'Advanced Entry'!K204)))-'Advanced Entry'!K$6)/('Advanced Entry'!K$7-'Advanced Entry'!K$6),10*((IF('Advanced Entry'!K$5="Logarithm",LN(0.001+'Advanced Entry'!K204),IF('Advanced Entry'!K$5="Exponential",EXP('Advanced Entry'!K204),'Advanced Entry'!K204)))-'Advanced Entry'!K$6)/('Advanced Entry'!K$7-'Advanced Entry'!K$6)),1))),"No data"))</f>
        <v/>
      </c>
      <c r="L204" s="17">
        <f>IF('Advanced Entry'!L204="","",IFERROR(MAX(0,MIN(10,ROUND(IF('Advanced Entry'!L$8="Decrease Risk",10-10*((IF('Advanced Entry'!L$5="Logarithm",LN(0.001+'Advanced Entry'!L204),IF('Advanced Entry'!L$5="Exponential",EXP('Advanced Entry'!L204),'Advanced Entry'!L204)))-'Advanced Entry'!L$6)/('Advanced Entry'!L$7-'Advanced Entry'!L$6),10*((IF('Advanced Entry'!L$5="Logarithm",LN(0.001+'Advanced Entry'!L204),IF('Advanced Entry'!L$5="Exponential",EXP('Advanced Entry'!L204),'Advanced Entry'!L204)))-'Advanced Entry'!L$6)/('Advanced Entry'!L$7-'Advanced Entry'!L$6)),1))),"No data"))</f>
        <v/>
      </c>
      <c r="M204" s="17">
        <f>IF('Advanced Entry'!M204="","",IFERROR(MAX(0,MIN(10,ROUND(IF('Advanced Entry'!M$8="Decrease Risk",10-10*((IF('Advanced Entry'!M$5="Logarithm",LN(0.001+'Advanced Entry'!M204),IF('Advanced Entry'!M$5="Exponential",EXP('Advanced Entry'!M204),'Advanced Entry'!M204)))-'Advanced Entry'!M$6)/('Advanced Entry'!M$7-'Advanced Entry'!M$6),10*((IF('Advanced Entry'!M$5="Logarithm",LN(0.001+'Advanced Entry'!M204),IF('Advanced Entry'!M$5="Exponential",EXP('Advanced Entry'!M204),'Advanced Entry'!M204)))-'Advanced Entry'!M$6)/('Advanced Entry'!M$7-'Advanced Entry'!M$6)),1))),"No data"))</f>
        <v/>
      </c>
      <c r="N204" s="17">
        <f>IF('Advanced Entry'!N204="","",IFERROR(MAX(0,MIN(10,ROUND(IF('Advanced Entry'!N$8="Decrease Risk",10-10*((IF('Advanced Entry'!N$5="Logarithm",LN(0.001+'Advanced Entry'!N204),IF('Advanced Entry'!N$5="Exponential",EXP('Advanced Entry'!N204),'Advanced Entry'!N204)))-'Advanced Entry'!N$6)/('Advanced Entry'!N$7-'Advanced Entry'!N$6),10*((IF('Advanced Entry'!N$5="Logarithm",LN(0.001+'Advanced Entry'!N204),IF('Advanced Entry'!N$5="Exponential",EXP('Advanced Entry'!N204),'Advanced Entry'!N204)))-'Advanced Entry'!N$6)/('Advanced Entry'!N$7-'Advanced Entry'!N$6)),1))),"No data"))</f>
        <v/>
      </c>
      <c r="O204" s="17">
        <f>IF('Advanced Entry'!O204="","",IFERROR(MAX(0,MIN(10,ROUND(IF('Advanced Entry'!O$8="Decrease Risk",10-10*((IF('Advanced Entry'!O$5="Logarithm",LN(0.001+'Advanced Entry'!O204),IF('Advanced Entry'!O$5="Exponential",EXP('Advanced Entry'!O204),'Advanced Entry'!O204)))-'Advanced Entry'!O$6)/('Advanced Entry'!O$7-'Advanced Entry'!O$6),10*((IF('Advanced Entry'!O$5="Logarithm",LN(0.001+'Advanced Entry'!O204),IF('Advanced Entry'!O$5="Exponential",EXP('Advanced Entry'!O204),'Advanced Entry'!O204)))-'Advanced Entry'!O$6)/('Advanced Entry'!O$7-'Advanced Entry'!O$6)),1))),"No data"))</f>
        <v/>
      </c>
      <c r="P204" s="17">
        <f>IF('Advanced Entry'!P204="","",IFERROR(MAX(0,MIN(10,ROUND(IF('Advanced Entry'!P$8="Decrease Risk",10-10*((IF('Advanced Entry'!P$5="Logarithm",LN(0.001+'Advanced Entry'!P204),IF('Advanced Entry'!P$5="Exponential",EXP('Advanced Entry'!P204),'Advanced Entry'!P204)))-'Advanced Entry'!P$6)/('Advanced Entry'!P$7-'Advanced Entry'!P$6),10*((IF('Advanced Entry'!P$5="Logarithm",LN(0.001+'Advanced Entry'!P204),IF('Advanced Entry'!P$5="Exponential",EXP('Advanced Entry'!P204),'Advanced Entry'!P204)))-'Advanced Entry'!P$6)/('Advanced Entry'!P$7-'Advanced Entry'!P$6)),1))),"No data"))</f>
        <v/>
      </c>
      <c r="Q204" s="17">
        <f>IF('Advanced Entry'!Q204="","",IFERROR(MAX(0,MIN(10,ROUND(IF('Advanced Entry'!Q$8="Decrease Risk",10-10*((IF('Advanced Entry'!Q$5="Logarithm",LN(0.001+'Advanced Entry'!Q204),IF('Advanced Entry'!Q$5="Exponential",EXP('Advanced Entry'!Q204),'Advanced Entry'!Q204)))-'Advanced Entry'!Q$6)/('Advanced Entry'!Q$7-'Advanced Entry'!Q$6),10*((IF('Advanced Entry'!Q$5="Logarithm",LN(0.001+'Advanced Entry'!Q204),IF('Advanced Entry'!Q$5="Exponential",EXP('Advanced Entry'!Q204),'Advanced Entry'!Q204)))-'Advanced Entry'!Q$6)/('Advanced Entry'!Q$7-'Advanced Entry'!Q$6)),1))),"No data"))</f>
        <v/>
      </c>
      <c r="R204" s="17">
        <f>IF('Advanced Entry'!R204="","",IFERROR(MAX(0,MIN(10,ROUND(IF('Advanced Entry'!R$8="Decrease Risk",10-10*((IF('Advanced Entry'!R$5="Logarithm",LN(0.001+'Advanced Entry'!R204),IF('Advanced Entry'!R$5="Exponential",EXP('Advanced Entry'!R204),'Advanced Entry'!R204)))-'Advanced Entry'!R$6)/('Advanced Entry'!R$7-'Advanced Entry'!R$6),10*((IF('Advanced Entry'!R$5="Logarithm",LN(0.001+'Advanced Entry'!R204),IF('Advanced Entry'!R$5="Exponential",EXP('Advanced Entry'!R204),'Advanced Entry'!R204)))-'Advanced Entry'!R$6)/('Advanced Entry'!R$7-'Advanced Entry'!R$6)),1))),"No data"))</f>
        <v/>
      </c>
      <c r="S204" s="17">
        <f>IF('Advanced Entry'!S204="","",IFERROR(MAX(0,MIN(10,ROUND(IF('Advanced Entry'!S$8="Decrease Risk",10-10*((IF('Advanced Entry'!S$5="Logarithm",LN(0.001+'Advanced Entry'!S204),IF('Advanced Entry'!S$5="Exponential",EXP('Advanced Entry'!S204),'Advanced Entry'!S204)))-'Advanced Entry'!S$6)/('Advanced Entry'!S$7-'Advanced Entry'!S$6),10*((IF('Advanced Entry'!S$5="Logarithm",LN(0.001+'Advanced Entry'!S204),IF('Advanced Entry'!S$5="Exponential",EXP('Advanced Entry'!S204),'Advanced Entry'!S204)))-'Advanced Entry'!S$6)/('Advanced Entry'!S$7-'Advanced Entry'!S$6)),1))),"No data"))</f>
        <v/>
      </c>
      <c r="T204" s="17">
        <f>IF('Advanced Entry'!T204="","",IFERROR(MAX(0,MIN(10,ROUND(IF('Advanced Entry'!T$8="Decrease Risk",10-10*((IF('Advanced Entry'!T$5="Logarithm",LN(0.001+'Advanced Entry'!T204),IF('Advanced Entry'!T$5="Exponential",EXP('Advanced Entry'!T204),'Advanced Entry'!T204)))-'Advanced Entry'!T$6)/('Advanced Entry'!T$7-'Advanced Entry'!T$6),10*((IF('Advanced Entry'!T$5="Logarithm",LN(0.001+'Advanced Entry'!T204),IF('Advanced Entry'!T$5="Exponential",EXP('Advanced Entry'!T204),'Advanced Entry'!T204)))-'Advanced Entry'!T$6)/('Advanced Entry'!T$7-'Advanced Entry'!T$6)),1))),"No data"))</f>
        <v/>
      </c>
      <c r="U204" s="17">
        <f>IF('Advanced Entry'!U204="","",IFERROR(MAX(0,MIN(10,ROUND(IF('Advanced Entry'!U$8="Decrease Risk",10-10*((IF('Advanced Entry'!U$5="Logarithm",LN(0.001+'Advanced Entry'!U204),IF('Advanced Entry'!U$5="Exponential",EXP('Advanced Entry'!U204),'Advanced Entry'!U204)))-'Advanced Entry'!U$6)/('Advanced Entry'!U$7-'Advanced Entry'!U$6),10*((IF('Advanced Entry'!U$5="Logarithm",LN(0.001+'Advanced Entry'!U204),IF('Advanced Entry'!U$5="Exponential",EXP('Advanced Entry'!U204),'Advanced Entry'!U204)))-'Advanced Entry'!U$6)/('Advanced Entry'!U$7-'Advanced Entry'!U$6)),1))),"No data"))</f>
        <v/>
      </c>
      <c r="V204" s="17">
        <f>IF('Advanced Entry'!V204="","",IFERROR(MAX(0,MIN(10,ROUND(IF('Advanced Entry'!V$8="Decrease Risk",10-10*((IF('Advanced Entry'!V$5="Logarithm",LN(0.001+'Advanced Entry'!V204),IF('Advanced Entry'!V$5="Exponential",EXP('Advanced Entry'!V204),'Advanced Entry'!V204)))-'Advanced Entry'!V$6)/('Advanced Entry'!V$7-'Advanced Entry'!V$6),10*((IF('Advanced Entry'!V$5="Logarithm",LN(0.001+'Advanced Entry'!V204),IF('Advanced Entry'!V$5="Exponential",EXP('Advanced Entry'!V204),'Advanced Entry'!V204)))-'Advanced Entry'!V$6)/('Advanced Entry'!V$7-'Advanced Entry'!V$6)),1))),"No data"))</f>
        <v/>
      </c>
      <c r="W204" s="17">
        <f>IF('Advanced Entry'!W204="","",IFERROR(MAX(0,MIN(10,ROUND(IF('Advanced Entry'!W$8="Decrease Risk",10-10*((IF('Advanced Entry'!W$5="Logarithm",LN(0.001+'Advanced Entry'!W204),IF('Advanced Entry'!W$5="Exponential",EXP('Advanced Entry'!W204),'Advanced Entry'!W204)))-'Advanced Entry'!W$6)/('Advanced Entry'!W$7-'Advanced Entry'!W$6),10*((IF('Advanced Entry'!W$5="Logarithm",LN(0.001+'Advanced Entry'!W204),IF('Advanced Entry'!W$5="Exponential",EXP('Advanced Entry'!W204),'Advanced Entry'!W204)))-'Advanced Entry'!W$6)/('Advanced Entry'!W$7-'Advanced Entry'!W$6)),1))),"No data"))</f>
        <v/>
      </c>
      <c r="X204" s="17">
        <f>IF('Advanced Entry'!X204="","",IFERROR(MAX(0,MIN(10,ROUND(IF('Advanced Entry'!X$8="Decrease Risk",10-10*((IF('Advanced Entry'!X$5="Logarithm",LN(0.001+'Advanced Entry'!X204),IF('Advanced Entry'!X$5="Exponential",EXP('Advanced Entry'!X204),'Advanced Entry'!X204)))-'Advanced Entry'!X$6)/('Advanced Entry'!X$7-'Advanced Entry'!X$6),10*((IF('Advanced Entry'!X$5="Logarithm",LN(0.001+'Advanced Entry'!X204),IF('Advanced Entry'!X$5="Exponential",EXP('Advanced Entry'!X204),'Advanced Entry'!X204)))-'Advanced Entry'!X$6)/('Advanced Entry'!X$7-'Advanced Entry'!X$6)),1))),"No data"))</f>
        <v/>
      </c>
      <c r="Y204" s="17">
        <f>IF('Advanced Entry'!Y204="","",IFERROR(MAX(0,MIN(10,ROUND(IF('Advanced Entry'!Y$8="Decrease Risk",10-10*((IF('Advanced Entry'!Y$5="Logarithm",LN(0.001+'Advanced Entry'!Y204),IF('Advanced Entry'!Y$5="Exponential",EXP('Advanced Entry'!Y204),'Advanced Entry'!Y204)))-'Advanced Entry'!Y$6)/('Advanced Entry'!Y$7-'Advanced Entry'!Y$6),10*((IF('Advanced Entry'!Y$5="Logarithm",LN(0.001+'Advanced Entry'!Y204),IF('Advanced Entry'!Y$5="Exponential",EXP('Advanced Entry'!Y204),'Advanced Entry'!Y204)))-'Advanced Entry'!Y$6)/('Advanced Entry'!Y$7-'Advanced Entry'!Y$6)),1))),"No data"))</f>
        <v/>
      </c>
      <c r="Z204" s="17">
        <f>IF('Advanced Entry'!Z204="","",IFERROR(MAX(0,MIN(10,ROUND(IF('Advanced Entry'!Z$8="Decrease Risk",10-10*((IF('Advanced Entry'!Z$5="Logarithm",LN(0.001+'Advanced Entry'!Z204),IF('Advanced Entry'!Z$5="Exponential",EXP('Advanced Entry'!Z204),'Advanced Entry'!Z204)))-'Advanced Entry'!Z$6)/('Advanced Entry'!Z$7-'Advanced Entry'!Z$6),10*((IF('Advanced Entry'!Z$5="Logarithm",LN(0.001+'Advanced Entry'!Z204),IF('Advanced Entry'!Z$5="Exponential",EXP('Advanced Entry'!Z204),'Advanced Entry'!Z204)))-'Advanced Entry'!Z$6)/('Advanced Entry'!Z$7-'Advanced Entry'!Z$6)),1))),"No data"))</f>
        <v/>
      </c>
      <c r="AA204" s="17">
        <f>IF('Advanced Entry'!AA204="","",IFERROR(MAX(0,MIN(10,ROUND(IF('Advanced Entry'!AA$8="Decrease Risk",10-10*((IF('Advanced Entry'!AA$5="Logarithm",LN(0.001+'Advanced Entry'!AA204),IF('Advanced Entry'!AA$5="Exponential",EXP('Advanced Entry'!AA204),'Advanced Entry'!AA204)))-'Advanced Entry'!AA$6)/('Advanced Entry'!AA$7-'Advanced Entry'!AA$6),10*((IF('Advanced Entry'!AA$5="Logarithm",LN(0.001+'Advanced Entry'!AA204),IF('Advanced Entry'!AA$5="Exponential",EXP('Advanced Entry'!AA204),'Advanced Entry'!AA204)))-'Advanced Entry'!AA$6)/('Advanced Entry'!AA$7-'Advanced Entry'!AA$6)),1))),"No data"))</f>
        <v/>
      </c>
      <c r="AB204" s="17">
        <f>IF('Advanced Entry'!AB204="","",IFERROR(MAX(0,MIN(10,ROUND(IF('Advanced Entry'!AB$8="Decrease Risk",10-10*((IF('Advanced Entry'!AB$5="Logarithm",LN(0.001+'Advanced Entry'!AB204),IF('Advanced Entry'!AB$5="Exponential",EXP('Advanced Entry'!AB204),'Advanced Entry'!AB204)))-'Advanced Entry'!AB$6)/('Advanced Entry'!AB$7-'Advanced Entry'!AB$6),10*((IF('Advanced Entry'!AB$5="Logarithm",LN(0.001+'Advanced Entry'!AB204),IF('Advanced Entry'!AB$5="Exponential",EXP('Advanced Entry'!AB204),'Advanced Entry'!AB204)))-'Advanced Entry'!AB$6)/('Advanced Entry'!AB$7-'Advanced Entry'!AB$6)),1))),"No data"))</f>
        <v/>
      </c>
    </row>
    <row r="205">
      <c r="A205" t="inlineStr">
        <is>
          <t>Tanga</t>
        </is>
      </c>
      <c r="B205" t="inlineStr">
        <is>
          <t>Tanga City</t>
        </is>
      </c>
      <c r="C205" t="inlineStr">
        <is>
          <t>C028</t>
        </is>
      </c>
      <c r="D205" s="17">
        <f>IF('Advanced Entry'!D205="","",IFERROR(MAX(0,MIN(10,ROUND(IF('Advanced Entry'!D$8="Decrease Risk",10-10*((IF('Advanced Entry'!D$5="Logarithm",LN(0.001+'Advanced Entry'!D205),IF('Advanced Entry'!D$5="Exponential",EXP('Advanced Entry'!D205),'Advanced Entry'!D205)))-'Advanced Entry'!D$6)/('Advanced Entry'!D$7-'Advanced Entry'!D$6),10*((IF('Advanced Entry'!D$5="Logarithm",LN(0.001+'Advanced Entry'!D205),IF('Advanced Entry'!D$5="Exponential",EXP('Advanced Entry'!D205),'Advanced Entry'!D205)))-'Advanced Entry'!D$6)/('Advanced Entry'!D$7-'Advanced Entry'!D$6)),1))),"No data"))</f>
        <v/>
      </c>
      <c r="E205" s="17">
        <f>IF('Advanced Entry'!E205="","",IFERROR(MAX(0,MIN(10,ROUND(IF('Advanced Entry'!E$8="Decrease Risk",10-10*((IF('Advanced Entry'!E$5="Logarithm",LN(0.001+'Advanced Entry'!E205),IF('Advanced Entry'!E$5="Exponential",EXP('Advanced Entry'!E205),'Advanced Entry'!E205)))-'Advanced Entry'!E$6)/('Advanced Entry'!E$7-'Advanced Entry'!E$6),10*((IF('Advanced Entry'!E$5="Logarithm",LN(0.001+'Advanced Entry'!E205),IF('Advanced Entry'!E$5="Exponential",EXP('Advanced Entry'!E205),'Advanced Entry'!E205)))-'Advanced Entry'!E$6)/('Advanced Entry'!E$7-'Advanced Entry'!E$6)),1))),"No data"))</f>
        <v/>
      </c>
      <c r="F205" s="17">
        <f>IF('Advanced Entry'!F205="","",IFERROR(MAX(0,MIN(10,ROUND(IF('Advanced Entry'!F$8="Decrease Risk",10-10*((IF('Advanced Entry'!F$5="Logarithm",LN(0.001+'Advanced Entry'!F205),IF('Advanced Entry'!F$5="Exponential",EXP('Advanced Entry'!F205),'Advanced Entry'!F205)))-'Advanced Entry'!F$6)/('Advanced Entry'!F$7-'Advanced Entry'!F$6),10*((IF('Advanced Entry'!F$5="Logarithm",LN(0.001+'Advanced Entry'!F205),IF('Advanced Entry'!F$5="Exponential",EXP('Advanced Entry'!F205),'Advanced Entry'!F205)))-'Advanced Entry'!F$6)/('Advanced Entry'!F$7-'Advanced Entry'!F$6)),1))),"No data"))</f>
        <v/>
      </c>
      <c r="G205" s="17">
        <f>IF('Advanced Entry'!G205="","",IFERROR(MAX(0,MIN(10,ROUND(IF('Advanced Entry'!G$8="Decrease Risk",10-10*((IF('Advanced Entry'!G$5="Logarithm",LN(0.001+'Advanced Entry'!G205),IF('Advanced Entry'!G$5="Exponential",EXP('Advanced Entry'!G205),'Advanced Entry'!G205)))-'Advanced Entry'!G$6)/('Advanced Entry'!G$7-'Advanced Entry'!G$6),10*((IF('Advanced Entry'!G$5="Logarithm",LN(0.001+'Advanced Entry'!G205),IF('Advanced Entry'!G$5="Exponential",EXP('Advanced Entry'!G205),'Advanced Entry'!G205)))-'Advanced Entry'!G$6)/('Advanced Entry'!G$7-'Advanced Entry'!G$6)),1))),"No data"))</f>
        <v/>
      </c>
      <c r="H205" s="17">
        <f>IF('Advanced Entry'!H205="","",IFERROR(MAX(0,MIN(10,ROUND(IF('Advanced Entry'!H$8="Decrease Risk",10-10*((IF('Advanced Entry'!H$5="Logarithm",LN(0.001+'Advanced Entry'!H205),IF('Advanced Entry'!H$5="Exponential",EXP('Advanced Entry'!H205),'Advanced Entry'!H205)))-'Advanced Entry'!H$6)/('Advanced Entry'!H$7-'Advanced Entry'!H$6),10*((IF('Advanced Entry'!H$5="Logarithm",LN(0.001+'Advanced Entry'!H205),IF('Advanced Entry'!H$5="Exponential",EXP('Advanced Entry'!H205),'Advanced Entry'!H205)))-'Advanced Entry'!H$6)/('Advanced Entry'!H$7-'Advanced Entry'!H$6)),1))),"No data"))</f>
        <v/>
      </c>
      <c r="I205" s="17">
        <f>IF('Advanced Entry'!I205="","",IFERROR(MAX(0,MIN(10,ROUND(IF('Advanced Entry'!I$8="Decrease Risk",10-10*((IF('Advanced Entry'!I$5="Logarithm",LN(0.001+'Advanced Entry'!I205),IF('Advanced Entry'!I$5="Exponential",EXP('Advanced Entry'!I205),'Advanced Entry'!I205)))-'Advanced Entry'!I$6)/('Advanced Entry'!I$7-'Advanced Entry'!I$6),10*((IF('Advanced Entry'!I$5="Logarithm",LN(0.001+'Advanced Entry'!I205),IF('Advanced Entry'!I$5="Exponential",EXP('Advanced Entry'!I205),'Advanced Entry'!I205)))-'Advanced Entry'!I$6)/('Advanced Entry'!I$7-'Advanced Entry'!I$6)),1))),"No data"))</f>
        <v/>
      </c>
      <c r="J205" s="17">
        <f>IF('Advanced Entry'!J205="","",IFERROR(MAX(0,MIN(10,ROUND(IF('Advanced Entry'!J$8="Decrease Risk",10-10*((IF('Advanced Entry'!J$5="Logarithm",LN(0.001+'Advanced Entry'!J205),IF('Advanced Entry'!J$5="Exponential",EXP('Advanced Entry'!J205),'Advanced Entry'!J205)))-'Advanced Entry'!J$6)/('Advanced Entry'!J$7-'Advanced Entry'!J$6),10*((IF('Advanced Entry'!J$5="Logarithm",LN(0.001+'Advanced Entry'!J205),IF('Advanced Entry'!J$5="Exponential",EXP('Advanced Entry'!J205),'Advanced Entry'!J205)))-'Advanced Entry'!J$6)/('Advanced Entry'!J$7-'Advanced Entry'!J$6)),1))),"No data"))</f>
        <v/>
      </c>
      <c r="K205" s="17">
        <f>IF('Advanced Entry'!K205="","",IFERROR(MAX(0,MIN(10,ROUND(IF('Advanced Entry'!K$8="Decrease Risk",10-10*((IF('Advanced Entry'!K$5="Logarithm",LN(0.001+'Advanced Entry'!K205),IF('Advanced Entry'!K$5="Exponential",EXP('Advanced Entry'!K205),'Advanced Entry'!K205)))-'Advanced Entry'!K$6)/('Advanced Entry'!K$7-'Advanced Entry'!K$6),10*((IF('Advanced Entry'!K$5="Logarithm",LN(0.001+'Advanced Entry'!K205),IF('Advanced Entry'!K$5="Exponential",EXP('Advanced Entry'!K205),'Advanced Entry'!K205)))-'Advanced Entry'!K$6)/('Advanced Entry'!K$7-'Advanced Entry'!K$6)),1))),"No data"))</f>
        <v/>
      </c>
      <c r="L205" s="17">
        <f>IF('Advanced Entry'!L205="","",IFERROR(MAX(0,MIN(10,ROUND(IF('Advanced Entry'!L$8="Decrease Risk",10-10*((IF('Advanced Entry'!L$5="Logarithm",LN(0.001+'Advanced Entry'!L205),IF('Advanced Entry'!L$5="Exponential",EXP('Advanced Entry'!L205),'Advanced Entry'!L205)))-'Advanced Entry'!L$6)/('Advanced Entry'!L$7-'Advanced Entry'!L$6),10*((IF('Advanced Entry'!L$5="Logarithm",LN(0.001+'Advanced Entry'!L205),IF('Advanced Entry'!L$5="Exponential",EXP('Advanced Entry'!L205),'Advanced Entry'!L205)))-'Advanced Entry'!L$6)/('Advanced Entry'!L$7-'Advanced Entry'!L$6)),1))),"No data"))</f>
        <v/>
      </c>
      <c r="M205" s="17">
        <f>IF('Advanced Entry'!M205="","",IFERROR(MAX(0,MIN(10,ROUND(IF('Advanced Entry'!M$8="Decrease Risk",10-10*((IF('Advanced Entry'!M$5="Logarithm",LN(0.001+'Advanced Entry'!M205),IF('Advanced Entry'!M$5="Exponential",EXP('Advanced Entry'!M205),'Advanced Entry'!M205)))-'Advanced Entry'!M$6)/('Advanced Entry'!M$7-'Advanced Entry'!M$6),10*((IF('Advanced Entry'!M$5="Logarithm",LN(0.001+'Advanced Entry'!M205),IF('Advanced Entry'!M$5="Exponential",EXP('Advanced Entry'!M205),'Advanced Entry'!M205)))-'Advanced Entry'!M$6)/('Advanced Entry'!M$7-'Advanced Entry'!M$6)),1))),"No data"))</f>
        <v/>
      </c>
      <c r="N205" s="17">
        <f>IF('Advanced Entry'!N205="","",IFERROR(MAX(0,MIN(10,ROUND(IF('Advanced Entry'!N$8="Decrease Risk",10-10*((IF('Advanced Entry'!N$5="Logarithm",LN(0.001+'Advanced Entry'!N205),IF('Advanced Entry'!N$5="Exponential",EXP('Advanced Entry'!N205),'Advanced Entry'!N205)))-'Advanced Entry'!N$6)/('Advanced Entry'!N$7-'Advanced Entry'!N$6),10*((IF('Advanced Entry'!N$5="Logarithm",LN(0.001+'Advanced Entry'!N205),IF('Advanced Entry'!N$5="Exponential",EXP('Advanced Entry'!N205),'Advanced Entry'!N205)))-'Advanced Entry'!N$6)/('Advanced Entry'!N$7-'Advanced Entry'!N$6)),1))),"No data"))</f>
        <v/>
      </c>
      <c r="O205" s="17">
        <f>IF('Advanced Entry'!O205="","",IFERROR(MAX(0,MIN(10,ROUND(IF('Advanced Entry'!O$8="Decrease Risk",10-10*((IF('Advanced Entry'!O$5="Logarithm",LN(0.001+'Advanced Entry'!O205),IF('Advanced Entry'!O$5="Exponential",EXP('Advanced Entry'!O205),'Advanced Entry'!O205)))-'Advanced Entry'!O$6)/('Advanced Entry'!O$7-'Advanced Entry'!O$6),10*((IF('Advanced Entry'!O$5="Logarithm",LN(0.001+'Advanced Entry'!O205),IF('Advanced Entry'!O$5="Exponential",EXP('Advanced Entry'!O205),'Advanced Entry'!O205)))-'Advanced Entry'!O$6)/('Advanced Entry'!O$7-'Advanced Entry'!O$6)),1))),"No data"))</f>
        <v/>
      </c>
      <c r="P205" s="17">
        <f>IF('Advanced Entry'!P205="","",IFERROR(MAX(0,MIN(10,ROUND(IF('Advanced Entry'!P$8="Decrease Risk",10-10*((IF('Advanced Entry'!P$5="Logarithm",LN(0.001+'Advanced Entry'!P205),IF('Advanced Entry'!P$5="Exponential",EXP('Advanced Entry'!P205),'Advanced Entry'!P205)))-'Advanced Entry'!P$6)/('Advanced Entry'!P$7-'Advanced Entry'!P$6),10*((IF('Advanced Entry'!P$5="Logarithm",LN(0.001+'Advanced Entry'!P205),IF('Advanced Entry'!P$5="Exponential",EXP('Advanced Entry'!P205),'Advanced Entry'!P205)))-'Advanced Entry'!P$6)/('Advanced Entry'!P$7-'Advanced Entry'!P$6)),1))),"No data"))</f>
        <v/>
      </c>
      <c r="Q205" s="17">
        <f>IF('Advanced Entry'!Q205="","",IFERROR(MAX(0,MIN(10,ROUND(IF('Advanced Entry'!Q$8="Decrease Risk",10-10*((IF('Advanced Entry'!Q$5="Logarithm",LN(0.001+'Advanced Entry'!Q205),IF('Advanced Entry'!Q$5="Exponential",EXP('Advanced Entry'!Q205),'Advanced Entry'!Q205)))-'Advanced Entry'!Q$6)/('Advanced Entry'!Q$7-'Advanced Entry'!Q$6),10*((IF('Advanced Entry'!Q$5="Logarithm",LN(0.001+'Advanced Entry'!Q205),IF('Advanced Entry'!Q$5="Exponential",EXP('Advanced Entry'!Q205),'Advanced Entry'!Q205)))-'Advanced Entry'!Q$6)/('Advanced Entry'!Q$7-'Advanced Entry'!Q$6)),1))),"No data"))</f>
        <v/>
      </c>
      <c r="R205" s="17">
        <f>IF('Advanced Entry'!R205="","",IFERROR(MAX(0,MIN(10,ROUND(IF('Advanced Entry'!R$8="Decrease Risk",10-10*((IF('Advanced Entry'!R$5="Logarithm",LN(0.001+'Advanced Entry'!R205),IF('Advanced Entry'!R$5="Exponential",EXP('Advanced Entry'!R205),'Advanced Entry'!R205)))-'Advanced Entry'!R$6)/('Advanced Entry'!R$7-'Advanced Entry'!R$6),10*((IF('Advanced Entry'!R$5="Logarithm",LN(0.001+'Advanced Entry'!R205),IF('Advanced Entry'!R$5="Exponential",EXP('Advanced Entry'!R205),'Advanced Entry'!R205)))-'Advanced Entry'!R$6)/('Advanced Entry'!R$7-'Advanced Entry'!R$6)),1))),"No data"))</f>
        <v/>
      </c>
      <c r="S205" s="17">
        <f>IF('Advanced Entry'!S205="","",IFERROR(MAX(0,MIN(10,ROUND(IF('Advanced Entry'!S$8="Decrease Risk",10-10*((IF('Advanced Entry'!S$5="Logarithm",LN(0.001+'Advanced Entry'!S205),IF('Advanced Entry'!S$5="Exponential",EXP('Advanced Entry'!S205),'Advanced Entry'!S205)))-'Advanced Entry'!S$6)/('Advanced Entry'!S$7-'Advanced Entry'!S$6),10*((IF('Advanced Entry'!S$5="Logarithm",LN(0.001+'Advanced Entry'!S205),IF('Advanced Entry'!S$5="Exponential",EXP('Advanced Entry'!S205),'Advanced Entry'!S205)))-'Advanced Entry'!S$6)/('Advanced Entry'!S$7-'Advanced Entry'!S$6)),1))),"No data"))</f>
        <v/>
      </c>
      <c r="T205" s="17">
        <f>IF('Advanced Entry'!T205="","",IFERROR(MAX(0,MIN(10,ROUND(IF('Advanced Entry'!T$8="Decrease Risk",10-10*((IF('Advanced Entry'!T$5="Logarithm",LN(0.001+'Advanced Entry'!T205),IF('Advanced Entry'!T$5="Exponential",EXP('Advanced Entry'!T205),'Advanced Entry'!T205)))-'Advanced Entry'!T$6)/('Advanced Entry'!T$7-'Advanced Entry'!T$6),10*((IF('Advanced Entry'!T$5="Logarithm",LN(0.001+'Advanced Entry'!T205),IF('Advanced Entry'!T$5="Exponential",EXP('Advanced Entry'!T205),'Advanced Entry'!T205)))-'Advanced Entry'!T$6)/('Advanced Entry'!T$7-'Advanced Entry'!T$6)),1))),"No data"))</f>
        <v/>
      </c>
      <c r="U205" s="17">
        <f>IF('Advanced Entry'!U205="","",IFERROR(MAX(0,MIN(10,ROUND(IF('Advanced Entry'!U$8="Decrease Risk",10-10*((IF('Advanced Entry'!U$5="Logarithm",LN(0.001+'Advanced Entry'!U205),IF('Advanced Entry'!U$5="Exponential",EXP('Advanced Entry'!U205),'Advanced Entry'!U205)))-'Advanced Entry'!U$6)/('Advanced Entry'!U$7-'Advanced Entry'!U$6),10*((IF('Advanced Entry'!U$5="Logarithm",LN(0.001+'Advanced Entry'!U205),IF('Advanced Entry'!U$5="Exponential",EXP('Advanced Entry'!U205),'Advanced Entry'!U205)))-'Advanced Entry'!U$6)/('Advanced Entry'!U$7-'Advanced Entry'!U$6)),1))),"No data"))</f>
        <v/>
      </c>
      <c r="V205" s="17">
        <f>IF('Advanced Entry'!V205="","",IFERROR(MAX(0,MIN(10,ROUND(IF('Advanced Entry'!V$8="Decrease Risk",10-10*((IF('Advanced Entry'!V$5="Logarithm",LN(0.001+'Advanced Entry'!V205),IF('Advanced Entry'!V$5="Exponential",EXP('Advanced Entry'!V205),'Advanced Entry'!V205)))-'Advanced Entry'!V$6)/('Advanced Entry'!V$7-'Advanced Entry'!V$6),10*((IF('Advanced Entry'!V$5="Logarithm",LN(0.001+'Advanced Entry'!V205),IF('Advanced Entry'!V$5="Exponential",EXP('Advanced Entry'!V205),'Advanced Entry'!V205)))-'Advanced Entry'!V$6)/('Advanced Entry'!V$7-'Advanced Entry'!V$6)),1))),"No data"))</f>
        <v/>
      </c>
      <c r="W205" s="17">
        <f>IF('Advanced Entry'!W205="","",IFERROR(MAX(0,MIN(10,ROUND(IF('Advanced Entry'!W$8="Decrease Risk",10-10*((IF('Advanced Entry'!W$5="Logarithm",LN(0.001+'Advanced Entry'!W205),IF('Advanced Entry'!W$5="Exponential",EXP('Advanced Entry'!W205),'Advanced Entry'!W205)))-'Advanced Entry'!W$6)/('Advanced Entry'!W$7-'Advanced Entry'!W$6),10*((IF('Advanced Entry'!W$5="Logarithm",LN(0.001+'Advanced Entry'!W205),IF('Advanced Entry'!W$5="Exponential",EXP('Advanced Entry'!W205),'Advanced Entry'!W205)))-'Advanced Entry'!W$6)/('Advanced Entry'!W$7-'Advanced Entry'!W$6)),1))),"No data"))</f>
        <v/>
      </c>
      <c r="X205" s="17">
        <f>IF('Advanced Entry'!X205="","",IFERROR(MAX(0,MIN(10,ROUND(IF('Advanced Entry'!X$8="Decrease Risk",10-10*((IF('Advanced Entry'!X$5="Logarithm",LN(0.001+'Advanced Entry'!X205),IF('Advanced Entry'!X$5="Exponential",EXP('Advanced Entry'!X205),'Advanced Entry'!X205)))-'Advanced Entry'!X$6)/('Advanced Entry'!X$7-'Advanced Entry'!X$6),10*((IF('Advanced Entry'!X$5="Logarithm",LN(0.001+'Advanced Entry'!X205),IF('Advanced Entry'!X$5="Exponential",EXP('Advanced Entry'!X205),'Advanced Entry'!X205)))-'Advanced Entry'!X$6)/('Advanced Entry'!X$7-'Advanced Entry'!X$6)),1))),"No data"))</f>
        <v/>
      </c>
      <c r="Y205" s="17">
        <f>IF('Advanced Entry'!Y205="","",IFERROR(MAX(0,MIN(10,ROUND(IF('Advanced Entry'!Y$8="Decrease Risk",10-10*((IF('Advanced Entry'!Y$5="Logarithm",LN(0.001+'Advanced Entry'!Y205),IF('Advanced Entry'!Y$5="Exponential",EXP('Advanced Entry'!Y205),'Advanced Entry'!Y205)))-'Advanced Entry'!Y$6)/('Advanced Entry'!Y$7-'Advanced Entry'!Y$6),10*((IF('Advanced Entry'!Y$5="Logarithm",LN(0.001+'Advanced Entry'!Y205),IF('Advanced Entry'!Y$5="Exponential",EXP('Advanced Entry'!Y205),'Advanced Entry'!Y205)))-'Advanced Entry'!Y$6)/('Advanced Entry'!Y$7-'Advanced Entry'!Y$6)),1))),"No data"))</f>
        <v/>
      </c>
      <c r="Z205" s="17">
        <f>IF('Advanced Entry'!Z205="","",IFERROR(MAX(0,MIN(10,ROUND(IF('Advanced Entry'!Z$8="Decrease Risk",10-10*((IF('Advanced Entry'!Z$5="Logarithm",LN(0.001+'Advanced Entry'!Z205),IF('Advanced Entry'!Z$5="Exponential",EXP('Advanced Entry'!Z205),'Advanced Entry'!Z205)))-'Advanced Entry'!Z$6)/('Advanced Entry'!Z$7-'Advanced Entry'!Z$6),10*((IF('Advanced Entry'!Z$5="Logarithm",LN(0.001+'Advanced Entry'!Z205),IF('Advanced Entry'!Z$5="Exponential",EXP('Advanced Entry'!Z205),'Advanced Entry'!Z205)))-'Advanced Entry'!Z$6)/('Advanced Entry'!Z$7-'Advanced Entry'!Z$6)),1))),"No data"))</f>
        <v/>
      </c>
      <c r="AA205" s="17">
        <f>IF('Advanced Entry'!AA205="","",IFERROR(MAX(0,MIN(10,ROUND(IF('Advanced Entry'!AA$8="Decrease Risk",10-10*((IF('Advanced Entry'!AA$5="Logarithm",LN(0.001+'Advanced Entry'!AA205),IF('Advanced Entry'!AA$5="Exponential",EXP('Advanced Entry'!AA205),'Advanced Entry'!AA205)))-'Advanced Entry'!AA$6)/('Advanced Entry'!AA$7-'Advanced Entry'!AA$6),10*((IF('Advanced Entry'!AA$5="Logarithm",LN(0.001+'Advanced Entry'!AA205),IF('Advanced Entry'!AA$5="Exponential",EXP('Advanced Entry'!AA205),'Advanced Entry'!AA205)))-'Advanced Entry'!AA$6)/('Advanced Entry'!AA$7-'Advanced Entry'!AA$6)),1))),"No data"))</f>
        <v/>
      </c>
      <c r="AB205" s="17">
        <f>IF('Advanced Entry'!AB205="","",IFERROR(MAX(0,MIN(10,ROUND(IF('Advanced Entry'!AB$8="Decrease Risk",10-10*((IF('Advanced Entry'!AB$5="Logarithm",LN(0.001+'Advanced Entry'!AB205),IF('Advanced Entry'!AB$5="Exponential",EXP('Advanced Entry'!AB205),'Advanced Entry'!AB205)))-'Advanced Entry'!AB$6)/('Advanced Entry'!AB$7-'Advanced Entry'!AB$6),10*((IF('Advanced Entry'!AB$5="Logarithm",LN(0.001+'Advanced Entry'!AB205),IF('Advanced Entry'!AB$5="Exponential",EXP('Advanced Entry'!AB205),'Advanced Entry'!AB205)))-'Advanced Entry'!AB$6)/('Advanced Entry'!AB$7-'Advanced Entry'!AB$6)),1))),"No data"))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0:L205"/>
  <sheetViews>
    <sheetView showGridLines="0" workbookViewId="0">
      <pane xSplit="3" ySplit="10" topLeftCell="D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2" customWidth="1" min="2" max="2"/>
    <col width="8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4" customWidth="1" min="12" max="12"/>
  </cols>
  <sheetData>
    <row r="10" ht="54" customHeight="1">
      <c r="A10" s="8" t="inlineStr">
        <is>
          <t>Region</t>
        </is>
      </c>
      <c r="B10" s="8" t="inlineStr">
        <is>
          <t>Council</t>
        </is>
      </c>
      <c r="C10" s="8" t="inlineStr">
        <is>
          <t>Code</t>
        </is>
      </c>
      <c r="D10" s="18" t="inlineStr">
        <is>
          <t>Drought</t>
        </is>
      </c>
      <c r="E10" s="18" t="inlineStr">
        <is>
          <t>Flood</t>
        </is>
      </c>
      <c r="F10" s="18" t="inlineStr">
        <is>
          <t>Landslide</t>
        </is>
      </c>
      <c r="G10" s="18" t="inlineStr">
        <is>
          <t>Storms &amp; Cyclone</t>
        </is>
      </c>
      <c r="H10" s="18" t="inlineStr">
        <is>
          <t>Earthquake</t>
        </is>
      </c>
      <c r="I10" s="18" t="inlineStr">
        <is>
          <t>Coastal hazards</t>
        </is>
      </c>
      <c r="J10" s="18" t="inlineStr">
        <is>
          <t>Heatwave</t>
        </is>
      </c>
      <c r="K10" s="18" t="inlineStr">
        <is>
          <t>Lightning</t>
        </is>
      </c>
      <c r="L10" s="18" t="inlineStr">
        <is>
          <t>Natural (advanced)</t>
        </is>
      </c>
    </row>
    <row r="11">
      <c r="A11" t="inlineStr">
        <is>
          <t>Arusha</t>
        </is>
      </c>
      <c r="B11" t="inlineStr">
        <is>
          <t>Arusha City</t>
        </is>
      </c>
      <c r="C11" t="inlineStr">
        <is>
          <t>C015</t>
        </is>
      </c>
      <c r="D11" s="7">
        <f>IF(SUMPRODUCT(ISNUMBER('Advanced 0-10'!D11:J11)*'Advanced Entry'!D$9:J$9)=0,"",ROUND(SUMPRODUCT(IFERROR('Advanced 0-10'!D11:J11*1,0)*'Advanced Entry'!D$9:J$9)/SUMPRODUCT(ISNUMBER('Advanced 0-10'!D11:J11)*'Advanced Entry'!D$9:J$9),1))</f>
        <v/>
      </c>
      <c r="E11" s="7">
        <f>IF(SUMPRODUCT(ISNUMBER('Advanced 0-10'!K11:O11)*'Advanced Entry'!K$9:O$9)=0,"",ROUND(SUMPRODUCT(IFERROR('Advanced 0-10'!K11:O11*1,0)*'Advanced Entry'!K$9:O$9)/SUMPRODUCT(ISNUMBER('Advanced 0-10'!K11:O11)*'Advanced Entry'!K$9:O$9),1))</f>
        <v/>
      </c>
      <c r="F11" s="7">
        <f>IF(SUMPRODUCT(ISNUMBER('Advanced 0-10'!P11:Q11)*'Advanced Entry'!P$9:Q$9)=0,"",ROUND(SUMPRODUCT(IFERROR('Advanced 0-10'!P11:Q11*1,0)*'Advanced Entry'!P$9:Q$9)/SUMPRODUCT(ISNUMBER('Advanced 0-10'!P11:Q11)*'Advanced Entry'!P$9:Q$9),1))</f>
        <v/>
      </c>
      <c r="G11" s="7">
        <f>IF(SUMPRODUCT(ISNUMBER('Advanced 0-10'!R11:S11)*'Advanced Entry'!R$9:S$9)=0,"",ROUND(SUMPRODUCT(IFERROR('Advanced 0-10'!R11:S11*1,0)*'Advanced Entry'!R$9:S$9)/SUMPRODUCT(ISNUMBER('Advanced 0-10'!R11:S11)*'Advanced Entry'!R$9:S$9),1))</f>
        <v/>
      </c>
      <c r="H11" s="7">
        <f>IF(SUMPRODUCT(ISNUMBER('Advanced 0-10'!T11:U11)*'Advanced Entry'!T$9:U$9)=0,"",ROUND(SUMPRODUCT(IFERROR('Advanced 0-10'!T11:U11*1,0)*'Advanced Entry'!T$9:U$9)/SUMPRODUCT(ISNUMBER('Advanced 0-10'!T11:U11)*'Advanced Entry'!T$9:U$9),1))</f>
        <v/>
      </c>
      <c r="I11" s="7">
        <f>IF(SUMPRODUCT(ISNUMBER('Advanced 0-10'!V11:Z11)*'Advanced Entry'!V$9:Z$9)=0,"",ROUND(SUMPRODUCT(IFERROR('Advanced 0-10'!V11:Z11*1,0)*'Advanced Entry'!V$9:Z$9)/SUMPRODUCT(ISNUMBER('Advanced 0-10'!V11:Z11)*'Advanced Entry'!V$9:Z$9),1))</f>
        <v/>
      </c>
      <c r="J11" s="7">
        <f>IF(SUMPRODUCT(ISNUMBER('Advanced 0-10'!AA11:AA11)*'Advanced Entry'!AA$9:AA$9)=0,"",ROUND(SUMPRODUCT(IFERROR('Advanced 0-10'!AA11:AA11*1,0)*'Advanced Entry'!AA$9:AA$9)/SUMPRODUCT(ISNUMBER('Advanced 0-10'!AA11:AA11)*'Advanced Entry'!AA$9:AA$9),1))</f>
        <v/>
      </c>
      <c r="K11" s="7">
        <f>IF(SUMPRODUCT(ISNUMBER('Advanced 0-10'!AB11:AB11)*'Advanced Entry'!AB$9:AB$9)=0,"",ROUND(SUMPRODUCT(IFERROR('Advanced 0-10'!AB11:AB11*1,0)*'Advanced Entry'!AB$9:AB$9)/SUMPRODUCT(ISNUMBER('Advanced 0-10'!AB11:AB11)*'Advanced Entry'!AB$9:AB$9),1))</f>
        <v/>
      </c>
      <c r="L11" s="19">
        <f>IF(SUMPRODUCT(--ISNUMBER(D11:K11))=0,"",ROUND(SUMPRODUCT(IFERROR(D11:K11*1,0))/SUMPRODUCT(--ISNUMBER(D11:K11)),1))</f>
        <v/>
      </c>
    </row>
    <row r="12">
      <c r="A12" t="inlineStr">
        <is>
          <t>Arusha</t>
        </is>
      </c>
      <c r="B12" t="inlineStr">
        <is>
          <t>Arusha District</t>
        </is>
      </c>
      <c r="C12" t="inlineStr">
        <is>
          <t>C011</t>
        </is>
      </c>
      <c r="D12" s="7">
        <f>IF(SUMPRODUCT(ISNUMBER('Advanced 0-10'!D12:J12)*'Advanced Entry'!D$9:J$9)=0,"",ROUND(SUMPRODUCT(IFERROR('Advanced 0-10'!D12:J12*1,0)*'Advanced Entry'!D$9:J$9)/SUMPRODUCT(ISNUMBER('Advanced 0-10'!D12:J12)*'Advanced Entry'!D$9:J$9),1))</f>
        <v/>
      </c>
      <c r="E12" s="7">
        <f>IF(SUMPRODUCT(ISNUMBER('Advanced 0-10'!K12:O12)*'Advanced Entry'!K$9:O$9)=0,"",ROUND(SUMPRODUCT(IFERROR('Advanced 0-10'!K12:O12*1,0)*'Advanced Entry'!K$9:O$9)/SUMPRODUCT(ISNUMBER('Advanced 0-10'!K12:O12)*'Advanced Entry'!K$9:O$9),1))</f>
        <v/>
      </c>
      <c r="F12" s="7">
        <f>IF(SUMPRODUCT(ISNUMBER('Advanced 0-10'!P12:Q12)*'Advanced Entry'!P$9:Q$9)=0,"",ROUND(SUMPRODUCT(IFERROR('Advanced 0-10'!P12:Q12*1,0)*'Advanced Entry'!P$9:Q$9)/SUMPRODUCT(ISNUMBER('Advanced 0-10'!P12:Q12)*'Advanced Entry'!P$9:Q$9),1))</f>
        <v/>
      </c>
      <c r="G12" s="7">
        <f>IF(SUMPRODUCT(ISNUMBER('Advanced 0-10'!R12:S12)*'Advanced Entry'!R$9:S$9)=0,"",ROUND(SUMPRODUCT(IFERROR('Advanced 0-10'!R12:S12*1,0)*'Advanced Entry'!R$9:S$9)/SUMPRODUCT(ISNUMBER('Advanced 0-10'!R12:S12)*'Advanced Entry'!R$9:S$9),1))</f>
        <v/>
      </c>
      <c r="H12" s="7">
        <f>IF(SUMPRODUCT(ISNUMBER('Advanced 0-10'!T12:U12)*'Advanced Entry'!T$9:U$9)=0,"",ROUND(SUMPRODUCT(IFERROR('Advanced 0-10'!T12:U12*1,0)*'Advanced Entry'!T$9:U$9)/SUMPRODUCT(ISNUMBER('Advanced 0-10'!T12:U12)*'Advanced Entry'!T$9:U$9),1))</f>
        <v/>
      </c>
      <c r="I12" s="7">
        <f>IF(SUMPRODUCT(ISNUMBER('Advanced 0-10'!V12:Z12)*'Advanced Entry'!V$9:Z$9)=0,"",ROUND(SUMPRODUCT(IFERROR('Advanced 0-10'!V12:Z12*1,0)*'Advanced Entry'!V$9:Z$9)/SUMPRODUCT(ISNUMBER('Advanced 0-10'!V12:Z12)*'Advanced Entry'!V$9:Z$9),1))</f>
        <v/>
      </c>
      <c r="J12" s="7">
        <f>IF(SUMPRODUCT(ISNUMBER('Advanced 0-10'!AA12:AA12)*'Advanced Entry'!AA$9:AA$9)=0,"",ROUND(SUMPRODUCT(IFERROR('Advanced 0-10'!AA12:AA12*1,0)*'Advanced Entry'!AA$9:AA$9)/SUMPRODUCT(ISNUMBER('Advanced 0-10'!AA12:AA12)*'Advanced Entry'!AA$9:AA$9),1))</f>
        <v/>
      </c>
      <c r="K12" s="7">
        <f>IF(SUMPRODUCT(ISNUMBER('Advanced 0-10'!AB12:AB12)*'Advanced Entry'!AB$9:AB$9)=0,"",ROUND(SUMPRODUCT(IFERROR('Advanced 0-10'!AB12:AB12*1,0)*'Advanced Entry'!AB$9:AB$9)/SUMPRODUCT(ISNUMBER('Advanced 0-10'!AB12:AB12)*'Advanced Entry'!AB$9:AB$9),1))</f>
        <v/>
      </c>
      <c r="L12" s="19">
        <f>IF(SUMPRODUCT(--ISNUMBER(D12:K12))=0,"",ROUND(SUMPRODUCT(IFERROR(D12:K12*1,0))/SUMPRODUCT(--ISNUMBER(D12:K12)),1))</f>
        <v/>
      </c>
    </row>
    <row r="13">
      <c r="A13" t="inlineStr">
        <is>
          <t>Arusha</t>
        </is>
      </c>
      <c r="B13" t="inlineStr">
        <is>
          <t>Karatu District</t>
        </is>
      </c>
      <c r="C13" t="inlineStr">
        <is>
          <t>C013</t>
        </is>
      </c>
      <c r="D13" s="7">
        <f>IF(SUMPRODUCT(ISNUMBER('Advanced 0-10'!D13:J13)*'Advanced Entry'!D$9:J$9)=0,"",ROUND(SUMPRODUCT(IFERROR('Advanced 0-10'!D13:J13*1,0)*'Advanced Entry'!D$9:J$9)/SUMPRODUCT(ISNUMBER('Advanced 0-10'!D13:J13)*'Advanced Entry'!D$9:J$9),1))</f>
        <v/>
      </c>
      <c r="E13" s="7">
        <f>IF(SUMPRODUCT(ISNUMBER('Advanced 0-10'!K13:O13)*'Advanced Entry'!K$9:O$9)=0,"",ROUND(SUMPRODUCT(IFERROR('Advanced 0-10'!K13:O13*1,0)*'Advanced Entry'!K$9:O$9)/SUMPRODUCT(ISNUMBER('Advanced 0-10'!K13:O13)*'Advanced Entry'!K$9:O$9),1))</f>
        <v/>
      </c>
      <c r="F13" s="7">
        <f>IF(SUMPRODUCT(ISNUMBER('Advanced 0-10'!P13:Q13)*'Advanced Entry'!P$9:Q$9)=0,"",ROUND(SUMPRODUCT(IFERROR('Advanced 0-10'!P13:Q13*1,0)*'Advanced Entry'!P$9:Q$9)/SUMPRODUCT(ISNUMBER('Advanced 0-10'!P13:Q13)*'Advanced Entry'!P$9:Q$9),1))</f>
        <v/>
      </c>
      <c r="G13" s="7">
        <f>IF(SUMPRODUCT(ISNUMBER('Advanced 0-10'!R13:S13)*'Advanced Entry'!R$9:S$9)=0,"",ROUND(SUMPRODUCT(IFERROR('Advanced 0-10'!R13:S13*1,0)*'Advanced Entry'!R$9:S$9)/SUMPRODUCT(ISNUMBER('Advanced 0-10'!R13:S13)*'Advanced Entry'!R$9:S$9),1))</f>
        <v/>
      </c>
      <c r="H13" s="7">
        <f>IF(SUMPRODUCT(ISNUMBER('Advanced 0-10'!T13:U13)*'Advanced Entry'!T$9:U$9)=0,"",ROUND(SUMPRODUCT(IFERROR('Advanced 0-10'!T13:U13*1,0)*'Advanced Entry'!T$9:U$9)/SUMPRODUCT(ISNUMBER('Advanced 0-10'!T13:U13)*'Advanced Entry'!T$9:U$9),1))</f>
        <v/>
      </c>
      <c r="I13" s="7">
        <f>IF(SUMPRODUCT(ISNUMBER('Advanced 0-10'!V13:Z13)*'Advanced Entry'!V$9:Z$9)=0,"",ROUND(SUMPRODUCT(IFERROR('Advanced 0-10'!V13:Z13*1,0)*'Advanced Entry'!V$9:Z$9)/SUMPRODUCT(ISNUMBER('Advanced 0-10'!V13:Z13)*'Advanced Entry'!V$9:Z$9),1))</f>
        <v/>
      </c>
      <c r="J13" s="7">
        <f>IF(SUMPRODUCT(ISNUMBER('Advanced 0-10'!AA13:AA13)*'Advanced Entry'!AA$9:AA$9)=0,"",ROUND(SUMPRODUCT(IFERROR('Advanced 0-10'!AA13:AA13*1,0)*'Advanced Entry'!AA$9:AA$9)/SUMPRODUCT(ISNUMBER('Advanced 0-10'!AA13:AA13)*'Advanced Entry'!AA$9:AA$9),1))</f>
        <v/>
      </c>
      <c r="K13" s="7">
        <f>IF(SUMPRODUCT(ISNUMBER('Advanced 0-10'!AB13:AB13)*'Advanced Entry'!AB$9:AB$9)=0,"",ROUND(SUMPRODUCT(IFERROR('Advanced 0-10'!AB13:AB13*1,0)*'Advanced Entry'!AB$9:AB$9)/SUMPRODUCT(ISNUMBER('Advanced 0-10'!AB13:AB13)*'Advanced Entry'!AB$9:AB$9),1))</f>
        <v/>
      </c>
      <c r="L13" s="19">
        <f>IF(SUMPRODUCT(--ISNUMBER(D13:K13))=0,"",ROUND(SUMPRODUCT(IFERROR(D13:K13*1,0))/SUMPRODUCT(--ISNUMBER(D13:K13)),1))</f>
        <v/>
      </c>
    </row>
    <row r="14">
      <c r="A14" t="inlineStr">
        <is>
          <t>Arusha</t>
        </is>
      </c>
      <c r="B14" t="inlineStr">
        <is>
          <t>Longido District</t>
        </is>
      </c>
      <c r="C14" t="inlineStr">
        <is>
          <t>C012</t>
        </is>
      </c>
      <c r="D14" s="7">
        <f>IF(SUMPRODUCT(ISNUMBER('Advanced 0-10'!D14:J14)*'Advanced Entry'!D$9:J$9)=0,"",ROUND(SUMPRODUCT(IFERROR('Advanced 0-10'!D14:J14*1,0)*'Advanced Entry'!D$9:J$9)/SUMPRODUCT(ISNUMBER('Advanced 0-10'!D14:J14)*'Advanced Entry'!D$9:J$9),1))</f>
        <v/>
      </c>
      <c r="E14" s="7">
        <f>IF(SUMPRODUCT(ISNUMBER('Advanced 0-10'!K14:O14)*'Advanced Entry'!K$9:O$9)=0,"",ROUND(SUMPRODUCT(IFERROR('Advanced 0-10'!K14:O14*1,0)*'Advanced Entry'!K$9:O$9)/SUMPRODUCT(ISNUMBER('Advanced 0-10'!K14:O14)*'Advanced Entry'!K$9:O$9),1))</f>
        <v/>
      </c>
      <c r="F14" s="7">
        <f>IF(SUMPRODUCT(ISNUMBER('Advanced 0-10'!P14:Q14)*'Advanced Entry'!P$9:Q$9)=0,"",ROUND(SUMPRODUCT(IFERROR('Advanced 0-10'!P14:Q14*1,0)*'Advanced Entry'!P$9:Q$9)/SUMPRODUCT(ISNUMBER('Advanced 0-10'!P14:Q14)*'Advanced Entry'!P$9:Q$9),1))</f>
        <v/>
      </c>
      <c r="G14" s="7">
        <f>IF(SUMPRODUCT(ISNUMBER('Advanced 0-10'!R14:S14)*'Advanced Entry'!R$9:S$9)=0,"",ROUND(SUMPRODUCT(IFERROR('Advanced 0-10'!R14:S14*1,0)*'Advanced Entry'!R$9:S$9)/SUMPRODUCT(ISNUMBER('Advanced 0-10'!R14:S14)*'Advanced Entry'!R$9:S$9),1))</f>
        <v/>
      </c>
      <c r="H14" s="7">
        <f>IF(SUMPRODUCT(ISNUMBER('Advanced 0-10'!T14:U14)*'Advanced Entry'!T$9:U$9)=0,"",ROUND(SUMPRODUCT(IFERROR('Advanced 0-10'!T14:U14*1,0)*'Advanced Entry'!T$9:U$9)/SUMPRODUCT(ISNUMBER('Advanced 0-10'!T14:U14)*'Advanced Entry'!T$9:U$9),1))</f>
        <v/>
      </c>
      <c r="I14" s="7">
        <f>IF(SUMPRODUCT(ISNUMBER('Advanced 0-10'!V14:Z14)*'Advanced Entry'!V$9:Z$9)=0,"",ROUND(SUMPRODUCT(IFERROR('Advanced 0-10'!V14:Z14*1,0)*'Advanced Entry'!V$9:Z$9)/SUMPRODUCT(ISNUMBER('Advanced 0-10'!V14:Z14)*'Advanced Entry'!V$9:Z$9),1))</f>
        <v/>
      </c>
      <c r="J14" s="7">
        <f>IF(SUMPRODUCT(ISNUMBER('Advanced 0-10'!AA14:AA14)*'Advanced Entry'!AA$9:AA$9)=0,"",ROUND(SUMPRODUCT(IFERROR('Advanced 0-10'!AA14:AA14*1,0)*'Advanced Entry'!AA$9:AA$9)/SUMPRODUCT(ISNUMBER('Advanced 0-10'!AA14:AA14)*'Advanced Entry'!AA$9:AA$9),1))</f>
        <v/>
      </c>
      <c r="K14" s="7">
        <f>IF(SUMPRODUCT(ISNUMBER('Advanced 0-10'!AB14:AB14)*'Advanced Entry'!AB$9:AB$9)=0,"",ROUND(SUMPRODUCT(IFERROR('Advanced 0-10'!AB14:AB14*1,0)*'Advanced Entry'!AB$9:AB$9)/SUMPRODUCT(ISNUMBER('Advanced 0-10'!AB14:AB14)*'Advanced Entry'!AB$9:AB$9),1))</f>
        <v/>
      </c>
      <c r="L14" s="19">
        <f>IF(SUMPRODUCT(--ISNUMBER(D14:K14))=0,"",ROUND(SUMPRODUCT(IFERROR(D14:K14*1,0))/SUMPRODUCT(--ISNUMBER(D14:K14)),1))</f>
        <v/>
      </c>
    </row>
    <row r="15">
      <c r="A15" t="inlineStr">
        <is>
          <t>Arusha</t>
        </is>
      </c>
      <c r="B15" t="inlineStr">
        <is>
          <t>Meru District</t>
        </is>
      </c>
      <c r="C15" t="inlineStr">
        <is>
          <t>C010</t>
        </is>
      </c>
      <c r="D15" s="7">
        <f>IF(SUMPRODUCT(ISNUMBER('Advanced 0-10'!D15:J15)*'Advanced Entry'!D$9:J$9)=0,"",ROUND(SUMPRODUCT(IFERROR('Advanced 0-10'!D15:J15*1,0)*'Advanced Entry'!D$9:J$9)/SUMPRODUCT(ISNUMBER('Advanced 0-10'!D15:J15)*'Advanced Entry'!D$9:J$9),1))</f>
        <v/>
      </c>
      <c r="E15" s="7">
        <f>IF(SUMPRODUCT(ISNUMBER('Advanced 0-10'!K15:O15)*'Advanced Entry'!K$9:O$9)=0,"",ROUND(SUMPRODUCT(IFERROR('Advanced 0-10'!K15:O15*1,0)*'Advanced Entry'!K$9:O$9)/SUMPRODUCT(ISNUMBER('Advanced 0-10'!K15:O15)*'Advanced Entry'!K$9:O$9),1))</f>
        <v/>
      </c>
      <c r="F15" s="7">
        <f>IF(SUMPRODUCT(ISNUMBER('Advanced 0-10'!P15:Q15)*'Advanced Entry'!P$9:Q$9)=0,"",ROUND(SUMPRODUCT(IFERROR('Advanced 0-10'!P15:Q15*1,0)*'Advanced Entry'!P$9:Q$9)/SUMPRODUCT(ISNUMBER('Advanced 0-10'!P15:Q15)*'Advanced Entry'!P$9:Q$9),1))</f>
        <v/>
      </c>
      <c r="G15" s="7">
        <f>IF(SUMPRODUCT(ISNUMBER('Advanced 0-10'!R15:S15)*'Advanced Entry'!R$9:S$9)=0,"",ROUND(SUMPRODUCT(IFERROR('Advanced 0-10'!R15:S15*1,0)*'Advanced Entry'!R$9:S$9)/SUMPRODUCT(ISNUMBER('Advanced 0-10'!R15:S15)*'Advanced Entry'!R$9:S$9),1))</f>
        <v/>
      </c>
      <c r="H15" s="7">
        <f>IF(SUMPRODUCT(ISNUMBER('Advanced 0-10'!T15:U15)*'Advanced Entry'!T$9:U$9)=0,"",ROUND(SUMPRODUCT(IFERROR('Advanced 0-10'!T15:U15*1,0)*'Advanced Entry'!T$9:U$9)/SUMPRODUCT(ISNUMBER('Advanced 0-10'!T15:U15)*'Advanced Entry'!T$9:U$9),1))</f>
        <v/>
      </c>
      <c r="I15" s="7">
        <f>IF(SUMPRODUCT(ISNUMBER('Advanced 0-10'!V15:Z15)*'Advanced Entry'!V$9:Z$9)=0,"",ROUND(SUMPRODUCT(IFERROR('Advanced 0-10'!V15:Z15*1,0)*'Advanced Entry'!V$9:Z$9)/SUMPRODUCT(ISNUMBER('Advanced 0-10'!V15:Z15)*'Advanced Entry'!V$9:Z$9),1))</f>
        <v/>
      </c>
      <c r="J15" s="7">
        <f>IF(SUMPRODUCT(ISNUMBER('Advanced 0-10'!AA15:AA15)*'Advanced Entry'!AA$9:AA$9)=0,"",ROUND(SUMPRODUCT(IFERROR('Advanced 0-10'!AA15:AA15*1,0)*'Advanced Entry'!AA$9:AA$9)/SUMPRODUCT(ISNUMBER('Advanced 0-10'!AA15:AA15)*'Advanced Entry'!AA$9:AA$9),1))</f>
        <v/>
      </c>
      <c r="K15" s="7">
        <f>IF(SUMPRODUCT(ISNUMBER('Advanced 0-10'!AB15:AB15)*'Advanced Entry'!AB$9:AB$9)=0,"",ROUND(SUMPRODUCT(IFERROR('Advanced 0-10'!AB15:AB15*1,0)*'Advanced Entry'!AB$9:AB$9)/SUMPRODUCT(ISNUMBER('Advanced 0-10'!AB15:AB15)*'Advanced Entry'!AB$9:AB$9),1))</f>
        <v/>
      </c>
      <c r="L15" s="19">
        <f>IF(SUMPRODUCT(--ISNUMBER(D15:K15))=0,"",ROUND(SUMPRODUCT(IFERROR(D15:K15*1,0))/SUMPRODUCT(--ISNUMBER(D15:K15)),1))</f>
        <v/>
      </c>
    </row>
    <row r="16">
      <c r="A16" t="inlineStr">
        <is>
          <t>Arusha</t>
        </is>
      </c>
      <c r="B16" t="inlineStr">
        <is>
          <t>Monduli District</t>
        </is>
      </c>
      <c r="C16" t="inlineStr">
        <is>
          <t>C009</t>
        </is>
      </c>
      <c r="D16" s="7">
        <f>IF(SUMPRODUCT(ISNUMBER('Advanced 0-10'!D16:J16)*'Advanced Entry'!D$9:J$9)=0,"",ROUND(SUMPRODUCT(IFERROR('Advanced 0-10'!D16:J16*1,0)*'Advanced Entry'!D$9:J$9)/SUMPRODUCT(ISNUMBER('Advanced 0-10'!D16:J16)*'Advanced Entry'!D$9:J$9),1))</f>
        <v/>
      </c>
      <c r="E16" s="7">
        <f>IF(SUMPRODUCT(ISNUMBER('Advanced 0-10'!K16:O16)*'Advanced Entry'!K$9:O$9)=0,"",ROUND(SUMPRODUCT(IFERROR('Advanced 0-10'!K16:O16*1,0)*'Advanced Entry'!K$9:O$9)/SUMPRODUCT(ISNUMBER('Advanced 0-10'!K16:O16)*'Advanced Entry'!K$9:O$9),1))</f>
        <v/>
      </c>
      <c r="F16" s="7">
        <f>IF(SUMPRODUCT(ISNUMBER('Advanced 0-10'!P16:Q16)*'Advanced Entry'!P$9:Q$9)=0,"",ROUND(SUMPRODUCT(IFERROR('Advanced 0-10'!P16:Q16*1,0)*'Advanced Entry'!P$9:Q$9)/SUMPRODUCT(ISNUMBER('Advanced 0-10'!P16:Q16)*'Advanced Entry'!P$9:Q$9),1))</f>
        <v/>
      </c>
      <c r="G16" s="7">
        <f>IF(SUMPRODUCT(ISNUMBER('Advanced 0-10'!R16:S16)*'Advanced Entry'!R$9:S$9)=0,"",ROUND(SUMPRODUCT(IFERROR('Advanced 0-10'!R16:S16*1,0)*'Advanced Entry'!R$9:S$9)/SUMPRODUCT(ISNUMBER('Advanced 0-10'!R16:S16)*'Advanced Entry'!R$9:S$9),1))</f>
        <v/>
      </c>
      <c r="H16" s="7">
        <f>IF(SUMPRODUCT(ISNUMBER('Advanced 0-10'!T16:U16)*'Advanced Entry'!T$9:U$9)=0,"",ROUND(SUMPRODUCT(IFERROR('Advanced 0-10'!T16:U16*1,0)*'Advanced Entry'!T$9:U$9)/SUMPRODUCT(ISNUMBER('Advanced 0-10'!T16:U16)*'Advanced Entry'!T$9:U$9),1))</f>
        <v/>
      </c>
      <c r="I16" s="7">
        <f>IF(SUMPRODUCT(ISNUMBER('Advanced 0-10'!V16:Z16)*'Advanced Entry'!V$9:Z$9)=0,"",ROUND(SUMPRODUCT(IFERROR('Advanced 0-10'!V16:Z16*1,0)*'Advanced Entry'!V$9:Z$9)/SUMPRODUCT(ISNUMBER('Advanced 0-10'!V16:Z16)*'Advanced Entry'!V$9:Z$9),1))</f>
        <v/>
      </c>
      <c r="J16" s="7">
        <f>IF(SUMPRODUCT(ISNUMBER('Advanced 0-10'!AA16:AA16)*'Advanced Entry'!AA$9:AA$9)=0,"",ROUND(SUMPRODUCT(IFERROR('Advanced 0-10'!AA16:AA16*1,0)*'Advanced Entry'!AA$9:AA$9)/SUMPRODUCT(ISNUMBER('Advanced 0-10'!AA16:AA16)*'Advanced Entry'!AA$9:AA$9),1))</f>
        <v/>
      </c>
      <c r="K16" s="7">
        <f>IF(SUMPRODUCT(ISNUMBER('Advanced 0-10'!AB16:AB16)*'Advanced Entry'!AB$9:AB$9)=0,"",ROUND(SUMPRODUCT(IFERROR('Advanced 0-10'!AB16:AB16*1,0)*'Advanced Entry'!AB$9:AB$9)/SUMPRODUCT(ISNUMBER('Advanced 0-10'!AB16:AB16)*'Advanced Entry'!AB$9:AB$9),1))</f>
        <v/>
      </c>
      <c r="L16" s="19">
        <f>IF(SUMPRODUCT(--ISNUMBER(D16:K16))=0,"",ROUND(SUMPRODUCT(IFERROR(D16:K16*1,0))/SUMPRODUCT(--ISNUMBER(D16:K16)),1))</f>
        <v/>
      </c>
    </row>
    <row r="17">
      <c r="A17" t="inlineStr">
        <is>
          <t>Arusha</t>
        </is>
      </c>
      <c r="B17" t="inlineStr">
        <is>
          <t>Ngorongoro District</t>
        </is>
      </c>
      <c r="C17" t="inlineStr">
        <is>
          <t>C014</t>
        </is>
      </c>
      <c r="D17" s="7">
        <f>IF(SUMPRODUCT(ISNUMBER('Advanced 0-10'!D17:J17)*'Advanced Entry'!D$9:J$9)=0,"",ROUND(SUMPRODUCT(IFERROR('Advanced 0-10'!D17:J17*1,0)*'Advanced Entry'!D$9:J$9)/SUMPRODUCT(ISNUMBER('Advanced 0-10'!D17:J17)*'Advanced Entry'!D$9:J$9),1))</f>
        <v/>
      </c>
      <c r="E17" s="7">
        <f>IF(SUMPRODUCT(ISNUMBER('Advanced 0-10'!K17:O17)*'Advanced Entry'!K$9:O$9)=0,"",ROUND(SUMPRODUCT(IFERROR('Advanced 0-10'!K17:O17*1,0)*'Advanced Entry'!K$9:O$9)/SUMPRODUCT(ISNUMBER('Advanced 0-10'!K17:O17)*'Advanced Entry'!K$9:O$9),1))</f>
        <v/>
      </c>
      <c r="F17" s="7">
        <f>IF(SUMPRODUCT(ISNUMBER('Advanced 0-10'!P17:Q17)*'Advanced Entry'!P$9:Q$9)=0,"",ROUND(SUMPRODUCT(IFERROR('Advanced 0-10'!P17:Q17*1,0)*'Advanced Entry'!P$9:Q$9)/SUMPRODUCT(ISNUMBER('Advanced 0-10'!P17:Q17)*'Advanced Entry'!P$9:Q$9),1))</f>
        <v/>
      </c>
      <c r="G17" s="7">
        <f>IF(SUMPRODUCT(ISNUMBER('Advanced 0-10'!R17:S17)*'Advanced Entry'!R$9:S$9)=0,"",ROUND(SUMPRODUCT(IFERROR('Advanced 0-10'!R17:S17*1,0)*'Advanced Entry'!R$9:S$9)/SUMPRODUCT(ISNUMBER('Advanced 0-10'!R17:S17)*'Advanced Entry'!R$9:S$9),1))</f>
        <v/>
      </c>
      <c r="H17" s="7">
        <f>IF(SUMPRODUCT(ISNUMBER('Advanced 0-10'!T17:U17)*'Advanced Entry'!T$9:U$9)=0,"",ROUND(SUMPRODUCT(IFERROR('Advanced 0-10'!T17:U17*1,0)*'Advanced Entry'!T$9:U$9)/SUMPRODUCT(ISNUMBER('Advanced 0-10'!T17:U17)*'Advanced Entry'!T$9:U$9),1))</f>
        <v/>
      </c>
      <c r="I17" s="7">
        <f>IF(SUMPRODUCT(ISNUMBER('Advanced 0-10'!V17:Z17)*'Advanced Entry'!V$9:Z$9)=0,"",ROUND(SUMPRODUCT(IFERROR('Advanced 0-10'!V17:Z17*1,0)*'Advanced Entry'!V$9:Z$9)/SUMPRODUCT(ISNUMBER('Advanced 0-10'!V17:Z17)*'Advanced Entry'!V$9:Z$9),1))</f>
        <v/>
      </c>
      <c r="J17" s="7">
        <f>IF(SUMPRODUCT(ISNUMBER('Advanced 0-10'!AA17:AA17)*'Advanced Entry'!AA$9:AA$9)=0,"",ROUND(SUMPRODUCT(IFERROR('Advanced 0-10'!AA17:AA17*1,0)*'Advanced Entry'!AA$9:AA$9)/SUMPRODUCT(ISNUMBER('Advanced 0-10'!AA17:AA17)*'Advanced Entry'!AA$9:AA$9),1))</f>
        <v/>
      </c>
      <c r="K17" s="7">
        <f>IF(SUMPRODUCT(ISNUMBER('Advanced 0-10'!AB17:AB17)*'Advanced Entry'!AB$9:AB$9)=0,"",ROUND(SUMPRODUCT(IFERROR('Advanced 0-10'!AB17:AB17*1,0)*'Advanced Entry'!AB$9:AB$9)/SUMPRODUCT(ISNUMBER('Advanced 0-10'!AB17:AB17)*'Advanced Entry'!AB$9:AB$9),1))</f>
        <v/>
      </c>
      <c r="L17" s="19">
        <f>IF(SUMPRODUCT(--ISNUMBER(D17:K17))=0,"",ROUND(SUMPRODUCT(IFERROR(D17:K17*1,0))/SUMPRODUCT(--ISNUMBER(D17:K17)),1))</f>
        <v/>
      </c>
    </row>
    <row r="18">
      <c r="A18" t="inlineStr">
        <is>
          <t>Dar es Salaam</t>
        </is>
      </c>
      <c r="B18" t="inlineStr">
        <is>
          <t>Dar Es Salaam City</t>
        </is>
      </c>
      <c r="C18" t="inlineStr">
        <is>
          <t>C053</t>
        </is>
      </c>
      <c r="D18" s="7">
        <f>IF(SUMPRODUCT(ISNUMBER('Advanced 0-10'!D18:J18)*'Advanced Entry'!D$9:J$9)=0,"",ROUND(SUMPRODUCT(IFERROR('Advanced 0-10'!D18:J18*1,0)*'Advanced Entry'!D$9:J$9)/SUMPRODUCT(ISNUMBER('Advanced 0-10'!D18:J18)*'Advanced Entry'!D$9:J$9),1))</f>
        <v/>
      </c>
      <c r="E18" s="7">
        <f>IF(SUMPRODUCT(ISNUMBER('Advanced 0-10'!K18:O18)*'Advanced Entry'!K$9:O$9)=0,"",ROUND(SUMPRODUCT(IFERROR('Advanced 0-10'!K18:O18*1,0)*'Advanced Entry'!K$9:O$9)/SUMPRODUCT(ISNUMBER('Advanced 0-10'!K18:O18)*'Advanced Entry'!K$9:O$9),1))</f>
        <v/>
      </c>
      <c r="F18" s="7">
        <f>IF(SUMPRODUCT(ISNUMBER('Advanced 0-10'!P18:Q18)*'Advanced Entry'!P$9:Q$9)=0,"",ROUND(SUMPRODUCT(IFERROR('Advanced 0-10'!P18:Q18*1,0)*'Advanced Entry'!P$9:Q$9)/SUMPRODUCT(ISNUMBER('Advanced 0-10'!P18:Q18)*'Advanced Entry'!P$9:Q$9),1))</f>
        <v/>
      </c>
      <c r="G18" s="7">
        <f>IF(SUMPRODUCT(ISNUMBER('Advanced 0-10'!R18:S18)*'Advanced Entry'!R$9:S$9)=0,"",ROUND(SUMPRODUCT(IFERROR('Advanced 0-10'!R18:S18*1,0)*'Advanced Entry'!R$9:S$9)/SUMPRODUCT(ISNUMBER('Advanced 0-10'!R18:S18)*'Advanced Entry'!R$9:S$9),1))</f>
        <v/>
      </c>
      <c r="H18" s="7">
        <f>IF(SUMPRODUCT(ISNUMBER('Advanced 0-10'!T18:U18)*'Advanced Entry'!T$9:U$9)=0,"",ROUND(SUMPRODUCT(IFERROR('Advanced 0-10'!T18:U18*1,0)*'Advanced Entry'!T$9:U$9)/SUMPRODUCT(ISNUMBER('Advanced 0-10'!T18:U18)*'Advanced Entry'!T$9:U$9),1))</f>
        <v/>
      </c>
      <c r="I18" s="7">
        <f>IF(SUMPRODUCT(ISNUMBER('Advanced 0-10'!V18:Z18)*'Advanced Entry'!V$9:Z$9)=0,"",ROUND(SUMPRODUCT(IFERROR('Advanced 0-10'!V18:Z18*1,0)*'Advanced Entry'!V$9:Z$9)/SUMPRODUCT(ISNUMBER('Advanced 0-10'!V18:Z18)*'Advanced Entry'!V$9:Z$9),1))</f>
        <v/>
      </c>
      <c r="J18" s="7">
        <f>IF(SUMPRODUCT(ISNUMBER('Advanced 0-10'!AA18:AA18)*'Advanced Entry'!AA$9:AA$9)=0,"",ROUND(SUMPRODUCT(IFERROR('Advanced 0-10'!AA18:AA18*1,0)*'Advanced Entry'!AA$9:AA$9)/SUMPRODUCT(ISNUMBER('Advanced 0-10'!AA18:AA18)*'Advanced Entry'!AA$9:AA$9),1))</f>
        <v/>
      </c>
      <c r="K18" s="7">
        <f>IF(SUMPRODUCT(ISNUMBER('Advanced 0-10'!AB18:AB18)*'Advanced Entry'!AB$9:AB$9)=0,"",ROUND(SUMPRODUCT(IFERROR('Advanced 0-10'!AB18:AB18*1,0)*'Advanced Entry'!AB$9:AB$9)/SUMPRODUCT(ISNUMBER('Advanced 0-10'!AB18:AB18)*'Advanced Entry'!AB$9:AB$9),1))</f>
        <v/>
      </c>
      <c r="L18" s="19">
        <f>IF(SUMPRODUCT(--ISNUMBER(D18:K18))=0,"",ROUND(SUMPRODUCT(IFERROR(D18:K18*1,0))/SUMPRODUCT(--ISNUMBER(D18:K18)),1))</f>
        <v/>
      </c>
    </row>
    <row r="19">
      <c r="A19" t="inlineStr">
        <is>
          <t>Dar es Salaam</t>
        </is>
      </c>
      <c r="B19" t="inlineStr">
        <is>
          <t>Kigamboni Municipal</t>
        </is>
      </c>
      <c r="C19" t="inlineStr">
        <is>
          <t>C055</t>
        </is>
      </c>
      <c r="D19" s="7">
        <f>IF(SUMPRODUCT(ISNUMBER('Advanced 0-10'!D19:J19)*'Advanced Entry'!D$9:J$9)=0,"",ROUND(SUMPRODUCT(IFERROR('Advanced 0-10'!D19:J19*1,0)*'Advanced Entry'!D$9:J$9)/SUMPRODUCT(ISNUMBER('Advanced 0-10'!D19:J19)*'Advanced Entry'!D$9:J$9),1))</f>
        <v/>
      </c>
      <c r="E19" s="7">
        <f>IF(SUMPRODUCT(ISNUMBER('Advanced 0-10'!K19:O19)*'Advanced Entry'!K$9:O$9)=0,"",ROUND(SUMPRODUCT(IFERROR('Advanced 0-10'!K19:O19*1,0)*'Advanced Entry'!K$9:O$9)/SUMPRODUCT(ISNUMBER('Advanced 0-10'!K19:O19)*'Advanced Entry'!K$9:O$9),1))</f>
        <v/>
      </c>
      <c r="F19" s="7">
        <f>IF(SUMPRODUCT(ISNUMBER('Advanced 0-10'!P19:Q19)*'Advanced Entry'!P$9:Q$9)=0,"",ROUND(SUMPRODUCT(IFERROR('Advanced 0-10'!P19:Q19*1,0)*'Advanced Entry'!P$9:Q$9)/SUMPRODUCT(ISNUMBER('Advanced 0-10'!P19:Q19)*'Advanced Entry'!P$9:Q$9),1))</f>
        <v/>
      </c>
      <c r="G19" s="7">
        <f>IF(SUMPRODUCT(ISNUMBER('Advanced 0-10'!R19:S19)*'Advanced Entry'!R$9:S$9)=0,"",ROUND(SUMPRODUCT(IFERROR('Advanced 0-10'!R19:S19*1,0)*'Advanced Entry'!R$9:S$9)/SUMPRODUCT(ISNUMBER('Advanced 0-10'!R19:S19)*'Advanced Entry'!R$9:S$9),1))</f>
        <v/>
      </c>
      <c r="H19" s="7">
        <f>IF(SUMPRODUCT(ISNUMBER('Advanced 0-10'!T19:U19)*'Advanced Entry'!T$9:U$9)=0,"",ROUND(SUMPRODUCT(IFERROR('Advanced 0-10'!T19:U19*1,0)*'Advanced Entry'!T$9:U$9)/SUMPRODUCT(ISNUMBER('Advanced 0-10'!T19:U19)*'Advanced Entry'!T$9:U$9),1))</f>
        <v/>
      </c>
      <c r="I19" s="7">
        <f>IF(SUMPRODUCT(ISNUMBER('Advanced 0-10'!V19:Z19)*'Advanced Entry'!V$9:Z$9)=0,"",ROUND(SUMPRODUCT(IFERROR('Advanced 0-10'!V19:Z19*1,0)*'Advanced Entry'!V$9:Z$9)/SUMPRODUCT(ISNUMBER('Advanced 0-10'!V19:Z19)*'Advanced Entry'!V$9:Z$9),1))</f>
        <v/>
      </c>
      <c r="J19" s="7">
        <f>IF(SUMPRODUCT(ISNUMBER('Advanced 0-10'!AA19:AA19)*'Advanced Entry'!AA$9:AA$9)=0,"",ROUND(SUMPRODUCT(IFERROR('Advanced 0-10'!AA19:AA19*1,0)*'Advanced Entry'!AA$9:AA$9)/SUMPRODUCT(ISNUMBER('Advanced 0-10'!AA19:AA19)*'Advanced Entry'!AA$9:AA$9),1))</f>
        <v/>
      </c>
      <c r="K19" s="7">
        <f>IF(SUMPRODUCT(ISNUMBER('Advanced 0-10'!AB19:AB19)*'Advanced Entry'!AB$9:AB$9)=0,"",ROUND(SUMPRODUCT(IFERROR('Advanced 0-10'!AB19:AB19*1,0)*'Advanced Entry'!AB$9:AB$9)/SUMPRODUCT(ISNUMBER('Advanced 0-10'!AB19:AB19)*'Advanced Entry'!AB$9:AB$9),1))</f>
        <v/>
      </c>
      <c r="L19" s="19">
        <f>IF(SUMPRODUCT(--ISNUMBER(D19:K19))=0,"",ROUND(SUMPRODUCT(IFERROR(D19:K19*1,0))/SUMPRODUCT(--ISNUMBER(D19:K19)),1))</f>
        <v/>
      </c>
    </row>
    <row r="20">
      <c r="A20" t="inlineStr">
        <is>
          <t>Dar es Salaam</t>
        </is>
      </c>
      <c r="B20" t="inlineStr">
        <is>
          <t>Kinondoni Municipal</t>
        </is>
      </c>
      <c r="C20" t="inlineStr">
        <is>
          <t>C052</t>
        </is>
      </c>
      <c r="D20" s="7">
        <f>IF(SUMPRODUCT(ISNUMBER('Advanced 0-10'!D20:J20)*'Advanced Entry'!D$9:J$9)=0,"",ROUND(SUMPRODUCT(IFERROR('Advanced 0-10'!D20:J20*1,0)*'Advanced Entry'!D$9:J$9)/SUMPRODUCT(ISNUMBER('Advanced 0-10'!D20:J20)*'Advanced Entry'!D$9:J$9),1))</f>
        <v/>
      </c>
      <c r="E20" s="7">
        <f>IF(SUMPRODUCT(ISNUMBER('Advanced 0-10'!K20:O20)*'Advanced Entry'!K$9:O$9)=0,"",ROUND(SUMPRODUCT(IFERROR('Advanced 0-10'!K20:O20*1,0)*'Advanced Entry'!K$9:O$9)/SUMPRODUCT(ISNUMBER('Advanced 0-10'!K20:O20)*'Advanced Entry'!K$9:O$9),1))</f>
        <v/>
      </c>
      <c r="F20" s="7">
        <f>IF(SUMPRODUCT(ISNUMBER('Advanced 0-10'!P20:Q20)*'Advanced Entry'!P$9:Q$9)=0,"",ROUND(SUMPRODUCT(IFERROR('Advanced 0-10'!P20:Q20*1,0)*'Advanced Entry'!P$9:Q$9)/SUMPRODUCT(ISNUMBER('Advanced 0-10'!P20:Q20)*'Advanced Entry'!P$9:Q$9),1))</f>
        <v/>
      </c>
      <c r="G20" s="7">
        <f>IF(SUMPRODUCT(ISNUMBER('Advanced 0-10'!R20:S20)*'Advanced Entry'!R$9:S$9)=0,"",ROUND(SUMPRODUCT(IFERROR('Advanced 0-10'!R20:S20*1,0)*'Advanced Entry'!R$9:S$9)/SUMPRODUCT(ISNUMBER('Advanced 0-10'!R20:S20)*'Advanced Entry'!R$9:S$9),1))</f>
        <v/>
      </c>
      <c r="H20" s="7">
        <f>IF(SUMPRODUCT(ISNUMBER('Advanced 0-10'!T20:U20)*'Advanced Entry'!T$9:U$9)=0,"",ROUND(SUMPRODUCT(IFERROR('Advanced 0-10'!T20:U20*1,0)*'Advanced Entry'!T$9:U$9)/SUMPRODUCT(ISNUMBER('Advanced 0-10'!T20:U20)*'Advanced Entry'!T$9:U$9),1))</f>
        <v/>
      </c>
      <c r="I20" s="7">
        <f>IF(SUMPRODUCT(ISNUMBER('Advanced 0-10'!V20:Z20)*'Advanced Entry'!V$9:Z$9)=0,"",ROUND(SUMPRODUCT(IFERROR('Advanced 0-10'!V20:Z20*1,0)*'Advanced Entry'!V$9:Z$9)/SUMPRODUCT(ISNUMBER('Advanced 0-10'!V20:Z20)*'Advanced Entry'!V$9:Z$9),1))</f>
        <v/>
      </c>
      <c r="J20" s="7">
        <f>IF(SUMPRODUCT(ISNUMBER('Advanced 0-10'!AA20:AA20)*'Advanced Entry'!AA$9:AA$9)=0,"",ROUND(SUMPRODUCT(IFERROR('Advanced 0-10'!AA20:AA20*1,0)*'Advanced Entry'!AA$9:AA$9)/SUMPRODUCT(ISNUMBER('Advanced 0-10'!AA20:AA20)*'Advanced Entry'!AA$9:AA$9),1))</f>
        <v/>
      </c>
      <c r="K20" s="7">
        <f>IF(SUMPRODUCT(ISNUMBER('Advanced 0-10'!AB20:AB20)*'Advanced Entry'!AB$9:AB$9)=0,"",ROUND(SUMPRODUCT(IFERROR('Advanced 0-10'!AB20:AB20*1,0)*'Advanced Entry'!AB$9:AB$9)/SUMPRODUCT(ISNUMBER('Advanced 0-10'!AB20:AB20)*'Advanced Entry'!AB$9:AB$9),1))</f>
        <v/>
      </c>
      <c r="L20" s="19">
        <f>IF(SUMPRODUCT(--ISNUMBER(D20:K20))=0,"",ROUND(SUMPRODUCT(IFERROR(D20:K20*1,0))/SUMPRODUCT(--ISNUMBER(D20:K20)),1))</f>
        <v/>
      </c>
    </row>
    <row r="21">
      <c r="A21" t="inlineStr">
        <is>
          <t>Dar es Salaam</t>
        </is>
      </c>
      <c r="B21" t="inlineStr">
        <is>
          <t>Temeke Municipal</t>
        </is>
      </c>
      <c r="C21" t="inlineStr">
        <is>
          <t>C054</t>
        </is>
      </c>
      <c r="D21" s="7">
        <f>IF(SUMPRODUCT(ISNUMBER('Advanced 0-10'!D21:J21)*'Advanced Entry'!D$9:J$9)=0,"",ROUND(SUMPRODUCT(IFERROR('Advanced 0-10'!D21:J21*1,0)*'Advanced Entry'!D$9:J$9)/SUMPRODUCT(ISNUMBER('Advanced 0-10'!D21:J21)*'Advanced Entry'!D$9:J$9),1))</f>
        <v/>
      </c>
      <c r="E21" s="7">
        <f>IF(SUMPRODUCT(ISNUMBER('Advanced 0-10'!K21:O21)*'Advanced Entry'!K$9:O$9)=0,"",ROUND(SUMPRODUCT(IFERROR('Advanced 0-10'!K21:O21*1,0)*'Advanced Entry'!K$9:O$9)/SUMPRODUCT(ISNUMBER('Advanced 0-10'!K21:O21)*'Advanced Entry'!K$9:O$9),1))</f>
        <v/>
      </c>
      <c r="F21" s="7">
        <f>IF(SUMPRODUCT(ISNUMBER('Advanced 0-10'!P21:Q21)*'Advanced Entry'!P$9:Q$9)=0,"",ROUND(SUMPRODUCT(IFERROR('Advanced 0-10'!P21:Q21*1,0)*'Advanced Entry'!P$9:Q$9)/SUMPRODUCT(ISNUMBER('Advanced 0-10'!P21:Q21)*'Advanced Entry'!P$9:Q$9),1))</f>
        <v/>
      </c>
      <c r="G21" s="7">
        <f>IF(SUMPRODUCT(ISNUMBER('Advanced 0-10'!R21:S21)*'Advanced Entry'!R$9:S$9)=0,"",ROUND(SUMPRODUCT(IFERROR('Advanced 0-10'!R21:S21*1,0)*'Advanced Entry'!R$9:S$9)/SUMPRODUCT(ISNUMBER('Advanced 0-10'!R21:S21)*'Advanced Entry'!R$9:S$9),1))</f>
        <v/>
      </c>
      <c r="H21" s="7">
        <f>IF(SUMPRODUCT(ISNUMBER('Advanced 0-10'!T21:U21)*'Advanced Entry'!T$9:U$9)=0,"",ROUND(SUMPRODUCT(IFERROR('Advanced 0-10'!T21:U21*1,0)*'Advanced Entry'!T$9:U$9)/SUMPRODUCT(ISNUMBER('Advanced 0-10'!T21:U21)*'Advanced Entry'!T$9:U$9),1))</f>
        <v/>
      </c>
      <c r="I21" s="7">
        <f>IF(SUMPRODUCT(ISNUMBER('Advanced 0-10'!V21:Z21)*'Advanced Entry'!V$9:Z$9)=0,"",ROUND(SUMPRODUCT(IFERROR('Advanced 0-10'!V21:Z21*1,0)*'Advanced Entry'!V$9:Z$9)/SUMPRODUCT(ISNUMBER('Advanced 0-10'!V21:Z21)*'Advanced Entry'!V$9:Z$9),1))</f>
        <v/>
      </c>
      <c r="J21" s="7">
        <f>IF(SUMPRODUCT(ISNUMBER('Advanced 0-10'!AA21:AA21)*'Advanced Entry'!AA$9:AA$9)=0,"",ROUND(SUMPRODUCT(IFERROR('Advanced 0-10'!AA21:AA21*1,0)*'Advanced Entry'!AA$9:AA$9)/SUMPRODUCT(ISNUMBER('Advanced 0-10'!AA21:AA21)*'Advanced Entry'!AA$9:AA$9),1))</f>
        <v/>
      </c>
      <c r="K21" s="7">
        <f>IF(SUMPRODUCT(ISNUMBER('Advanced 0-10'!AB21:AB21)*'Advanced Entry'!AB$9:AB$9)=0,"",ROUND(SUMPRODUCT(IFERROR('Advanced 0-10'!AB21:AB21*1,0)*'Advanced Entry'!AB$9:AB$9)/SUMPRODUCT(ISNUMBER('Advanced 0-10'!AB21:AB21)*'Advanced Entry'!AB$9:AB$9),1))</f>
        <v/>
      </c>
      <c r="L21" s="19">
        <f>IF(SUMPRODUCT(--ISNUMBER(D21:K21))=0,"",ROUND(SUMPRODUCT(IFERROR(D21:K21*1,0))/SUMPRODUCT(--ISNUMBER(D21:K21)),1))</f>
        <v/>
      </c>
    </row>
    <row r="22">
      <c r="A22" t="inlineStr">
        <is>
          <t>Dar es Salaam</t>
        </is>
      </c>
      <c r="B22" t="inlineStr">
        <is>
          <t>Ubungo Municipal</t>
        </is>
      </c>
      <c r="C22" t="inlineStr">
        <is>
          <t>C056</t>
        </is>
      </c>
      <c r="D22" s="7">
        <f>IF(SUMPRODUCT(ISNUMBER('Advanced 0-10'!D22:J22)*'Advanced Entry'!D$9:J$9)=0,"",ROUND(SUMPRODUCT(IFERROR('Advanced 0-10'!D22:J22*1,0)*'Advanced Entry'!D$9:J$9)/SUMPRODUCT(ISNUMBER('Advanced 0-10'!D22:J22)*'Advanced Entry'!D$9:J$9),1))</f>
        <v/>
      </c>
      <c r="E22" s="7">
        <f>IF(SUMPRODUCT(ISNUMBER('Advanced 0-10'!K22:O22)*'Advanced Entry'!K$9:O$9)=0,"",ROUND(SUMPRODUCT(IFERROR('Advanced 0-10'!K22:O22*1,0)*'Advanced Entry'!K$9:O$9)/SUMPRODUCT(ISNUMBER('Advanced 0-10'!K22:O22)*'Advanced Entry'!K$9:O$9),1))</f>
        <v/>
      </c>
      <c r="F22" s="7">
        <f>IF(SUMPRODUCT(ISNUMBER('Advanced 0-10'!P22:Q22)*'Advanced Entry'!P$9:Q$9)=0,"",ROUND(SUMPRODUCT(IFERROR('Advanced 0-10'!P22:Q22*1,0)*'Advanced Entry'!P$9:Q$9)/SUMPRODUCT(ISNUMBER('Advanced 0-10'!P22:Q22)*'Advanced Entry'!P$9:Q$9),1))</f>
        <v/>
      </c>
      <c r="G22" s="7">
        <f>IF(SUMPRODUCT(ISNUMBER('Advanced 0-10'!R22:S22)*'Advanced Entry'!R$9:S$9)=0,"",ROUND(SUMPRODUCT(IFERROR('Advanced 0-10'!R22:S22*1,0)*'Advanced Entry'!R$9:S$9)/SUMPRODUCT(ISNUMBER('Advanced 0-10'!R22:S22)*'Advanced Entry'!R$9:S$9),1))</f>
        <v/>
      </c>
      <c r="H22" s="7">
        <f>IF(SUMPRODUCT(ISNUMBER('Advanced 0-10'!T22:U22)*'Advanced Entry'!T$9:U$9)=0,"",ROUND(SUMPRODUCT(IFERROR('Advanced 0-10'!T22:U22*1,0)*'Advanced Entry'!T$9:U$9)/SUMPRODUCT(ISNUMBER('Advanced 0-10'!T22:U22)*'Advanced Entry'!T$9:U$9),1))</f>
        <v/>
      </c>
      <c r="I22" s="7">
        <f>IF(SUMPRODUCT(ISNUMBER('Advanced 0-10'!V22:Z22)*'Advanced Entry'!V$9:Z$9)=0,"",ROUND(SUMPRODUCT(IFERROR('Advanced 0-10'!V22:Z22*1,0)*'Advanced Entry'!V$9:Z$9)/SUMPRODUCT(ISNUMBER('Advanced 0-10'!V22:Z22)*'Advanced Entry'!V$9:Z$9),1))</f>
        <v/>
      </c>
      <c r="J22" s="7">
        <f>IF(SUMPRODUCT(ISNUMBER('Advanced 0-10'!AA22:AA22)*'Advanced Entry'!AA$9:AA$9)=0,"",ROUND(SUMPRODUCT(IFERROR('Advanced 0-10'!AA22:AA22*1,0)*'Advanced Entry'!AA$9:AA$9)/SUMPRODUCT(ISNUMBER('Advanced 0-10'!AA22:AA22)*'Advanced Entry'!AA$9:AA$9),1))</f>
        <v/>
      </c>
      <c r="K22" s="7">
        <f>IF(SUMPRODUCT(ISNUMBER('Advanced 0-10'!AB22:AB22)*'Advanced Entry'!AB$9:AB$9)=0,"",ROUND(SUMPRODUCT(IFERROR('Advanced 0-10'!AB22:AB22*1,0)*'Advanced Entry'!AB$9:AB$9)/SUMPRODUCT(ISNUMBER('Advanced 0-10'!AB22:AB22)*'Advanced Entry'!AB$9:AB$9),1))</f>
        <v/>
      </c>
      <c r="L22" s="19">
        <f>IF(SUMPRODUCT(--ISNUMBER(D22:K22))=0,"",ROUND(SUMPRODUCT(IFERROR(D22:K22*1,0))/SUMPRODUCT(--ISNUMBER(D22:K22)),1))</f>
        <v/>
      </c>
    </row>
    <row r="23">
      <c r="A23" t="inlineStr">
        <is>
          <t>Dodoma</t>
        </is>
      </c>
      <c r="B23" t="inlineStr">
        <is>
          <t>Bahi District</t>
        </is>
      </c>
      <c r="C23" t="inlineStr">
        <is>
          <t>C007</t>
        </is>
      </c>
      <c r="D23" s="7">
        <f>IF(SUMPRODUCT(ISNUMBER('Advanced 0-10'!D23:J23)*'Advanced Entry'!D$9:J$9)=0,"",ROUND(SUMPRODUCT(IFERROR('Advanced 0-10'!D23:J23*1,0)*'Advanced Entry'!D$9:J$9)/SUMPRODUCT(ISNUMBER('Advanced 0-10'!D23:J23)*'Advanced Entry'!D$9:J$9),1))</f>
        <v/>
      </c>
      <c r="E23" s="7">
        <f>IF(SUMPRODUCT(ISNUMBER('Advanced 0-10'!K23:O23)*'Advanced Entry'!K$9:O$9)=0,"",ROUND(SUMPRODUCT(IFERROR('Advanced 0-10'!K23:O23*1,0)*'Advanced Entry'!K$9:O$9)/SUMPRODUCT(ISNUMBER('Advanced 0-10'!K23:O23)*'Advanced Entry'!K$9:O$9),1))</f>
        <v/>
      </c>
      <c r="F23" s="7">
        <f>IF(SUMPRODUCT(ISNUMBER('Advanced 0-10'!P23:Q23)*'Advanced Entry'!P$9:Q$9)=0,"",ROUND(SUMPRODUCT(IFERROR('Advanced 0-10'!P23:Q23*1,0)*'Advanced Entry'!P$9:Q$9)/SUMPRODUCT(ISNUMBER('Advanced 0-10'!P23:Q23)*'Advanced Entry'!P$9:Q$9),1))</f>
        <v/>
      </c>
      <c r="G23" s="7">
        <f>IF(SUMPRODUCT(ISNUMBER('Advanced 0-10'!R23:S23)*'Advanced Entry'!R$9:S$9)=0,"",ROUND(SUMPRODUCT(IFERROR('Advanced 0-10'!R23:S23*1,0)*'Advanced Entry'!R$9:S$9)/SUMPRODUCT(ISNUMBER('Advanced 0-10'!R23:S23)*'Advanced Entry'!R$9:S$9),1))</f>
        <v/>
      </c>
      <c r="H23" s="7">
        <f>IF(SUMPRODUCT(ISNUMBER('Advanced 0-10'!T23:U23)*'Advanced Entry'!T$9:U$9)=0,"",ROUND(SUMPRODUCT(IFERROR('Advanced 0-10'!T23:U23*1,0)*'Advanced Entry'!T$9:U$9)/SUMPRODUCT(ISNUMBER('Advanced 0-10'!T23:U23)*'Advanced Entry'!T$9:U$9),1))</f>
        <v/>
      </c>
      <c r="I23" s="7">
        <f>IF(SUMPRODUCT(ISNUMBER('Advanced 0-10'!V23:Z23)*'Advanced Entry'!V$9:Z$9)=0,"",ROUND(SUMPRODUCT(IFERROR('Advanced 0-10'!V23:Z23*1,0)*'Advanced Entry'!V$9:Z$9)/SUMPRODUCT(ISNUMBER('Advanced 0-10'!V23:Z23)*'Advanced Entry'!V$9:Z$9),1))</f>
        <v/>
      </c>
      <c r="J23" s="7">
        <f>IF(SUMPRODUCT(ISNUMBER('Advanced 0-10'!AA23:AA23)*'Advanced Entry'!AA$9:AA$9)=0,"",ROUND(SUMPRODUCT(IFERROR('Advanced 0-10'!AA23:AA23*1,0)*'Advanced Entry'!AA$9:AA$9)/SUMPRODUCT(ISNUMBER('Advanced 0-10'!AA23:AA23)*'Advanced Entry'!AA$9:AA$9),1))</f>
        <v/>
      </c>
      <c r="K23" s="7">
        <f>IF(SUMPRODUCT(ISNUMBER('Advanced 0-10'!AB23:AB23)*'Advanced Entry'!AB$9:AB$9)=0,"",ROUND(SUMPRODUCT(IFERROR('Advanced 0-10'!AB23:AB23*1,0)*'Advanced Entry'!AB$9:AB$9)/SUMPRODUCT(ISNUMBER('Advanced 0-10'!AB23:AB23)*'Advanced Entry'!AB$9:AB$9),1))</f>
        <v/>
      </c>
      <c r="L23" s="19">
        <f>IF(SUMPRODUCT(--ISNUMBER(D23:K23))=0,"",ROUND(SUMPRODUCT(IFERROR(D23:K23*1,0))/SUMPRODUCT(--ISNUMBER(D23:K23)),1))</f>
        <v/>
      </c>
    </row>
    <row r="24">
      <c r="A24" t="inlineStr">
        <is>
          <t>Dodoma</t>
        </is>
      </c>
      <c r="B24" t="inlineStr">
        <is>
          <t>Chamwino District</t>
        </is>
      </c>
      <c r="C24" t="inlineStr">
        <is>
          <t>C005</t>
        </is>
      </c>
      <c r="D24" s="7">
        <f>IF(SUMPRODUCT(ISNUMBER('Advanced 0-10'!D24:J24)*'Advanced Entry'!D$9:J$9)=0,"",ROUND(SUMPRODUCT(IFERROR('Advanced 0-10'!D24:J24*1,0)*'Advanced Entry'!D$9:J$9)/SUMPRODUCT(ISNUMBER('Advanced 0-10'!D24:J24)*'Advanced Entry'!D$9:J$9),1))</f>
        <v/>
      </c>
      <c r="E24" s="7">
        <f>IF(SUMPRODUCT(ISNUMBER('Advanced 0-10'!K24:O24)*'Advanced Entry'!K$9:O$9)=0,"",ROUND(SUMPRODUCT(IFERROR('Advanced 0-10'!K24:O24*1,0)*'Advanced Entry'!K$9:O$9)/SUMPRODUCT(ISNUMBER('Advanced 0-10'!K24:O24)*'Advanced Entry'!K$9:O$9),1))</f>
        <v/>
      </c>
      <c r="F24" s="7">
        <f>IF(SUMPRODUCT(ISNUMBER('Advanced 0-10'!P24:Q24)*'Advanced Entry'!P$9:Q$9)=0,"",ROUND(SUMPRODUCT(IFERROR('Advanced 0-10'!P24:Q24*1,0)*'Advanced Entry'!P$9:Q$9)/SUMPRODUCT(ISNUMBER('Advanced 0-10'!P24:Q24)*'Advanced Entry'!P$9:Q$9),1))</f>
        <v/>
      </c>
      <c r="G24" s="7">
        <f>IF(SUMPRODUCT(ISNUMBER('Advanced 0-10'!R24:S24)*'Advanced Entry'!R$9:S$9)=0,"",ROUND(SUMPRODUCT(IFERROR('Advanced 0-10'!R24:S24*1,0)*'Advanced Entry'!R$9:S$9)/SUMPRODUCT(ISNUMBER('Advanced 0-10'!R24:S24)*'Advanced Entry'!R$9:S$9),1))</f>
        <v/>
      </c>
      <c r="H24" s="7">
        <f>IF(SUMPRODUCT(ISNUMBER('Advanced 0-10'!T24:U24)*'Advanced Entry'!T$9:U$9)=0,"",ROUND(SUMPRODUCT(IFERROR('Advanced 0-10'!T24:U24*1,0)*'Advanced Entry'!T$9:U$9)/SUMPRODUCT(ISNUMBER('Advanced 0-10'!T24:U24)*'Advanced Entry'!T$9:U$9),1))</f>
        <v/>
      </c>
      <c r="I24" s="7">
        <f>IF(SUMPRODUCT(ISNUMBER('Advanced 0-10'!V24:Z24)*'Advanced Entry'!V$9:Z$9)=0,"",ROUND(SUMPRODUCT(IFERROR('Advanced 0-10'!V24:Z24*1,0)*'Advanced Entry'!V$9:Z$9)/SUMPRODUCT(ISNUMBER('Advanced 0-10'!V24:Z24)*'Advanced Entry'!V$9:Z$9),1))</f>
        <v/>
      </c>
      <c r="J24" s="7">
        <f>IF(SUMPRODUCT(ISNUMBER('Advanced 0-10'!AA24:AA24)*'Advanced Entry'!AA$9:AA$9)=0,"",ROUND(SUMPRODUCT(IFERROR('Advanced 0-10'!AA24:AA24*1,0)*'Advanced Entry'!AA$9:AA$9)/SUMPRODUCT(ISNUMBER('Advanced 0-10'!AA24:AA24)*'Advanced Entry'!AA$9:AA$9),1))</f>
        <v/>
      </c>
      <c r="K24" s="7">
        <f>IF(SUMPRODUCT(ISNUMBER('Advanced 0-10'!AB24:AB24)*'Advanced Entry'!AB$9:AB$9)=0,"",ROUND(SUMPRODUCT(IFERROR('Advanced 0-10'!AB24:AB24*1,0)*'Advanced Entry'!AB$9:AB$9)/SUMPRODUCT(ISNUMBER('Advanced 0-10'!AB24:AB24)*'Advanced Entry'!AB$9:AB$9),1))</f>
        <v/>
      </c>
      <c r="L24" s="19">
        <f>IF(SUMPRODUCT(--ISNUMBER(D24:K24))=0,"",ROUND(SUMPRODUCT(IFERROR(D24:K24*1,0))/SUMPRODUCT(--ISNUMBER(D24:K24)),1))</f>
        <v/>
      </c>
    </row>
    <row r="25">
      <c r="A25" t="inlineStr">
        <is>
          <t>Dodoma</t>
        </is>
      </c>
      <c r="B25" t="inlineStr">
        <is>
          <t>Chemba District</t>
        </is>
      </c>
      <c r="C25" t="inlineStr">
        <is>
          <t>C008</t>
        </is>
      </c>
      <c r="D25" s="7">
        <f>IF(SUMPRODUCT(ISNUMBER('Advanced 0-10'!D25:J25)*'Advanced Entry'!D$9:J$9)=0,"",ROUND(SUMPRODUCT(IFERROR('Advanced 0-10'!D25:J25*1,0)*'Advanced Entry'!D$9:J$9)/SUMPRODUCT(ISNUMBER('Advanced 0-10'!D25:J25)*'Advanced Entry'!D$9:J$9),1))</f>
        <v/>
      </c>
      <c r="E25" s="7">
        <f>IF(SUMPRODUCT(ISNUMBER('Advanced 0-10'!K25:O25)*'Advanced Entry'!K$9:O$9)=0,"",ROUND(SUMPRODUCT(IFERROR('Advanced 0-10'!K25:O25*1,0)*'Advanced Entry'!K$9:O$9)/SUMPRODUCT(ISNUMBER('Advanced 0-10'!K25:O25)*'Advanced Entry'!K$9:O$9),1))</f>
        <v/>
      </c>
      <c r="F25" s="7">
        <f>IF(SUMPRODUCT(ISNUMBER('Advanced 0-10'!P25:Q25)*'Advanced Entry'!P$9:Q$9)=0,"",ROUND(SUMPRODUCT(IFERROR('Advanced 0-10'!P25:Q25*1,0)*'Advanced Entry'!P$9:Q$9)/SUMPRODUCT(ISNUMBER('Advanced 0-10'!P25:Q25)*'Advanced Entry'!P$9:Q$9),1))</f>
        <v/>
      </c>
      <c r="G25" s="7">
        <f>IF(SUMPRODUCT(ISNUMBER('Advanced 0-10'!R25:S25)*'Advanced Entry'!R$9:S$9)=0,"",ROUND(SUMPRODUCT(IFERROR('Advanced 0-10'!R25:S25*1,0)*'Advanced Entry'!R$9:S$9)/SUMPRODUCT(ISNUMBER('Advanced 0-10'!R25:S25)*'Advanced Entry'!R$9:S$9),1))</f>
        <v/>
      </c>
      <c r="H25" s="7">
        <f>IF(SUMPRODUCT(ISNUMBER('Advanced 0-10'!T25:U25)*'Advanced Entry'!T$9:U$9)=0,"",ROUND(SUMPRODUCT(IFERROR('Advanced 0-10'!T25:U25*1,0)*'Advanced Entry'!T$9:U$9)/SUMPRODUCT(ISNUMBER('Advanced 0-10'!T25:U25)*'Advanced Entry'!T$9:U$9),1))</f>
        <v/>
      </c>
      <c r="I25" s="7">
        <f>IF(SUMPRODUCT(ISNUMBER('Advanced 0-10'!V25:Z25)*'Advanced Entry'!V$9:Z$9)=0,"",ROUND(SUMPRODUCT(IFERROR('Advanced 0-10'!V25:Z25*1,0)*'Advanced Entry'!V$9:Z$9)/SUMPRODUCT(ISNUMBER('Advanced 0-10'!V25:Z25)*'Advanced Entry'!V$9:Z$9),1))</f>
        <v/>
      </c>
      <c r="J25" s="7">
        <f>IF(SUMPRODUCT(ISNUMBER('Advanced 0-10'!AA25:AA25)*'Advanced Entry'!AA$9:AA$9)=0,"",ROUND(SUMPRODUCT(IFERROR('Advanced 0-10'!AA25:AA25*1,0)*'Advanced Entry'!AA$9:AA$9)/SUMPRODUCT(ISNUMBER('Advanced 0-10'!AA25:AA25)*'Advanced Entry'!AA$9:AA$9),1))</f>
        <v/>
      </c>
      <c r="K25" s="7">
        <f>IF(SUMPRODUCT(ISNUMBER('Advanced 0-10'!AB25:AB25)*'Advanced Entry'!AB$9:AB$9)=0,"",ROUND(SUMPRODUCT(IFERROR('Advanced 0-10'!AB25:AB25*1,0)*'Advanced Entry'!AB$9:AB$9)/SUMPRODUCT(ISNUMBER('Advanced 0-10'!AB25:AB25)*'Advanced Entry'!AB$9:AB$9),1))</f>
        <v/>
      </c>
      <c r="L25" s="19">
        <f>IF(SUMPRODUCT(--ISNUMBER(D25:K25))=0,"",ROUND(SUMPRODUCT(IFERROR(D25:K25*1,0))/SUMPRODUCT(--ISNUMBER(D25:K25)),1))</f>
        <v/>
      </c>
    </row>
    <row r="26">
      <c r="A26" t="inlineStr">
        <is>
          <t>Dodoma</t>
        </is>
      </c>
      <c r="B26" t="inlineStr">
        <is>
          <t>Dodoma City</t>
        </is>
      </c>
      <c r="C26" t="inlineStr">
        <is>
          <t>C006</t>
        </is>
      </c>
      <c r="D26" s="7">
        <f>IF(SUMPRODUCT(ISNUMBER('Advanced 0-10'!D26:J26)*'Advanced Entry'!D$9:J$9)=0,"",ROUND(SUMPRODUCT(IFERROR('Advanced 0-10'!D26:J26*1,0)*'Advanced Entry'!D$9:J$9)/SUMPRODUCT(ISNUMBER('Advanced 0-10'!D26:J26)*'Advanced Entry'!D$9:J$9),1))</f>
        <v/>
      </c>
      <c r="E26" s="7">
        <f>IF(SUMPRODUCT(ISNUMBER('Advanced 0-10'!K26:O26)*'Advanced Entry'!K$9:O$9)=0,"",ROUND(SUMPRODUCT(IFERROR('Advanced 0-10'!K26:O26*1,0)*'Advanced Entry'!K$9:O$9)/SUMPRODUCT(ISNUMBER('Advanced 0-10'!K26:O26)*'Advanced Entry'!K$9:O$9),1))</f>
        <v/>
      </c>
      <c r="F26" s="7">
        <f>IF(SUMPRODUCT(ISNUMBER('Advanced 0-10'!P26:Q26)*'Advanced Entry'!P$9:Q$9)=0,"",ROUND(SUMPRODUCT(IFERROR('Advanced 0-10'!P26:Q26*1,0)*'Advanced Entry'!P$9:Q$9)/SUMPRODUCT(ISNUMBER('Advanced 0-10'!P26:Q26)*'Advanced Entry'!P$9:Q$9),1))</f>
        <v/>
      </c>
      <c r="G26" s="7">
        <f>IF(SUMPRODUCT(ISNUMBER('Advanced 0-10'!R26:S26)*'Advanced Entry'!R$9:S$9)=0,"",ROUND(SUMPRODUCT(IFERROR('Advanced 0-10'!R26:S26*1,0)*'Advanced Entry'!R$9:S$9)/SUMPRODUCT(ISNUMBER('Advanced 0-10'!R26:S26)*'Advanced Entry'!R$9:S$9),1))</f>
        <v/>
      </c>
      <c r="H26" s="7">
        <f>IF(SUMPRODUCT(ISNUMBER('Advanced 0-10'!T26:U26)*'Advanced Entry'!T$9:U$9)=0,"",ROUND(SUMPRODUCT(IFERROR('Advanced 0-10'!T26:U26*1,0)*'Advanced Entry'!T$9:U$9)/SUMPRODUCT(ISNUMBER('Advanced 0-10'!T26:U26)*'Advanced Entry'!T$9:U$9),1))</f>
        <v/>
      </c>
      <c r="I26" s="7">
        <f>IF(SUMPRODUCT(ISNUMBER('Advanced 0-10'!V26:Z26)*'Advanced Entry'!V$9:Z$9)=0,"",ROUND(SUMPRODUCT(IFERROR('Advanced 0-10'!V26:Z26*1,0)*'Advanced Entry'!V$9:Z$9)/SUMPRODUCT(ISNUMBER('Advanced 0-10'!V26:Z26)*'Advanced Entry'!V$9:Z$9),1))</f>
        <v/>
      </c>
      <c r="J26" s="7">
        <f>IF(SUMPRODUCT(ISNUMBER('Advanced 0-10'!AA26:AA26)*'Advanced Entry'!AA$9:AA$9)=0,"",ROUND(SUMPRODUCT(IFERROR('Advanced 0-10'!AA26:AA26*1,0)*'Advanced Entry'!AA$9:AA$9)/SUMPRODUCT(ISNUMBER('Advanced 0-10'!AA26:AA26)*'Advanced Entry'!AA$9:AA$9),1))</f>
        <v/>
      </c>
      <c r="K26" s="7">
        <f>IF(SUMPRODUCT(ISNUMBER('Advanced 0-10'!AB26:AB26)*'Advanced Entry'!AB$9:AB$9)=0,"",ROUND(SUMPRODUCT(IFERROR('Advanced 0-10'!AB26:AB26*1,0)*'Advanced Entry'!AB$9:AB$9)/SUMPRODUCT(ISNUMBER('Advanced 0-10'!AB26:AB26)*'Advanced Entry'!AB$9:AB$9),1))</f>
        <v/>
      </c>
      <c r="L26" s="19">
        <f>IF(SUMPRODUCT(--ISNUMBER(D26:K26))=0,"",ROUND(SUMPRODUCT(IFERROR(D26:K26*1,0))/SUMPRODUCT(--ISNUMBER(D26:K26)),1))</f>
        <v/>
      </c>
    </row>
    <row r="27">
      <c r="A27" t="inlineStr">
        <is>
          <t>Dodoma</t>
        </is>
      </c>
      <c r="B27" t="inlineStr">
        <is>
          <t>Kondoa District</t>
        </is>
      </c>
      <c r="C27" t="inlineStr">
        <is>
          <t>C001</t>
        </is>
      </c>
      <c r="D27" s="7">
        <f>IF(SUMPRODUCT(ISNUMBER('Advanced 0-10'!D27:J27)*'Advanced Entry'!D$9:J$9)=0,"",ROUND(SUMPRODUCT(IFERROR('Advanced 0-10'!D27:J27*1,0)*'Advanced Entry'!D$9:J$9)/SUMPRODUCT(ISNUMBER('Advanced 0-10'!D27:J27)*'Advanced Entry'!D$9:J$9),1))</f>
        <v/>
      </c>
      <c r="E27" s="7">
        <f>IF(SUMPRODUCT(ISNUMBER('Advanced 0-10'!K27:O27)*'Advanced Entry'!K$9:O$9)=0,"",ROUND(SUMPRODUCT(IFERROR('Advanced 0-10'!K27:O27*1,0)*'Advanced Entry'!K$9:O$9)/SUMPRODUCT(ISNUMBER('Advanced 0-10'!K27:O27)*'Advanced Entry'!K$9:O$9),1))</f>
        <v/>
      </c>
      <c r="F27" s="7">
        <f>IF(SUMPRODUCT(ISNUMBER('Advanced 0-10'!P27:Q27)*'Advanced Entry'!P$9:Q$9)=0,"",ROUND(SUMPRODUCT(IFERROR('Advanced 0-10'!P27:Q27*1,0)*'Advanced Entry'!P$9:Q$9)/SUMPRODUCT(ISNUMBER('Advanced 0-10'!P27:Q27)*'Advanced Entry'!P$9:Q$9),1))</f>
        <v/>
      </c>
      <c r="G27" s="7">
        <f>IF(SUMPRODUCT(ISNUMBER('Advanced 0-10'!R27:S27)*'Advanced Entry'!R$9:S$9)=0,"",ROUND(SUMPRODUCT(IFERROR('Advanced 0-10'!R27:S27*1,0)*'Advanced Entry'!R$9:S$9)/SUMPRODUCT(ISNUMBER('Advanced 0-10'!R27:S27)*'Advanced Entry'!R$9:S$9),1))</f>
        <v/>
      </c>
      <c r="H27" s="7">
        <f>IF(SUMPRODUCT(ISNUMBER('Advanced 0-10'!T27:U27)*'Advanced Entry'!T$9:U$9)=0,"",ROUND(SUMPRODUCT(IFERROR('Advanced 0-10'!T27:U27*1,0)*'Advanced Entry'!T$9:U$9)/SUMPRODUCT(ISNUMBER('Advanced 0-10'!T27:U27)*'Advanced Entry'!T$9:U$9),1))</f>
        <v/>
      </c>
      <c r="I27" s="7">
        <f>IF(SUMPRODUCT(ISNUMBER('Advanced 0-10'!V27:Z27)*'Advanced Entry'!V$9:Z$9)=0,"",ROUND(SUMPRODUCT(IFERROR('Advanced 0-10'!V27:Z27*1,0)*'Advanced Entry'!V$9:Z$9)/SUMPRODUCT(ISNUMBER('Advanced 0-10'!V27:Z27)*'Advanced Entry'!V$9:Z$9),1))</f>
        <v/>
      </c>
      <c r="J27" s="7">
        <f>IF(SUMPRODUCT(ISNUMBER('Advanced 0-10'!AA27:AA27)*'Advanced Entry'!AA$9:AA$9)=0,"",ROUND(SUMPRODUCT(IFERROR('Advanced 0-10'!AA27:AA27*1,0)*'Advanced Entry'!AA$9:AA$9)/SUMPRODUCT(ISNUMBER('Advanced 0-10'!AA27:AA27)*'Advanced Entry'!AA$9:AA$9),1))</f>
        <v/>
      </c>
      <c r="K27" s="7">
        <f>IF(SUMPRODUCT(ISNUMBER('Advanced 0-10'!AB27:AB27)*'Advanced Entry'!AB$9:AB$9)=0,"",ROUND(SUMPRODUCT(IFERROR('Advanced 0-10'!AB27:AB27*1,0)*'Advanced Entry'!AB$9:AB$9)/SUMPRODUCT(ISNUMBER('Advanced 0-10'!AB27:AB27)*'Advanced Entry'!AB$9:AB$9),1))</f>
        <v/>
      </c>
      <c r="L27" s="19">
        <f>IF(SUMPRODUCT(--ISNUMBER(D27:K27))=0,"",ROUND(SUMPRODUCT(IFERROR(D27:K27*1,0))/SUMPRODUCT(--ISNUMBER(D27:K27)),1))</f>
        <v/>
      </c>
    </row>
    <row r="28">
      <c r="A28" t="inlineStr">
        <is>
          <t>Dodoma</t>
        </is>
      </c>
      <c r="B28" t="inlineStr">
        <is>
          <t>Kondoa Town</t>
        </is>
      </c>
      <c r="C28" t="inlineStr">
        <is>
          <t>C002</t>
        </is>
      </c>
      <c r="D28" s="7">
        <f>IF(SUMPRODUCT(ISNUMBER('Advanced 0-10'!D28:J28)*'Advanced Entry'!D$9:J$9)=0,"",ROUND(SUMPRODUCT(IFERROR('Advanced 0-10'!D28:J28*1,0)*'Advanced Entry'!D$9:J$9)/SUMPRODUCT(ISNUMBER('Advanced 0-10'!D28:J28)*'Advanced Entry'!D$9:J$9),1))</f>
        <v/>
      </c>
      <c r="E28" s="7">
        <f>IF(SUMPRODUCT(ISNUMBER('Advanced 0-10'!K28:O28)*'Advanced Entry'!K$9:O$9)=0,"",ROUND(SUMPRODUCT(IFERROR('Advanced 0-10'!K28:O28*1,0)*'Advanced Entry'!K$9:O$9)/SUMPRODUCT(ISNUMBER('Advanced 0-10'!K28:O28)*'Advanced Entry'!K$9:O$9),1))</f>
        <v/>
      </c>
      <c r="F28" s="7">
        <f>IF(SUMPRODUCT(ISNUMBER('Advanced 0-10'!P28:Q28)*'Advanced Entry'!P$9:Q$9)=0,"",ROUND(SUMPRODUCT(IFERROR('Advanced 0-10'!P28:Q28*1,0)*'Advanced Entry'!P$9:Q$9)/SUMPRODUCT(ISNUMBER('Advanced 0-10'!P28:Q28)*'Advanced Entry'!P$9:Q$9),1))</f>
        <v/>
      </c>
      <c r="G28" s="7">
        <f>IF(SUMPRODUCT(ISNUMBER('Advanced 0-10'!R28:S28)*'Advanced Entry'!R$9:S$9)=0,"",ROUND(SUMPRODUCT(IFERROR('Advanced 0-10'!R28:S28*1,0)*'Advanced Entry'!R$9:S$9)/SUMPRODUCT(ISNUMBER('Advanced 0-10'!R28:S28)*'Advanced Entry'!R$9:S$9),1))</f>
        <v/>
      </c>
      <c r="H28" s="7">
        <f>IF(SUMPRODUCT(ISNUMBER('Advanced 0-10'!T28:U28)*'Advanced Entry'!T$9:U$9)=0,"",ROUND(SUMPRODUCT(IFERROR('Advanced 0-10'!T28:U28*1,0)*'Advanced Entry'!T$9:U$9)/SUMPRODUCT(ISNUMBER('Advanced 0-10'!T28:U28)*'Advanced Entry'!T$9:U$9),1))</f>
        <v/>
      </c>
      <c r="I28" s="7">
        <f>IF(SUMPRODUCT(ISNUMBER('Advanced 0-10'!V28:Z28)*'Advanced Entry'!V$9:Z$9)=0,"",ROUND(SUMPRODUCT(IFERROR('Advanced 0-10'!V28:Z28*1,0)*'Advanced Entry'!V$9:Z$9)/SUMPRODUCT(ISNUMBER('Advanced 0-10'!V28:Z28)*'Advanced Entry'!V$9:Z$9),1))</f>
        <v/>
      </c>
      <c r="J28" s="7">
        <f>IF(SUMPRODUCT(ISNUMBER('Advanced 0-10'!AA28:AA28)*'Advanced Entry'!AA$9:AA$9)=0,"",ROUND(SUMPRODUCT(IFERROR('Advanced 0-10'!AA28:AA28*1,0)*'Advanced Entry'!AA$9:AA$9)/SUMPRODUCT(ISNUMBER('Advanced 0-10'!AA28:AA28)*'Advanced Entry'!AA$9:AA$9),1))</f>
        <v/>
      </c>
      <c r="K28" s="7">
        <f>IF(SUMPRODUCT(ISNUMBER('Advanced 0-10'!AB28:AB28)*'Advanced Entry'!AB$9:AB$9)=0,"",ROUND(SUMPRODUCT(IFERROR('Advanced 0-10'!AB28:AB28*1,0)*'Advanced Entry'!AB$9:AB$9)/SUMPRODUCT(ISNUMBER('Advanced 0-10'!AB28:AB28)*'Advanced Entry'!AB$9:AB$9),1))</f>
        <v/>
      </c>
      <c r="L28" s="19">
        <f>IF(SUMPRODUCT(--ISNUMBER(D28:K28))=0,"",ROUND(SUMPRODUCT(IFERROR(D28:K28*1,0))/SUMPRODUCT(--ISNUMBER(D28:K28)),1))</f>
        <v/>
      </c>
    </row>
    <row r="29">
      <c r="A29" t="inlineStr">
        <is>
          <t>Dodoma</t>
        </is>
      </c>
      <c r="B29" t="inlineStr">
        <is>
          <t>Kongwa District</t>
        </is>
      </c>
      <c r="C29" t="inlineStr">
        <is>
          <t>C004</t>
        </is>
      </c>
      <c r="D29" s="7">
        <f>IF(SUMPRODUCT(ISNUMBER('Advanced 0-10'!D29:J29)*'Advanced Entry'!D$9:J$9)=0,"",ROUND(SUMPRODUCT(IFERROR('Advanced 0-10'!D29:J29*1,0)*'Advanced Entry'!D$9:J$9)/SUMPRODUCT(ISNUMBER('Advanced 0-10'!D29:J29)*'Advanced Entry'!D$9:J$9),1))</f>
        <v/>
      </c>
      <c r="E29" s="7">
        <f>IF(SUMPRODUCT(ISNUMBER('Advanced 0-10'!K29:O29)*'Advanced Entry'!K$9:O$9)=0,"",ROUND(SUMPRODUCT(IFERROR('Advanced 0-10'!K29:O29*1,0)*'Advanced Entry'!K$9:O$9)/SUMPRODUCT(ISNUMBER('Advanced 0-10'!K29:O29)*'Advanced Entry'!K$9:O$9),1))</f>
        <v/>
      </c>
      <c r="F29" s="7">
        <f>IF(SUMPRODUCT(ISNUMBER('Advanced 0-10'!P29:Q29)*'Advanced Entry'!P$9:Q$9)=0,"",ROUND(SUMPRODUCT(IFERROR('Advanced 0-10'!P29:Q29*1,0)*'Advanced Entry'!P$9:Q$9)/SUMPRODUCT(ISNUMBER('Advanced 0-10'!P29:Q29)*'Advanced Entry'!P$9:Q$9),1))</f>
        <v/>
      </c>
      <c r="G29" s="7">
        <f>IF(SUMPRODUCT(ISNUMBER('Advanced 0-10'!R29:S29)*'Advanced Entry'!R$9:S$9)=0,"",ROUND(SUMPRODUCT(IFERROR('Advanced 0-10'!R29:S29*1,0)*'Advanced Entry'!R$9:S$9)/SUMPRODUCT(ISNUMBER('Advanced 0-10'!R29:S29)*'Advanced Entry'!R$9:S$9),1))</f>
        <v/>
      </c>
      <c r="H29" s="7">
        <f>IF(SUMPRODUCT(ISNUMBER('Advanced 0-10'!T29:U29)*'Advanced Entry'!T$9:U$9)=0,"",ROUND(SUMPRODUCT(IFERROR('Advanced 0-10'!T29:U29*1,0)*'Advanced Entry'!T$9:U$9)/SUMPRODUCT(ISNUMBER('Advanced 0-10'!T29:U29)*'Advanced Entry'!T$9:U$9),1))</f>
        <v/>
      </c>
      <c r="I29" s="7">
        <f>IF(SUMPRODUCT(ISNUMBER('Advanced 0-10'!V29:Z29)*'Advanced Entry'!V$9:Z$9)=0,"",ROUND(SUMPRODUCT(IFERROR('Advanced 0-10'!V29:Z29*1,0)*'Advanced Entry'!V$9:Z$9)/SUMPRODUCT(ISNUMBER('Advanced 0-10'!V29:Z29)*'Advanced Entry'!V$9:Z$9),1))</f>
        <v/>
      </c>
      <c r="J29" s="7">
        <f>IF(SUMPRODUCT(ISNUMBER('Advanced 0-10'!AA29:AA29)*'Advanced Entry'!AA$9:AA$9)=0,"",ROUND(SUMPRODUCT(IFERROR('Advanced 0-10'!AA29:AA29*1,0)*'Advanced Entry'!AA$9:AA$9)/SUMPRODUCT(ISNUMBER('Advanced 0-10'!AA29:AA29)*'Advanced Entry'!AA$9:AA$9),1))</f>
        <v/>
      </c>
      <c r="K29" s="7">
        <f>IF(SUMPRODUCT(ISNUMBER('Advanced 0-10'!AB29:AB29)*'Advanced Entry'!AB$9:AB$9)=0,"",ROUND(SUMPRODUCT(IFERROR('Advanced 0-10'!AB29:AB29*1,0)*'Advanced Entry'!AB$9:AB$9)/SUMPRODUCT(ISNUMBER('Advanced 0-10'!AB29:AB29)*'Advanced Entry'!AB$9:AB$9),1))</f>
        <v/>
      </c>
      <c r="L29" s="19">
        <f>IF(SUMPRODUCT(--ISNUMBER(D29:K29))=0,"",ROUND(SUMPRODUCT(IFERROR(D29:K29*1,0))/SUMPRODUCT(--ISNUMBER(D29:K29)),1))</f>
        <v/>
      </c>
    </row>
    <row r="30">
      <c r="A30" t="inlineStr">
        <is>
          <t>Dodoma</t>
        </is>
      </c>
      <c r="B30" t="inlineStr">
        <is>
          <t>Mpwapwa District</t>
        </is>
      </c>
      <c r="C30" t="inlineStr">
        <is>
          <t>C003</t>
        </is>
      </c>
      <c r="D30" s="7">
        <f>IF(SUMPRODUCT(ISNUMBER('Advanced 0-10'!D30:J30)*'Advanced Entry'!D$9:J$9)=0,"",ROUND(SUMPRODUCT(IFERROR('Advanced 0-10'!D30:J30*1,0)*'Advanced Entry'!D$9:J$9)/SUMPRODUCT(ISNUMBER('Advanced 0-10'!D30:J30)*'Advanced Entry'!D$9:J$9),1))</f>
        <v/>
      </c>
      <c r="E30" s="7">
        <f>IF(SUMPRODUCT(ISNUMBER('Advanced 0-10'!K30:O30)*'Advanced Entry'!K$9:O$9)=0,"",ROUND(SUMPRODUCT(IFERROR('Advanced 0-10'!K30:O30*1,0)*'Advanced Entry'!K$9:O$9)/SUMPRODUCT(ISNUMBER('Advanced 0-10'!K30:O30)*'Advanced Entry'!K$9:O$9),1))</f>
        <v/>
      </c>
      <c r="F30" s="7">
        <f>IF(SUMPRODUCT(ISNUMBER('Advanced 0-10'!P30:Q30)*'Advanced Entry'!P$9:Q$9)=0,"",ROUND(SUMPRODUCT(IFERROR('Advanced 0-10'!P30:Q30*1,0)*'Advanced Entry'!P$9:Q$9)/SUMPRODUCT(ISNUMBER('Advanced 0-10'!P30:Q30)*'Advanced Entry'!P$9:Q$9),1))</f>
        <v/>
      </c>
      <c r="G30" s="7">
        <f>IF(SUMPRODUCT(ISNUMBER('Advanced 0-10'!R30:S30)*'Advanced Entry'!R$9:S$9)=0,"",ROUND(SUMPRODUCT(IFERROR('Advanced 0-10'!R30:S30*1,0)*'Advanced Entry'!R$9:S$9)/SUMPRODUCT(ISNUMBER('Advanced 0-10'!R30:S30)*'Advanced Entry'!R$9:S$9),1))</f>
        <v/>
      </c>
      <c r="H30" s="7">
        <f>IF(SUMPRODUCT(ISNUMBER('Advanced 0-10'!T30:U30)*'Advanced Entry'!T$9:U$9)=0,"",ROUND(SUMPRODUCT(IFERROR('Advanced 0-10'!T30:U30*1,0)*'Advanced Entry'!T$9:U$9)/SUMPRODUCT(ISNUMBER('Advanced 0-10'!T30:U30)*'Advanced Entry'!T$9:U$9),1))</f>
        <v/>
      </c>
      <c r="I30" s="7">
        <f>IF(SUMPRODUCT(ISNUMBER('Advanced 0-10'!V30:Z30)*'Advanced Entry'!V$9:Z$9)=0,"",ROUND(SUMPRODUCT(IFERROR('Advanced 0-10'!V30:Z30*1,0)*'Advanced Entry'!V$9:Z$9)/SUMPRODUCT(ISNUMBER('Advanced 0-10'!V30:Z30)*'Advanced Entry'!V$9:Z$9),1))</f>
        <v/>
      </c>
      <c r="J30" s="7">
        <f>IF(SUMPRODUCT(ISNUMBER('Advanced 0-10'!AA30:AA30)*'Advanced Entry'!AA$9:AA$9)=0,"",ROUND(SUMPRODUCT(IFERROR('Advanced 0-10'!AA30:AA30*1,0)*'Advanced Entry'!AA$9:AA$9)/SUMPRODUCT(ISNUMBER('Advanced 0-10'!AA30:AA30)*'Advanced Entry'!AA$9:AA$9),1))</f>
        <v/>
      </c>
      <c r="K30" s="7">
        <f>IF(SUMPRODUCT(ISNUMBER('Advanced 0-10'!AB30:AB30)*'Advanced Entry'!AB$9:AB$9)=0,"",ROUND(SUMPRODUCT(IFERROR('Advanced 0-10'!AB30:AB30*1,0)*'Advanced Entry'!AB$9:AB$9)/SUMPRODUCT(ISNUMBER('Advanced 0-10'!AB30:AB30)*'Advanced Entry'!AB$9:AB$9),1))</f>
        <v/>
      </c>
      <c r="L30" s="19">
        <f>IF(SUMPRODUCT(--ISNUMBER(D30:K30))=0,"",ROUND(SUMPRODUCT(IFERROR(D30:K30*1,0))/SUMPRODUCT(--ISNUMBER(D30:K30)),1))</f>
        <v/>
      </c>
    </row>
    <row r="31">
      <c r="A31" t="inlineStr">
        <is>
          <t>Geita</t>
        </is>
      </c>
      <c r="B31" t="inlineStr">
        <is>
          <t>Bukombe District</t>
        </is>
      </c>
      <c r="C31" t="inlineStr">
        <is>
          <t>C178</t>
        </is>
      </c>
      <c r="D31" s="7">
        <f>IF(SUMPRODUCT(ISNUMBER('Advanced 0-10'!D31:J31)*'Advanced Entry'!D$9:J$9)=0,"",ROUND(SUMPRODUCT(IFERROR('Advanced 0-10'!D31:J31*1,0)*'Advanced Entry'!D$9:J$9)/SUMPRODUCT(ISNUMBER('Advanced 0-10'!D31:J31)*'Advanced Entry'!D$9:J$9),1))</f>
        <v/>
      </c>
      <c r="E31" s="7">
        <f>IF(SUMPRODUCT(ISNUMBER('Advanced 0-10'!K31:O31)*'Advanced Entry'!K$9:O$9)=0,"",ROUND(SUMPRODUCT(IFERROR('Advanced 0-10'!K31:O31*1,0)*'Advanced Entry'!K$9:O$9)/SUMPRODUCT(ISNUMBER('Advanced 0-10'!K31:O31)*'Advanced Entry'!K$9:O$9),1))</f>
        <v/>
      </c>
      <c r="F31" s="7">
        <f>IF(SUMPRODUCT(ISNUMBER('Advanced 0-10'!P31:Q31)*'Advanced Entry'!P$9:Q$9)=0,"",ROUND(SUMPRODUCT(IFERROR('Advanced 0-10'!P31:Q31*1,0)*'Advanced Entry'!P$9:Q$9)/SUMPRODUCT(ISNUMBER('Advanced 0-10'!P31:Q31)*'Advanced Entry'!P$9:Q$9),1))</f>
        <v/>
      </c>
      <c r="G31" s="7">
        <f>IF(SUMPRODUCT(ISNUMBER('Advanced 0-10'!R31:S31)*'Advanced Entry'!R$9:S$9)=0,"",ROUND(SUMPRODUCT(IFERROR('Advanced 0-10'!R31:S31*1,0)*'Advanced Entry'!R$9:S$9)/SUMPRODUCT(ISNUMBER('Advanced 0-10'!R31:S31)*'Advanced Entry'!R$9:S$9),1))</f>
        <v/>
      </c>
      <c r="H31" s="7">
        <f>IF(SUMPRODUCT(ISNUMBER('Advanced 0-10'!T31:U31)*'Advanced Entry'!T$9:U$9)=0,"",ROUND(SUMPRODUCT(IFERROR('Advanced 0-10'!T31:U31*1,0)*'Advanced Entry'!T$9:U$9)/SUMPRODUCT(ISNUMBER('Advanced 0-10'!T31:U31)*'Advanced Entry'!T$9:U$9),1))</f>
        <v/>
      </c>
      <c r="I31" s="7">
        <f>IF(SUMPRODUCT(ISNUMBER('Advanced 0-10'!V31:Z31)*'Advanced Entry'!V$9:Z$9)=0,"",ROUND(SUMPRODUCT(IFERROR('Advanced 0-10'!V31:Z31*1,0)*'Advanced Entry'!V$9:Z$9)/SUMPRODUCT(ISNUMBER('Advanced 0-10'!V31:Z31)*'Advanced Entry'!V$9:Z$9),1))</f>
        <v/>
      </c>
      <c r="J31" s="7">
        <f>IF(SUMPRODUCT(ISNUMBER('Advanced 0-10'!AA31:AA31)*'Advanced Entry'!AA$9:AA$9)=0,"",ROUND(SUMPRODUCT(IFERROR('Advanced 0-10'!AA31:AA31*1,0)*'Advanced Entry'!AA$9:AA$9)/SUMPRODUCT(ISNUMBER('Advanced 0-10'!AA31:AA31)*'Advanced Entry'!AA$9:AA$9),1))</f>
        <v/>
      </c>
      <c r="K31" s="7">
        <f>IF(SUMPRODUCT(ISNUMBER('Advanced 0-10'!AB31:AB31)*'Advanced Entry'!AB$9:AB$9)=0,"",ROUND(SUMPRODUCT(IFERROR('Advanced 0-10'!AB31:AB31*1,0)*'Advanced Entry'!AB$9:AB$9)/SUMPRODUCT(ISNUMBER('Advanced 0-10'!AB31:AB31)*'Advanced Entry'!AB$9:AB$9),1))</f>
        <v/>
      </c>
      <c r="L31" s="19">
        <f>IF(SUMPRODUCT(--ISNUMBER(D31:K31))=0,"",ROUND(SUMPRODUCT(IFERROR(D31:K31*1,0))/SUMPRODUCT(--ISNUMBER(D31:K31)),1))</f>
        <v/>
      </c>
    </row>
    <row r="32">
      <c r="A32" t="inlineStr">
        <is>
          <t>Geita</t>
        </is>
      </c>
      <c r="B32" t="inlineStr">
        <is>
          <t>Chato District</t>
        </is>
      </c>
      <c r="C32" t="inlineStr">
        <is>
          <t>C179</t>
        </is>
      </c>
      <c r="D32" s="7">
        <f>IF(SUMPRODUCT(ISNUMBER('Advanced 0-10'!D32:J32)*'Advanced Entry'!D$9:J$9)=0,"",ROUND(SUMPRODUCT(IFERROR('Advanced 0-10'!D32:J32*1,0)*'Advanced Entry'!D$9:J$9)/SUMPRODUCT(ISNUMBER('Advanced 0-10'!D32:J32)*'Advanced Entry'!D$9:J$9),1))</f>
        <v/>
      </c>
      <c r="E32" s="7">
        <f>IF(SUMPRODUCT(ISNUMBER('Advanced 0-10'!K32:O32)*'Advanced Entry'!K$9:O$9)=0,"",ROUND(SUMPRODUCT(IFERROR('Advanced 0-10'!K32:O32*1,0)*'Advanced Entry'!K$9:O$9)/SUMPRODUCT(ISNUMBER('Advanced 0-10'!K32:O32)*'Advanced Entry'!K$9:O$9),1))</f>
        <v/>
      </c>
      <c r="F32" s="7">
        <f>IF(SUMPRODUCT(ISNUMBER('Advanced 0-10'!P32:Q32)*'Advanced Entry'!P$9:Q$9)=0,"",ROUND(SUMPRODUCT(IFERROR('Advanced 0-10'!P32:Q32*1,0)*'Advanced Entry'!P$9:Q$9)/SUMPRODUCT(ISNUMBER('Advanced 0-10'!P32:Q32)*'Advanced Entry'!P$9:Q$9),1))</f>
        <v/>
      </c>
      <c r="G32" s="7">
        <f>IF(SUMPRODUCT(ISNUMBER('Advanced 0-10'!R32:S32)*'Advanced Entry'!R$9:S$9)=0,"",ROUND(SUMPRODUCT(IFERROR('Advanced 0-10'!R32:S32*1,0)*'Advanced Entry'!R$9:S$9)/SUMPRODUCT(ISNUMBER('Advanced 0-10'!R32:S32)*'Advanced Entry'!R$9:S$9),1))</f>
        <v/>
      </c>
      <c r="H32" s="7">
        <f>IF(SUMPRODUCT(ISNUMBER('Advanced 0-10'!T32:U32)*'Advanced Entry'!T$9:U$9)=0,"",ROUND(SUMPRODUCT(IFERROR('Advanced 0-10'!T32:U32*1,0)*'Advanced Entry'!T$9:U$9)/SUMPRODUCT(ISNUMBER('Advanced 0-10'!T32:U32)*'Advanced Entry'!T$9:U$9),1))</f>
        <v/>
      </c>
      <c r="I32" s="7">
        <f>IF(SUMPRODUCT(ISNUMBER('Advanced 0-10'!V32:Z32)*'Advanced Entry'!V$9:Z$9)=0,"",ROUND(SUMPRODUCT(IFERROR('Advanced 0-10'!V32:Z32*1,0)*'Advanced Entry'!V$9:Z$9)/SUMPRODUCT(ISNUMBER('Advanced 0-10'!V32:Z32)*'Advanced Entry'!V$9:Z$9),1))</f>
        <v/>
      </c>
      <c r="J32" s="7">
        <f>IF(SUMPRODUCT(ISNUMBER('Advanced 0-10'!AA32:AA32)*'Advanced Entry'!AA$9:AA$9)=0,"",ROUND(SUMPRODUCT(IFERROR('Advanced 0-10'!AA32:AA32*1,0)*'Advanced Entry'!AA$9:AA$9)/SUMPRODUCT(ISNUMBER('Advanced 0-10'!AA32:AA32)*'Advanced Entry'!AA$9:AA$9),1))</f>
        <v/>
      </c>
      <c r="K32" s="7">
        <f>IF(SUMPRODUCT(ISNUMBER('Advanced 0-10'!AB32:AB32)*'Advanced Entry'!AB$9:AB$9)=0,"",ROUND(SUMPRODUCT(IFERROR('Advanced 0-10'!AB32:AB32*1,0)*'Advanced Entry'!AB$9:AB$9)/SUMPRODUCT(ISNUMBER('Advanced 0-10'!AB32:AB32)*'Advanced Entry'!AB$9:AB$9),1))</f>
        <v/>
      </c>
      <c r="L32" s="19">
        <f>IF(SUMPRODUCT(--ISNUMBER(D32:K32))=0,"",ROUND(SUMPRODUCT(IFERROR(D32:K32*1,0))/SUMPRODUCT(--ISNUMBER(D32:K32)),1))</f>
        <v/>
      </c>
    </row>
    <row r="33">
      <c r="A33" t="inlineStr">
        <is>
          <t>Geita</t>
        </is>
      </c>
      <c r="B33" t="inlineStr">
        <is>
          <t>Geita District</t>
        </is>
      </c>
      <c r="C33" t="inlineStr">
        <is>
          <t>C174</t>
        </is>
      </c>
      <c r="D33" s="7">
        <f>IF(SUMPRODUCT(ISNUMBER('Advanced 0-10'!D33:J33)*'Advanced Entry'!D$9:J$9)=0,"",ROUND(SUMPRODUCT(IFERROR('Advanced 0-10'!D33:J33*1,0)*'Advanced Entry'!D$9:J$9)/SUMPRODUCT(ISNUMBER('Advanced 0-10'!D33:J33)*'Advanced Entry'!D$9:J$9),1))</f>
        <v/>
      </c>
      <c r="E33" s="7">
        <f>IF(SUMPRODUCT(ISNUMBER('Advanced 0-10'!K33:O33)*'Advanced Entry'!K$9:O$9)=0,"",ROUND(SUMPRODUCT(IFERROR('Advanced 0-10'!K33:O33*1,0)*'Advanced Entry'!K$9:O$9)/SUMPRODUCT(ISNUMBER('Advanced 0-10'!K33:O33)*'Advanced Entry'!K$9:O$9),1))</f>
        <v/>
      </c>
      <c r="F33" s="7">
        <f>IF(SUMPRODUCT(ISNUMBER('Advanced 0-10'!P33:Q33)*'Advanced Entry'!P$9:Q$9)=0,"",ROUND(SUMPRODUCT(IFERROR('Advanced 0-10'!P33:Q33*1,0)*'Advanced Entry'!P$9:Q$9)/SUMPRODUCT(ISNUMBER('Advanced 0-10'!P33:Q33)*'Advanced Entry'!P$9:Q$9),1))</f>
        <v/>
      </c>
      <c r="G33" s="7">
        <f>IF(SUMPRODUCT(ISNUMBER('Advanced 0-10'!R33:S33)*'Advanced Entry'!R$9:S$9)=0,"",ROUND(SUMPRODUCT(IFERROR('Advanced 0-10'!R33:S33*1,0)*'Advanced Entry'!R$9:S$9)/SUMPRODUCT(ISNUMBER('Advanced 0-10'!R33:S33)*'Advanced Entry'!R$9:S$9),1))</f>
        <v/>
      </c>
      <c r="H33" s="7">
        <f>IF(SUMPRODUCT(ISNUMBER('Advanced 0-10'!T33:U33)*'Advanced Entry'!T$9:U$9)=0,"",ROUND(SUMPRODUCT(IFERROR('Advanced 0-10'!T33:U33*1,0)*'Advanced Entry'!T$9:U$9)/SUMPRODUCT(ISNUMBER('Advanced 0-10'!T33:U33)*'Advanced Entry'!T$9:U$9),1))</f>
        <v/>
      </c>
      <c r="I33" s="7">
        <f>IF(SUMPRODUCT(ISNUMBER('Advanced 0-10'!V33:Z33)*'Advanced Entry'!V$9:Z$9)=0,"",ROUND(SUMPRODUCT(IFERROR('Advanced 0-10'!V33:Z33*1,0)*'Advanced Entry'!V$9:Z$9)/SUMPRODUCT(ISNUMBER('Advanced 0-10'!V33:Z33)*'Advanced Entry'!V$9:Z$9),1))</f>
        <v/>
      </c>
      <c r="J33" s="7">
        <f>IF(SUMPRODUCT(ISNUMBER('Advanced 0-10'!AA33:AA33)*'Advanced Entry'!AA$9:AA$9)=0,"",ROUND(SUMPRODUCT(IFERROR('Advanced 0-10'!AA33:AA33*1,0)*'Advanced Entry'!AA$9:AA$9)/SUMPRODUCT(ISNUMBER('Advanced 0-10'!AA33:AA33)*'Advanced Entry'!AA$9:AA$9),1))</f>
        <v/>
      </c>
      <c r="K33" s="7">
        <f>IF(SUMPRODUCT(ISNUMBER('Advanced 0-10'!AB33:AB33)*'Advanced Entry'!AB$9:AB$9)=0,"",ROUND(SUMPRODUCT(IFERROR('Advanced 0-10'!AB33:AB33*1,0)*'Advanced Entry'!AB$9:AB$9)/SUMPRODUCT(ISNUMBER('Advanced 0-10'!AB33:AB33)*'Advanced Entry'!AB$9:AB$9),1))</f>
        <v/>
      </c>
      <c r="L33" s="19">
        <f>IF(SUMPRODUCT(--ISNUMBER(D33:K33))=0,"",ROUND(SUMPRODUCT(IFERROR(D33:K33*1,0))/SUMPRODUCT(--ISNUMBER(D33:K33)),1))</f>
        <v/>
      </c>
    </row>
    <row r="34">
      <c r="A34" t="inlineStr">
        <is>
          <t>Geita</t>
        </is>
      </c>
      <c r="B34" t="inlineStr">
        <is>
          <t>Geita Town</t>
        </is>
      </c>
      <c r="C34" t="inlineStr">
        <is>
          <t>C175</t>
        </is>
      </c>
      <c r="D34" s="7">
        <f>IF(SUMPRODUCT(ISNUMBER('Advanced 0-10'!D34:J34)*'Advanced Entry'!D$9:J$9)=0,"",ROUND(SUMPRODUCT(IFERROR('Advanced 0-10'!D34:J34*1,0)*'Advanced Entry'!D$9:J$9)/SUMPRODUCT(ISNUMBER('Advanced 0-10'!D34:J34)*'Advanced Entry'!D$9:J$9),1))</f>
        <v/>
      </c>
      <c r="E34" s="7">
        <f>IF(SUMPRODUCT(ISNUMBER('Advanced 0-10'!K34:O34)*'Advanced Entry'!K$9:O$9)=0,"",ROUND(SUMPRODUCT(IFERROR('Advanced 0-10'!K34:O34*1,0)*'Advanced Entry'!K$9:O$9)/SUMPRODUCT(ISNUMBER('Advanced 0-10'!K34:O34)*'Advanced Entry'!K$9:O$9),1))</f>
        <v/>
      </c>
      <c r="F34" s="7">
        <f>IF(SUMPRODUCT(ISNUMBER('Advanced 0-10'!P34:Q34)*'Advanced Entry'!P$9:Q$9)=0,"",ROUND(SUMPRODUCT(IFERROR('Advanced 0-10'!P34:Q34*1,0)*'Advanced Entry'!P$9:Q$9)/SUMPRODUCT(ISNUMBER('Advanced 0-10'!P34:Q34)*'Advanced Entry'!P$9:Q$9),1))</f>
        <v/>
      </c>
      <c r="G34" s="7">
        <f>IF(SUMPRODUCT(ISNUMBER('Advanced 0-10'!R34:S34)*'Advanced Entry'!R$9:S$9)=0,"",ROUND(SUMPRODUCT(IFERROR('Advanced 0-10'!R34:S34*1,0)*'Advanced Entry'!R$9:S$9)/SUMPRODUCT(ISNUMBER('Advanced 0-10'!R34:S34)*'Advanced Entry'!R$9:S$9),1))</f>
        <v/>
      </c>
      <c r="H34" s="7">
        <f>IF(SUMPRODUCT(ISNUMBER('Advanced 0-10'!T34:U34)*'Advanced Entry'!T$9:U$9)=0,"",ROUND(SUMPRODUCT(IFERROR('Advanced 0-10'!T34:U34*1,0)*'Advanced Entry'!T$9:U$9)/SUMPRODUCT(ISNUMBER('Advanced 0-10'!T34:U34)*'Advanced Entry'!T$9:U$9),1))</f>
        <v/>
      </c>
      <c r="I34" s="7">
        <f>IF(SUMPRODUCT(ISNUMBER('Advanced 0-10'!V34:Z34)*'Advanced Entry'!V$9:Z$9)=0,"",ROUND(SUMPRODUCT(IFERROR('Advanced 0-10'!V34:Z34*1,0)*'Advanced Entry'!V$9:Z$9)/SUMPRODUCT(ISNUMBER('Advanced 0-10'!V34:Z34)*'Advanced Entry'!V$9:Z$9),1))</f>
        <v/>
      </c>
      <c r="J34" s="7">
        <f>IF(SUMPRODUCT(ISNUMBER('Advanced 0-10'!AA34:AA34)*'Advanced Entry'!AA$9:AA$9)=0,"",ROUND(SUMPRODUCT(IFERROR('Advanced 0-10'!AA34:AA34*1,0)*'Advanced Entry'!AA$9:AA$9)/SUMPRODUCT(ISNUMBER('Advanced 0-10'!AA34:AA34)*'Advanced Entry'!AA$9:AA$9),1))</f>
        <v/>
      </c>
      <c r="K34" s="7">
        <f>IF(SUMPRODUCT(ISNUMBER('Advanced 0-10'!AB34:AB34)*'Advanced Entry'!AB$9:AB$9)=0,"",ROUND(SUMPRODUCT(IFERROR('Advanced 0-10'!AB34:AB34*1,0)*'Advanced Entry'!AB$9:AB$9)/SUMPRODUCT(ISNUMBER('Advanced 0-10'!AB34:AB34)*'Advanced Entry'!AB$9:AB$9),1))</f>
        <v/>
      </c>
      <c r="L34" s="19">
        <f>IF(SUMPRODUCT(--ISNUMBER(D34:K34))=0,"",ROUND(SUMPRODUCT(IFERROR(D34:K34*1,0))/SUMPRODUCT(--ISNUMBER(D34:K34)),1))</f>
        <v/>
      </c>
    </row>
    <row r="35">
      <c r="A35" t="inlineStr">
        <is>
          <t>Geita</t>
        </is>
      </c>
      <c r="B35" t="inlineStr">
        <is>
          <t>Halmashuari Ya Wilaya Ya Mbogwe District</t>
        </is>
      </c>
      <c r="C35" t="inlineStr">
        <is>
          <t>C177</t>
        </is>
      </c>
      <c r="D35" s="7">
        <f>IF(SUMPRODUCT(ISNUMBER('Advanced 0-10'!D35:J35)*'Advanced Entry'!D$9:J$9)=0,"",ROUND(SUMPRODUCT(IFERROR('Advanced 0-10'!D35:J35*1,0)*'Advanced Entry'!D$9:J$9)/SUMPRODUCT(ISNUMBER('Advanced 0-10'!D35:J35)*'Advanced Entry'!D$9:J$9),1))</f>
        <v/>
      </c>
      <c r="E35" s="7">
        <f>IF(SUMPRODUCT(ISNUMBER('Advanced 0-10'!K35:O35)*'Advanced Entry'!K$9:O$9)=0,"",ROUND(SUMPRODUCT(IFERROR('Advanced 0-10'!K35:O35*1,0)*'Advanced Entry'!K$9:O$9)/SUMPRODUCT(ISNUMBER('Advanced 0-10'!K35:O35)*'Advanced Entry'!K$9:O$9),1))</f>
        <v/>
      </c>
      <c r="F35" s="7">
        <f>IF(SUMPRODUCT(ISNUMBER('Advanced 0-10'!P35:Q35)*'Advanced Entry'!P$9:Q$9)=0,"",ROUND(SUMPRODUCT(IFERROR('Advanced 0-10'!P35:Q35*1,0)*'Advanced Entry'!P$9:Q$9)/SUMPRODUCT(ISNUMBER('Advanced 0-10'!P35:Q35)*'Advanced Entry'!P$9:Q$9),1))</f>
        <v/>
      </c>
      <c r="G35" s="7">
        <f>IF(SUMPRODUCT(ISNUMBER('Advanced 0-10'!R35:S35)*'Advanced Entry'!R$9:S$9)=0,"",ROUND(SUMPRODUCT(IFERROR('Advanced 0-10'!R35:S35*1,0)*'Advanced Entry'!R$9:S$9)/SUMPRODUCT(ISNUMBER('Advanced 0-10'!R35:S35)*'Advanced Entry'!R$9:S$9),1))</f>
        <v/>
      </c>
      <c r="H35" s="7">
        <f>IF(SUMPRODUCT(ISNUMBER('Advanced 0-10'!T35:U35)*'Advanced Entry'!T$9:U$9)=0,"",ROUND(SUMPRODUCT(IFERROR('Advanced 0-10'!T35:U35*1,0)*'Advanced Entry'!T$9:U$9)/SUMPRODUCT(ISNUMBER('Advanced 0-10'!T35:U35)*'Advanced Entry'!T$9:U$9),1))</f>
        <v/>
      </c>
      <c r="I35" s="7">
        <f>IF(SUMPRODUCT(ISNUMBER('Advanced 0-10'!V35:Z35)*'Advanced Entry'!V$9:Z$9)=0,"",ROUND(SUMPRODUCT(IFERROR('Advanced 0-10'!V35:Z35*1,0)*'Advanced Entry'!V$9:Z$9)/SUMPRODUCT(ISNUMBER('Advanced 0-10'!V35:Z35)*'Advanced Entry'!V$9:Z$9),1))</f>
        <v/>
      </c>
      <c r="J35" s="7">
        <f>IF(SUMPRODUCT(ISNUMBER('Advanced 0-10'!AA35:AA35)*'Advanced Entry'!AA$9:AA$9)=0,"",ROUND(SUMPRODUCT(IFERROR('Advanced 0-10'!AA35:AA35*1,0)*'Advanced Entry'!AA$9:AA$9)/SUMPRODUCT(ISNUMBER('Advanced 0-10'!AA35:AA35)*'Advanced Entry'!AA$9:AA$9),1))</f>
        <v/>
      </c>
      <c r="K35" s="7">
        <f>IF(SUMPRODUCT(ISNUMBER('Advanced 0-10'!AB35:AB35)*'Advanced Entry'!AB$9:AB$9)=0,"",ROUND(SUMPRODUCT(IFERROR('Advanced 0-10'!AB35:AB35*1,0)*'Advanced Entry'!AB$9:AB$9)/SUMPRODUCT(ISNUMBER('Advanced 0-10'!AB35:AB35)*'Advanced Entry'!AB$9:AB$9),1))</f>
        <v/>
      </c>
      <c r="L35" s="19">
        <f>IF(SUMPRODUCT(--ISNUMBER(D35:K35))=0,"",ROUND(SUMPRODUCT(IFERROR(D35:K35*1,0))/SUMPRODUCT(--ISNUMBER(D35:K35)),1))</f>
        <v/>
      </c>
    </row>
    <row r="36">
      <c r="A36" t="inlineStr">
        <is>
          <t>Geita</t>
        </is>
      </c>
      <c r="B36" t="inlineStr">
        <is>
          <t>Nyang'Hwale District</t>
        </is>
      </c>
      <c r="C36" t="inlineStr">
        <is>
          <t>C176</t>
        </is>
      </c>
      <c r="D36" s="7">
        <f>IF(SUMPRODUCT(ISNUMBER('Advanced 0-10'!D36:J36)*'Advanced Entry'!D$9:J$9)=0,"",ROUND(SUMPRODUCT(IFERROR('Advanced 0-10'!D36:J36*1,0)*'Advanced Entry'!D$9:J$9)/SUMPRODUCT(ISNUMBER('Advanced 0-10'!D36:J36)*'Advanced Entry'!D$9:J$9),1))</f>
        <v/>
      </c>
      <c r="E36" s="7">
        <f>IF(SUMPRODUCT(ISNUMBER('Advanced 0-10'!K36:O36)*'Advanced Entry'!K$9:O$9)=0,"",ROUND(SUMPRODUCT(IFERROR('Advanced 0-10'!K36:O36*1,0)*'Advanced Entry'!K$9:O$9)/SUMPRODUCT(ISNUMBER('Advanced 0-10'!K36:O36)*'Advanced Entry'!K$9:O$9),1))</f>
        <v/>
      </c>
      <c r="F36" s="7">
        <f>IF(SUMPRODUCT(ISNUMBER('Advanced 0-10'!P36:Q36)*'Advanced Entry'!P$9:Q$9)=0,"",ROUND(SUMPRODUCT(IFERROR('Advanced 0-10'!P36:Q36*1,0)*'Advanced Entry'!P$9:Q$9)/SUMPRODUCT(ISNUMBER('Advanced 0-10'!P36:Q36)*'Advanced Entry'!P$9:Q$9),1))</f>
        <v/>
      </c>
      <c r="G36" s="7">
        <f>IF(SUMPRODUCT(ISNUMBER('Advanced 0-10'!R36:S36)*'Advanced Entry'!R$9:S$9)=0,"",ROUND(SUMPRODUCT(IFERROR('Advanced 0-10'!R36:S36*1,0)*'Advanced Entry'!R$9:S$9)/SUMPRODUCT(ISNUMBER('Advanced 0-10'!R36:S36)*'Advanced Entry'!R$9:S$9),1))</f>
        <v/>
      </c>
      <c r="H36" s="7">
        <f>IF(SUMPRODUCT(ISNUMBER('Advanced 0-10'!T36:U36)*'Advanced Entry'!T$9:U$9)=0,"",ROUND(SUMPRODUCT(IFERROR('Advanced 0-10'!T36:U36*1,0)*'Advanced Entry'!T$9:U$9)/SUMPRODUCT(ISNUMBER('Advanced 0-10'!T36:U36)*'Advanced Entry'!T$9:U$9),1))</f>
        <v/>
      </c>
      <c r="I36" s="7">
        <f>IF(SUMPRODUCT(ISNUMBER('Advanced 0-10'!V36:Z36)*'Advanced Entry'!V$9:Z$9)=0,"",ROUND(SUMPRODUCT(IFERROR('Advanced 0-10'!V36:Z36*1,0)*'Advanced Entry'!V$9:Z$9)/SUMPRODUCT(ISNUMBER('Advanced 0-10'!V36:Z36)*'Advanced Entry'!V$9:Z$9),1))</f>
        <v/>
      </c>
      <c r="J36" s="7">
        <f>IF(SUMPRODUCT(ISNUMBER('Advanced 0-10'!AA36:AA36)*'Advanced Entry'!AA$9:AA$9)=0,"",ROUND(SUMPRODUCT(IFERROR('Advanced 0-10'!AA36:AA36*1,0)*'Advanced Entry'!AA$9:AA$9)/SUMPRODUCT(ISNUMBER('Advanced 0-10'!AA36:AA36)*'Advanced Entry'!AA$9:AA$9),1))</f>
        <v/>
      </c>
      <c r="K36" s="7">
        <f>IF(SUMPRODUCT(ISNUMBER('Advanced 0-10'!AB36:AB36)*'Advanced Entry'!AB$9:AB$9)=0,"",ROUND(SUMPRODUCT(IFERROR('Advanced 0-10'!AB36:AB36*1,0)*'Advanced Entry'!AB$9:AB$9)/SUMPRODUCT(ISNUMBER('Advanced 0-10'!AB36:AB36)*'Advanced Entry'!AB$9:AB$9),1))</f>
        <v/>
      </c>
      <c r="L36" s="19">
        <f>IF(SUMPRODUCT(--ISNUMBER(D36:K36))=0,"",ROUND(SUMPRODUCT(IFERROR(D36:K36*1,0))/SUMPRODUCT(--ISNUMBER(D36:K36)),1))</f>
        <v/>
      </c>
    </row>
    <row r="37">
      <c r="A37" t="inlineStr">
        <is>
          <t>Iringa</t>
        </is>
      </c>
      <c r="B37" t="inlineStr">
        <is>
          <t>Iringa District</t>
        </is>
      </c>
      <c r="C37" t="inlineStr">
        <is>
          <t>C080</t>
        </is>
      </c>
      <c r="D37" s="7">
        <f>IF(SUMPRODUCT(ISNUMBER('Advanced 0-10'!D37:J37)*'Advanced Entry'!D$9:J$9)=0,"",ROUND(SUMPRODUCT(IFERROR('Advanced 0-10'!D37:J37*1,0)*'Advanced Entry'!D$9:J$9)/SUMPRODUCT(ISNUMBER('Advanced 0-10'!D37:J37)*'Advanced Entry'!D$9:J$9),1))</f>
        <v/>
      </c>
      <c r="E37" s="7">
        <f>IF(SUMPRODUCT(ISNUMBER('Advanced 0-10'!K37:O37)*'Advanced Entry'!K$9:O$9)=0,"",ROUND(SUMPRODUCT(IFERROR('Advanced 0-10'!K37:O37*1,0)*'Advanced Entry'!K$9:O$9)/SUMPRODUCT(ISNUMBER('Advanced 0-10'!K37:O37)*'Advanced Entry'!K$9:O$9),1))</f>
        <v/>
      </c>
      <c r="F37" s="7">
        <f>IF(SUMPRODUCT(ISNUMBER('Advanced 0-10'!P37:Q37)*'Advanced Entry'!P$9:Q$9)=0,"",ROUND(SUMPRODUCT(IFERROR('Advanced 0-10'!P37:Q37*1,0)*'Advanced Entry'!P$9:Q$9)/SUMPRODUCT(ISNUMBER('Advanced 0-10'!P37:Q37)*'Advanced Entry'!P$9:Q$9),1))</f>
        <v/>
      </c>
      <c r="G37" s="7">
        <f>IF(SUMPRODUCT(ISNUMBER('Advanced 0-10'!R37:S37)*'Advanced Entry'!R$9:S$9)=0,"",ROUND(SUMPRODUCT(IFERROR('Advanced 0-10'!R37:S37*1,0)*'Advanced Entry'!R$9:S$9)/SUMPRODUCT(ISNUMBER('Advanced 0-10'!R37:S37)*'Advanced Entry'!R$9:S$9),1))</f>
        <v/>
      </c>
      <c r="H37" s="7">
        <f>IF(SUMPRODUCT(ISNUMBER('Advanced 0-10'!T37:U37)*'Advanced Entry'!T$9:U$9)=0,"",ROUND(SUMPRODUCT(IFERROR('Advanced 0-10'!T37:U37*1,0)*'Advanced Entry'!T$9:U$9)/SUMPRODUCT(ISNUMBER('Advanced 0-10'!T37:U37)*'Advanced Entry'!T$9:U$9),1))</f>
        <v/>
      </c>
      <c r="I37" s="7">
        <f>IF(SUMPRODUCT(ISNUMBER('Advanced 0-10'!V37:Z37)*'Advanced Entry'!V$9:Z$9)=0,"",ROUND(SUMPRODUCT(IFERROR('Advanced 0-10'!V37:Z37*1,0)*'Advanced Entry'!V$9:Z$9)/SUMPRODUCT(ISNUMBER('Advanced 0-10'!V37:Z37)*'Advanced Entry'!V$9:Z$9),1))</f>
        <v/>
      </c>
      <c r="J37" s="7">
        <f>IF(SUMPRODUCT(ISNUMBER('Advanced 0-10'!AA37:AA37)*'Advanced Entry'!AA$9:AA$9)=0,"",ROUND(SUMPRODUCT(IFERROR('Advanced 0-10'!AA37:AA37*1,0)*'Advanced Entry'!AA$9:AA$9)/SUMPRODUCT(ISNUMBER('Advanced 0-10'!AA37:AA37)*'Advanced Entry'!AA$9:AA$9),1))</f>
        <v/>
      </c>
      <c r="K37" s="7">
        <f>IF(SUMPRODUCT(ISNUMBER('Advanced 0-10'!AB37:AB37)*'Advanced Entry'!AB$9:AB$9)=0,"",ROUND(SUMPRODUCT(IFERROR('Advanced 0-10'!AB37:AB37*1,0)*'Advanced Entry'!AB$9:AB$9)/SUMPRODUCT(ISNUMBER('Advanced 0-10'!AB37:AB37)*'Advanced Entry'!AB$9:AB$9),1))</f>
        <v/>
      </c>
      <c r="L37" s="19">
        <f>IF(SUMPRODUCT(--ISNUMBER(D37:K37))=0,"",ROUND(SUMPRODUCT(IFERROR(D37:K37*1,0))/SUMPRODUCT(--ISNUMBER(D37:K37)),1))</f>
        <v/>
      </c>
    </row>
    <row r="38">
      <c r="A38" t="inlineStr">
        <is>
          <t>Iringa</t>
        </is>
      </c>
      <c r="B38" t="inlineStr">
        <is>
          <t>Iringa Municipal</t>
        </is>
      </c>
      <c r="C38" t="inlineStr">
        <is>
          <t>C081</t>
        </is>
      </c>
      <c r="D38" s="7">
        <f>IF(SUMPRODUCT(ISNUMBER('Advanced 0-10'!D38:J38)*'Advanced Entry'!D$9:J$9)=0,"",ROUND(SUMPRODUCT(IFERROR('Advanced 0-10'!D38:J38*1,0)*'Advanced Entry'!D$9:J$9)/SUMPRODUCT(ISNUMBER('Advanced 0-10'!D38:J38)*'Advanced Entry'!D$9:J$9),1))</f>
        <v/>
      </c>
      <c r="E38" s="7">
        <f>IF(SUMPRODUCT(ISNUMBER('Advanced 0-10'!K38:O38)*'Advanced Entry'!K$9:O$9)=0,"",ROUND(SUMPRODUCT(IFERROR('Advanced 0-10'!K38:O38*1,0)*'Advanced Entry'!K$9:O$9)/SUMPRODUCT(ISNUMBER('Advanced 0-10'!K38:O38)*'Advanced Entry'!K$9:O$9),1))</f>
        <v/>
      </c>
      <c r="F38" s="7">
        <f>IF(SUMPRODUCT(ISNUMBER('Advanced 0-10'!P38:Q38)*'Advanced Entry'!P$9:Q$9)=0,"",ROUND(SUMPRODUCT(IFERROR('Advanced 0-10'!P38:Q38*1,0)*'Advanced Entry'!P$9:Q$9)/SUMPRODUCT(ISNUMBER('Advanced 0-10'!P38:Q38)*'Advanced Entry'!P$9:Q$9),1))</f>
        <v/>
      </c>
      <c r="G38" s="7">
        <f>IF(SUMPRODUCT(ISNUMBER('Advanced 0-10'!R38:S38)*'Advanced Entry'!R$9:S$9)=0,"",ROUND(SUMPRODUCT(IFERROR('Advanced 0-10'!R38:S38*1,0)*'Advanced Entry'!R$9:S$9)/SUMPRODUCT(ISNUMBER('Advanced 0-10'!R38:S38)*'Advanced Entry'!R$9:S$9),1))</f>
        <v/>
      </c>
      <c r="H38" s="7">
        <f>IF(SUMPRODUCT(ISNUMBER('Advanced 0-10'!T38:U38)*'Advanced Entry'!T$9:U$9)=0,"",ROUND(SUMPRODUCT(IFERROR('Advanced 0-10'!T38:U38*1,0)*'Advanced Entry'!T$9:U$9)/SUMPRODUCT(ISNUMBER('Advanced 0-10'!T38:U38)*'Advanced Entry'!T$9:U$9),1))</f>
        <v/>
      </c>
      <c r="I38" s="7">
        <f>IF(SUMPRODUCT(ISNUMBER('Advanced 0-10'!V38:Z38)*'Advanced Entry'!V$9:Z$9)=0,"",ROUND(SUMPRODUCT(IFERROR('Advanced 0-10'!V38:Z38*1,0)*'Advanced Entry'!V$9:Z$9)/SUMPRODUCT(ISNUMBER('Advanced 0-10'!V38:Z38)*'Advanced Entry'!V$9:Z$9),1))</f>
        <v/>
      </c>
      <c r="J38" s="7">
        <f>IF(SUMPRODUCT(ISNUMBER('Advanced 0-10'!AA38:AA38)*'Advanced Entry'!AA$9:AA$9)=0,"",ROUND(SUMPRODUCT(IFERROR('Advanced 0-10'!AA38:AA38*1,0)*'Advanced Entry'!AA$9:AA$9)/SUMPRODUCT(ISNUMBER('Advanced 0-10'!AA38:AA38)*'Advanced Entry'!AA$9:AA$9),1))</f>
        <v/>
      </c>
      <c r="K38" s="7">
        <f>IF(SUMPRODUCT(ISNUMBER('Advanced 0-10'!AB38:AB38)*'Advanced Entry'!AB$9:AB$9)=0,"",ROUND(SUMPRODUCT(IFERROR('Advanced 0-10'!AB38:AB38*1,0)*'Advanced Entry'!AB$9:AB$9)/SUMPRODUCT(ISNUMBER('Advanced 0-10'!AB38:AB38)*'Advanced Entry'!AB$9:AB$9),1))</f>
        <v/>
      </c>
      <c r="L38" s="19">
        <f>IF(SUMPRODUCT(--ISNUMBER(D38:K38))=0,"",ROUND(SUMPRODUCT(IFERROR(D38:K38*1,0))/SUMPRODUCT(--ISNUMBER(D38:K38)),1))</f>
        <v/>
      </c>
    </row>
    <row r="39">
      <c r="A39" t="inlineStr">
        <is>
          <t>Iringa</t>
        </is>
      </c>
      <c r="B39" t="inlineStr">
        <is>
          <t>Kilolo District</t>
        </is>
      </c>
      <c r="C39" t="inlineStr">
        <is>
          <t>C084</t>
        </is>
      </c>
      <c r="D39" s="7">
        <f>IF(SUMPRODUCT(ISNUMBER('Advanced 0-10'!D39:J39)*'Advanced Entry'!D$9:J$9)=0,"",ROUND(SUMPRODUCT(IFERROR('Advanced 0-10'!D39:J39*1,0)*'Advanced Entry'!D$9:J$9)/SUMPRODUCT(ISNUMBER('Advanced 0-10'!D39:J39)*'Advanced Entry'!D$9:J$9),1))</f>
        <v/>
      </c>
      <c r="E39" s="7">
        <f>IF(SUMPRODUCT(ISNUMBER('Advanced 0-10'!K39:O39)*'Advanced Entry'!K$9:O$9)=0,"",ROUND(SUMPRODUCT(IFERROR('Advanced 0-10'!K39:O39*1,0)*'Advanced Entry'!K$9:O$9)/SUMPRODUCT(ISNUMBER('Advanced 0-10'!K39:O39)*'Advanced Entry'!K$9:O$9),1))</f>
        <v/>
      </c>
      <c r="F39" s="7">
        <f>IF(SUMPRODUCT(ISNUMBER('Advanced 0-10'!P39:Q39)*'Advanced Entry'!P$9:Q$9)=0,"",ROUND(SUMPRODUCT(IFERROR('Advanced 0-10'!P39:Q39*1,0)*'Advanced Entry'!P$9:Q$9)/SUMPRODUCT(ISNUMBER('Advanced 0-10'!P39:Q39)*'Advanced Entry'!P$9:Q$9),1))</f>
        <v/>
      </c>
      <c r="G39" s="7">
        <f>IF(SUMPRODUCT(ISNUMBER('Advanced 0-10'!R39:S39)*'Advanced Entry'!R$9:S$9)=0,"",ROUND(SUMPRODUCT(IFERROR('Advanced 0-10'!R39:S39*1,0)*'Advanced Entry'!R$9:S$9)/SUMPRODUCT(ISNUMBER('Advanced 0-10'!R39:S39)*'Advanced Entry'!R$9:S$9),1))</f>
        <v/>
      </c>
      <c r="H39" s="7">
        <f>IF(SUMPRODUCT(ISNUMBER('Advanced 0-10'!T39:U39)*'Advanced Entry'!T$9:U$9)=0,"",ROUND(SUMPRODUCT(IFERROR('Advanced 0-10'!T39:U39*1,0)*'Advanced Entry'!T$9:U$9)/SUMPRODUCT(ISNUMBER('Advanced 0-10'!T39:U39)*'Advanced Entry'!T$9:U$9),1))</f>
        <v/>
      </c>
      <c r="I39" s="7">
        <f>IF(SUMPRODUCT(ISNUMBER('Advanced 0-10'!V39:Z39)*'Advanced Entry'!V$9:Z$9)=0,"",ROUND(SUMPRODUCT(IFERROR('Advanced 0-10'!V39:Z39*1,0)*'Advanced Entry'!V$9:Z$9)/SUMPRODUCT(ISNUMBER('Advanced 0-10'!V39:Z39)*'Advanced Entry'!V$9:Z$9),1))</f>
        <v/>
      </c>
      <c r="J39" s="7">
        <f>IF(SUMPRODUCT(ISNUMBER('Advanced 0-10'!AA39:AA39)*'Advanced Entry'!AA$9:AA$9)=0,"",ROUND(SUMPRODUCT(IFERROR('Advanced 0-10'!AA39:AA39*1,0)*'Advanced Entry'!AA$9:AA$9)/SUMPRODUCT(ISNUMBER('Advanced 0-10'!AA39:AA39)*'Advanced Entry'!AA$9:AA$9),1))</f>
        <v/>
      </c>
      <c r="K39" s="7">
        <f>IF(SUMPRODUCT(ISNUMBER('Advanced 0-10'!AB39:AB39)*'Advanced Entry'!AB$9:AB$9)=0,"",ROUND(SUMPRODUCT(IFERROR('Advanced 0-10'!AB39:AB39*1,0)*'Advanced Entry'!AB$9:AB$9)/SUMPRODUCT(ISNUMBER('Advanced 0-10'!AB39:AB39)*'Advanced Entry'!AB$9:AB$9),1))</f>
        <v/>
      </c>
      <c r="L39" s="19">
        <f>IF(SUMPRODUCT(--ISNUMBER(D39:K39))=0,"",ROUND(SUMPRODUCT(IFERROR(D39:K39*1,0))/SUMPRODUCT(--ISNUMBER(D39:K39)),1))</f>
        <v/>
      </c>
    </row>
    <row r="40">
      <c r="A40" t="inlineStr">
        <is>
          <t>Iringa</t>
        </is>
      </c>
      <c r="B40" t="inlineStr">
        <is>
          <t>Mafinga Town</t>
        </is>
      </c>
      <c r="C40" t="inlineStr">
        <is>
          <t>C082</t>
        </is>
      </c>
      <c r="D40" s="7">
        <f>IF(SUMPRODUCT(ISNUMBER('Advanced 0-10'!D40:J40)*'Advanced Entry'!D$9:J$9)=0,"",ROUND(SUMPRODUCT(IFERROR('Advanced 0-10'!D40:J40*1,0)*'Advanced Entry'!D$9:J$9)/SUMPRODUCT(ISNUMBER('Advanced 0-10'!D40:J40)*'Advanced Entry'!D$9:J$9),1))</f>
        <v/>
      </c>
      <c r="E40" s="7">
        <f>IF(SUMPRODUCT(ISNUMBER('Advanced 0-10'!K40:O40)*'Advanced Entry'!K$9:O$9)=0,"",ROUND(SUMPRODUCT(IFERROR('Advanced 0-10'!K40:O40*1,0)*'Advanced Entry'!K$9:O$9)/SUMPRODUCT(ISNUMBER('Advanced 0-10'!K40:O40)*'Advanced Entry'!K$9:O$9),1))</f>
        <v/>
      </c>
      <c r="F40" s="7">
        <f>IF(SUMPRODUCT(ISNUMBER('Advanced 0-10'!P40:Q40)*'Advanced Entry'!P$9:Q$9)=0,"",ROUND(SUMPRODUCT(IFERROR('Advanced 0-10'!P40:Q40*1,0)*'Advanced Entry'!P$9:Q$9)/SUMPRODUCT(ISNUMBER('Advanced 0-10'!P40:Q40)*'Advanced Entry'!P$9:Q$9),1))</f>
        <v/>
      </c>
      <c r="G40" s="7">
        <f>IF(SUMPRODUCT(ISNUMBER('Advanced 0-10'!R40:S40)*'Advanced Entry'!R$9:S$9)=0,"",ROUND(SUMPRODUCT(IFERROR('Advanced 0-10'!R40:S40*1,0)*'Advanced Entry'!R$9:S$9)/SUMPRODUCT(ISNUMBER('Advanced 0-10'!R40:S40)*'Advanced Entry'!R$9:S$9),1))</f>
        <v/>
      </c>
      <c r="H40" s="7">
        <f>IF(SUMPRODUCT(ISNUMBER('Advanced 0-10'!T40:U40)*'Advanced Entry'!T$9:U$9)=0,"",ROUND(SUMPRODUCT(IFERROR('Advanced 0-10'!T40:U40*1,0)*'Advanced Entry'!T$9:U$9)/SUMPRODUCT(ISNUMBER('Advanced 0-10'!T40:U40)*'Advanced Entry'!T$9:U$9),1))</f>
        <v/>
      </c>
      <c r="I40" s="7">
        <f>IF(SUMPRODUCT(ISNUMBER('Advanced 0-10'!V40:Z40)*'Advanced Entry'!V$9:Z$9)=0,"",ROUND(SUMPRODUCT(IFERROR('Advanced 0-10'!V40:Z40*1,0)*'Advanced Entry'!V$9:Z$9)/SUMPRODUCT(ISNUMBER('Advanced 0-10'!V40:Z40)*'Advanced Entry'!V$9:Z$9),1))</f>
        <v/>
      </c>
      <c r="J40" s="7">
        <f>IF(SUMPRODUCT(ISNUMBER('Advanced 0-10'!AA40:AA40)*'Advanced Entry'!AA$9:AA$9)=0,"",ROUND(SUMPRODUCT(IFERROR('Advanced 0-10'!AA40:AA40*1,0)*'Advanced Entry'!AA$9:AA$9)/SUMPRODUCT(ISNUMBER('Advanced 0-10'!AA40:AA40)*'Advanced Entry'!AA$9:AA$9),1))</f>
        <v/>
      </c>
      <c r="K40" s="7">
        <f>IF(SUMPRODUCT(ISNUMBER('Advanced 0-10'!AB40:AB40)*'Advanced Entry'!AB$9:AB$9)=0,"",ROUND(SUMPRODUCT(IFERROR('Advanced 0-10'!AB40:AB40*1,0)*'Advanced Entry'!AB$9:AB$9)/SUMPRODUCT(ISNUMBER('Advanced 0-10'!AB40:AB40)*'Advanced Entry'!AB$9:AB$9),1))</f>
        <v/>
      </c>
      <c r="L40" s="19">
        <f>IF(SUMPRODUCT(--ISNUMBER(D40:K40))=0,"",ROUND(SUMPRODUCT(IFERROR(D40:K40*1,0))/SUMPRODUCT(--ISNUMBER(D40:K40)),1))</f>
        <v/>
      </c>
    </row>
    <row r="41">
      <c r="A41" t="inlineStr">
        <is>
          <t>Iringa</t>
        </is>
      </c>
      <c r="B41" t="inlineStr">
        <is>
          <t>Mufindi District</t>
        </is>
      </c>
      <c r="C41" t="inlineStr">
        <is>
          <t>C083</t>
        </is>
      </c>
      <c r="D41" s="7">
        <f>IF(SUMPRODUCT(ISNUMBER('Advanced 0-10'!D41:J41)*'Advanced Entry'!D$9:J$9)=0,"",ROUND(SUMPRODUCT(IFERROR('Advanced 0-10'!D41:J41*1,0)*'Advanced Entry'!D$9:J$9)/SUMPRODUCT(ISNUMBER('Advanced 0-10'!D41:J41)*'Advanced Entry'!D$9:J$9),1))</f>
        <v/>
      </c>
      <c r="E41" s="7">
        <f>IF(SUMPRODUCT(ISNUMBER('Advanced 0-10'!K41:O41)*'Advanced Entry'!K$9:O$9)=0,"",ROUND(SUMPRODUCT(IFERROR('Advanced 0-10'!K41:O41*1,0)*'Advanced Entry'!K$9:O$9)/SUMPRODUCT(ISNUMBER('Advanced 0-10'!K41:O41)*'Advanced Entry'!K$9:O$9),1))</f>
        <v/>
      </c>
      <c r="F41" s="7">
        <f>IF(SUMPRODUCT(ISNUMBER('Advanced 0-10'!P41:Q41)*'Advanced Entry'!P$9:Q$9)=0,"",ROUND(SUMPRODUCT(IFERROR('Advanced 0-10'!P41:Q41*1,0)*'Advanced Entry'!P$9:Q$9)/SUMPRODUCT(ISNUMBER('Advanced 0-10'!P41:Q41)*'Advanced Entry'!P$9:Q$9),1))</f>
        <v/>
      </c>
      <c r="G41" s="7">
        <f>IF(SUMPRODUCT(ISNUMBER('Advanced 0-10'!R41:S41)*'Advanced Entry'!R$9:S$9)=0,"",ROUND(SUMPRODUCT(IFERROR('Advanced 0-10'!R41:S41*1,0)*'Advanced Entry'!R$9:S$9)/SUMPRODUCT(ISNUMBER('Advanced 0-10'!R41:S41)*'Advanced Entry'!R$9:S$9),1))</f>
        <v/>
      </c>
      <c r="H41" s="7">
        <f>IF(SUMPRODUCT(ISNUMBER('Advanced 0-10'!T41:U41)*'Advanced Entry'!T$9:U$9)=0,"",ROUND(SUMPRODUCT(IFERROR('Advanced 0-10'!T41:U41*1,0)*'Advanced Entry'!T$9:U$9)/SUMPRODUCT(ISNUMBER('Advanced 0-10'!T41:U41)*'Advanced Entry'!T$9:U$9),1))</f>
        <v/>
      </c>
      <c r="I41" s="7">
        <f>IF(SUMPRODUCT(ISNUMBER('Advanced 0-10'!V41:Z41)*'Advanced Entry'!V$9:Z$9)=0,"",ROUND(SUMPRODUCT(IFERROR('Advanced 0-10'!V41:Z41*1,0)*'Advanced Entry'!V$9:Z$9)/SUMPRODUCT(ISNUMBER('Advanced 0-10'!V41:Z41)*'Advanced Entry'!V$9:Z$9),1))</f>
        <v/>
      </c>
      <c r="J41" s="7">
        <f>IF(SUMPRODUCT(ISNUMBER('Advanced 0-10'!AA41:AA41)*'Advanced Entry'!AA$9:AA$9)=0,"",ROUND(SUMPRODUCT(IFERROR('Advanced 0-10'!AA41:AA41*1,0)*'Advanced Entry'!AA$9:AA$9)/SUMPRODUCT(ISNUMBER('Advanced 0-10'!AA41:AA41)*'Advanced Entry'!AA$9:AA$9),1))</f>
        <v/>
      </c>
      <c r="K41" s="7">
        <f>IF(SUMPRODUCT(ISNUMBER('Advanced 0-10'!AB41:AB41)*'Advanced Entry'!AB$9:AB$9)=0,"",ROUND(SUMPRODUCT(IFERROR('Advanced 0-10'!AB41:AB41*1,0)*'Advanced Entry'!AB$9:AB$9)/SUMPRODUCT(ISNUMBER('Advanced 0-10'!AB41:AB41)*'Advanced Entry'!AB$9:AB$9),1))</f>
        <v/>
      </c>
      <c r="L41" s="19">
        <f>IF(SUMPRODUCT(--ISNUMBER(D41:K41))=0,"",ROUND(SUMPRODUCT(IFERROR(D41:K41*1,0))/SUMPRODUCT(--ISNUMBER(D41:K41)),1))</f>
        <v/>
      </c>
    </row>
    <row r="42">
      <c r="A42" t="inlineStr">
        <is>
          <t>Kagera</t>
        </is>
      </c>
      <c r="B42" t="inlineStr">
        <is>
          <t>Biharamulo District</t>
        </is>
      </c>
      <c r="C42" t="inlineStr">
        <is>
          <t>C129</t>
        </is>
      </c>
      <c r="D42" s="7">
        <f>IF(SUMPRODUCT(ISNUMBER('Advanced 0-10'!D42:J42)*'Advanced Entry'!D$9:J$9)=0,"",ROUND(SUMPRODUCT(IFERROR('Advanced 0-10'!D42:J42*1,0)*'Advanced Entry'!D$9:J$9)/SUMPRODUCT(ISNUMBER('Advanced 0-10'!D42:J42)*'Advanced Entry'!D$9:J$9),1))</f>
        <v/>
      </c>
      <c r="E42" s="7">
        <f>IF(SUMPRODUCT(ISNUMBER('Advanced 0-10'!K42:O42)*'Advanced Entry'!K$9:O$9)=0,"",ROUND(SUMPRODUCT(IFERROR('Advanced 0-10'!K42:O42*1,0)*'Advanced Entry'!K$9:O$9)/SUMPRODUCT(ISNUMBER('Advanced 0-10'!K42:O42)*'Advanced Entry'!K$9:O$9),1))</f>
        <v/>
      </c>
      <c r="F42" s="7">
        <f>IF(SUMPRODUCT(ISNUMBER('Advanced 0-10'!P42:Q42)*'Advanced Entry'!P$9:Q$9)=0,"",ROUND(SUMPRODUCT(IFERROR('Advanced 0-10'!P42:Q42*1,0)*'Advanced Entry'!P$9:Q$9)/SUMPRODUCT(ISNUMBER('Advanced 0-10'!P42:Q42)*'Advanced Entry'!P$9:Q$9),1))</f>
        <v/>
      </c>
      <c r="G42" s="7">
        <f>IF(SUMPRODUCT(ISNUMBER('Advanced 0-10'!R42:S42)*'Advanced Entry'!R$9:S$9)=0,"",ROUND(SUMPRODUCT(IFERROR('Advanced 0-10'!R42:S42*1,0)*'Advanced Entry'!R$9:S$9)/SUMPRODUCT(ISNUMBER('Advanced 0-10'!R42:S42)*'Advanced Entry'!R$9:S$9),1))</f>
        <v/>
      </c>
      <c r="H42" s="7">
        <f>IF(SUMPRODUCT(ISNUMBER('Advanced 0-10'!T42:U42)*'Advanced Entry'!T$9:U$9)=0,"",ROUND(SUMPRODUCT(IFERROR('Advanced 0-10'!T42:U42*1,0)*'Advanced Entry'!T$9:U$9)/SUMPRODUCT(ISNUMBER('Advanced 0-10'!T42:U42)*'Advanced Entry'!T$9:U$9),1))</f>
        <v/>
      </c>
      <c r="I42" s="7">
        <f>IF(SUMPRODUCT(ISNUMBER('Advanced 0-10'!V42:Z42)*'Advanced Entry'!V$9:Z$9)=0,"",ROUND(SUMPRODUCT(IFERROR('Advanced 0-10'!V42:Z42*1,0)*'Advanced Entry'!V$9:Z$9)/SUMPRODUCT(ISNUMBER('Advanced 0-10'!V42:Z42)*'Advanced Entry'!V$9:Z$9),1))</f>
        <v/>
      </c>
      <c r="J42" s="7">
        <f>IF(SUMPRODUCT(ISNUMBER('Advanced 0-10'!AA42:AA42)*'Advanced Entry'!AA$9:AA$9)=0,"",ROUND(SUMPRODUCT(IFERROR('Advanced 0-10'!AA42:AA42*1,0)*'Advanced Entry'!AA$9:AA$9)/SUMPRODUCT(ISNUMBER('Advanced 0-10'!AA42:AA42)*'Advanced Entry'!AA$9:AA$9),1))</f>
        <v/>
      </c>
      <c r="K42" s="7">
        <f>IF(SUMPRODUCT(ISNUMBER('Advanced 0-10'!AB42:AB42)*'Advanced Entry'!AB$9:AB$9)=0,"",ROUND(SUMPRODUCT(IFERROR('Advanced 0-10'!AB42:AB42*1,0)*'Advanced Entry'!AB$9:AB$9)/SUMPRODUCT(ISNUMBER('Advanced 0-10'!AB42:AB42)*'Advanced Entry'!AB$9:AB$9),1))</f>
        <v/>
      </c>
      <c r="L42" s="19">
        <f>IF(SUMPRODUCT(--ISNUMBER(D42:K42))=0,"",ROUND(SUMPRODUCT(IFERROR(D42:K42*1,0))/SUMPRODUCT(--ISNUMBER(D42:K42)),1))</f>
        <v/>
      </c>
    </row>
    <row r="43">
      <c r="A43" t="inlineStr">
        <is>
          <t>Kagera</t>
        </is>
      </c>
      <c r="B43" t="inlineStr">
        <is>
          <t>Bukoba District</t>
        </is>
      </c>
      <c r="C43" t="inlineStr">
        <is>
          <t>C126</t>
        </is>
      </c>
      <c r="D43" s="7">
        <f>IF(SUMPRODUCT(ISNUMBER('Advanced 0-10'!D43:J43)*'Advanced Entry'!D$9:J$9)=0,"",ROUND(SUMPRODUCT(IFERROR('Advanced 0-10'!D43:J43*1,0)*'Advanced Entry'!D$9:J$9)/SUMPRODUCT(ISNUMBER('Advanced 0-10'!D43:J43)*'Advanced Entry'!D$9:J$9),1))</f>
        <v/>
      </c>
      <c r="E43" s="7">
        <f>IF(SUMPRODUCT(ISNUMBER('Advanced 0-10'!K43:O43)*'Advanced Entry'!K$9:O$9)=0,"",ROUND(SUMPRODUCT(IFERROR('Advanced 0-10'!K43:O43*1,0)*'Advanced Entry'!K$9:O$9)/SUMPRODUCT(ISNUMBER('Advanced 0-10'!K43:O43)*'Advanced Entry'!K$9:O$9),1))</f>
        <v/>
      </c>
      <c r="F43" s="7">
        <f>IF(SUMPRODUCT(ISNUMBER('Advanced 0-10'!P43:Q43)*'Advanced Entry'!P$9:Q$9)=0,"",ROUND(SUMPRODUCT(IFERROR('Advanced 0-10'!P43:Q43*1,0)*'Advanced Entry'!P$9:Q$9)/SUMPRODUCT(ISNUMBER('Advanced 0-10'!P43:Q43)*'Advanced Entry'!P$9:Q$9),1))</f>
        <v/>
      </c>
      <c r="G43" s="7">
        <f>IF(SUMPRODUCT(ISNUMBER('Advanced 0-10'!R43:S43)*'Advanced Entry'!R$9:S$9)=0,"",ROUND(SUMPRODUCT(IFERROR('Advanced 0-10'!R43:S43*1,0)*'Advanced Entry'!R$9:S$9)/SUMPRODUCT(ISNUMBER('Advanced 0-10'!R43:S43)*'Advanced Entry'!R$9:S$9),1))</f>
        <v/>
      </c>
      <c r="H43" s="7">
        <f>IF(SUMPRODUCT(ISNUMBER('Advanced 0-10'!T43:U43)*'Advanced Entry'!T$9:U$9)=0,"",ROUND(SUMPRODUCT(IFERROR('Advanced 0-10'!T43:U43*1,0)*'Advanced Entry'!T$9:U$9)/SUMPRODUCT(ISNUMBER('Advanced 0-10'!T43:U43)*'Advanced Entry'!T$9:U$9),1))</f>
        <v/>
      </c>
      <c r="I43" s="7">
        <f>IF(SUMPRODUCT(ISNUMBER('Advanced 0-10'!V43:Z43)*'Advanced Entry'!V$9:Z$9)=0,"",ROUND(SUMPRODUCT(IFERROR('Advanced 0-10'!V43:Z43*1,0)*'Advanced Entry'!V$9:Z$9)/SUMPRODUCT(ISNUMBER('Advanced 0-10'!V43:Z43)*'Advanced Entry'!V$9:Z$9),1))</f>
        <v/>
      </c>
      <c r="J43" s="7">
        <f>IF(SUMPRODUCT(ISNUMBER('Advanced 0-10'!AA43:AA43)*'Advanced Entry'!AA$9:AA$9)=0,"",ROUND(SUMPRODUCT(IFERROR('Advanced 0-10'!AA43:AA43*1,0)*'Advanced Entry'!AA$9:AA$9)/SUMPRODUCT(ISNUMBER('Advanced 0-10'!AA43:AA43)*'Advanced Entry'!AA$9:AA$9),1))</f>
        <v/>
      </c>
      <c r="K43" s="7">
        <f>IF(SUMPRODUCT(ISNUMBER('Advanced 0-10'!AB43:AB43)*'Advanced Entry'!AB$9:AB$9)=0,"",ROUND(SUMPRODUCT(IFERROR('Advanced 0-10'!AB43:AB43*1,0)*'Advanced Entry'!AB$9:AB$9)/SUMPRODUCT(ISNUMBER('Advanced 0-10'!AB43:AB43)*'Advanced Entry'!AB$9:AB$9),1))</f>
        <v/>
      </c>
      <c r="L43" s="19">
        <f>IF(SUMPRODUCT(--ISNUMBER(D43:K43))=0,"",ROUND(SUMPRODUCT(IFERROR(D43:K43*1,0))/SUMPRODUCT(--ISNUMBER(D43:K43)),1))</f>
        <v/>
      </c>
    </row>
    <row r="44">
      <c r="A44" t="inlineStr">
        <is>
          <t>Kagera</t>
        </is>
      </c>
      <c r="B44" t="inlineStr">
        <is>
          <t>Bukoba Municipal</t>
        </is>
      </c>
      <c r="C44" t="inlineStr">
        <is>
          <t>C127</t>
        </is>
      </c>
      <c r="D44" s="7">
        <f>IF(SUMPRODUCT(ISNUMBER('Advanced 0-10'!D44:J44)*'Advanced Entry'!D$9:J$9)=0,"",ROUND(SUMPRODUCT(IFERROR('Advanced 0-10'!D44:J44*1,0)*'Advanced Entry'!D$9:J$9)/SUMPRODUCT(ISNUMBER('Advanced 0-10'!D44:J44)*'Advanced Entry'!D$9:J$9),1))</f>
        <v/>
      </c>
      <c r="E44" s="7">
        <f>IF(SUMPRODUCT(ISNUMBER('Advanced 0-10'!K44:O44)*'Advanced Entry'!K$9:O$9)=0,"",ROUND(SUMPRODUCT(IFERROR('Advanced 0-10'!K44:O44*1,0)*'Advanced Entry'!K$9:O$9)/SUMPRODUCT(ISNUMBER('Advanced 0-10'!K44:O44)*'Advanced Entry'!K$9:O$9),1))</f>
        <v/>
      </c>
      <c r="F44" s="7">
        <f>IF(SUMPRODUCT(ISNUMBER('Advanced 0-10'!P44:Q44)*'Advanced Entry'!P$9:Q$9)=0,"",ROUND(SUMPRODUCT(IFERROR('Advanced 0-10'!P44:Q44*1,0)*'Advanced Entry'!P$9:Q$9)/SUMPRODUCT(ISNUMBER('Advanced 0-10'!P44:Q44)*'Advanced Entry'!P$9:Q$9),1))</f>
        <v/>
      </c>
      <c r="G44" s="7">
        <f>IF(SUMPRODUCT(ISNUMBER('Advanced 0-10'!R44:S44)*'Advanced Entry'!R$9:S$9)=0,"",ROUND(SUMPRODUCT(IFERROR('Advanced 0-10'!R44:S44*1,0)*'Advanced Entry'!R$9:S$9)/SUMPRODUCT(ISNUMBER('Advanced 0-10'!R44:S44)*'Advanced Entry'!R$9:S$9),1))</f>
        <v/>
      </c>
      <c r="H44" s="7">
        <f>IF(SUMPRODUCT(ISNUMBER('Advanced 0-10'!T44:U44)*'Advanced Entry'!T$9:U$9)=0,"",ROUND(SUMPRODUCT(IFERROR('Advanced 0-10'!T44:U44*1,0)*'Advanced Entry'!T$9:U$9)/SUMPRODUCT(ISNUMBER('Advanced 0-10'!T44:U44)*'Advanced Entry'!T$9:U$9),1))</f>
        <v/>
      </c>
      <c r="I44" s="7">
        <f>IF(SUMPRODUCT(ISNUMBER('Advanced 0-10'!V44:Z44)*'Advanced Entry'!V$9:Z$9)=0,"",ROUND(SUMPRODUCT(IFERROR('Advanced 0-10'!V44:Z44*1,0)*'Advanced Entry'!V$9:Z$9)/SUMPRODUCT(ISNUMBER('Advanced 0-10'!V44:Z44)*'Advanced Entry'!V$9:Z$9),1))</f>
        <v/>
      </c>
      <c r="J44" s="7">
        <f>IF(SUMPRODUCT(ISNUMBER('Advanced 0-10'!AA44:AA44)*'Advanced Entry'!AA$9:AA$9)=0,"",ROUND(SUMPRODUCT(IFERROR('Advanced 0-10'!AA44:AA44*1,0)*'Advanced Entry'!AA$9:AA$9)/SUMPRODUCT(ISNUMBER('Advanced 0-10'!AA44:AA44)*'Advanced Entry'!AA$9:AA$9),1))</f>
        <v/>
      </c>
      <c r="K44" s="7">
        <f>IF(SUMPRODUCT(ISNUMBER('Advanced 0-10'!AB44:AB44)*'Advanced Entry'!AB$9:AB$9)=0,"",ROUND(SUMPRODUCT(IFERROR('Advanced 0-10'!AB44:AB44*1,0)*'Advanced Entry'!AB$9:AB$9)/SUMPRODUCT(ISNUMBER('Advanced 0-10'!AB44:AB44)*'Advanced Entry'!AB$9:AB$9),1))</f>
        <v/>
      </c>
      <c r="L44" s="19">
        <f>IF(SUMPRODUCT(--ISNUMBER(D44:K44))=0,"",ROUND(SUMPRODUCT(IFERROR(D44:K44*1,0))/SUMPRODUCT(--ISNUMBER(D44:K44)),1))</f>
        <v/>
      </c>
    </row>
    <row r="45">
      <c r="A45" t="inlineStr">
        <is>
          <t>Kagera</t>
        </is>
      </c>
      <c r="B45" t="inlineStr">
        <is>
          <t>Karagwe District</t>
        </is>
      </c>
      <c r="C45" t="inlineStr">
        <is>
          <t>C125</t>
        </is>
      </c>
      <c r="D45" s="7">
        <f>IF(SUMPRODUCT(ISNUMBER('Advanced 0-10'!D45:J45)*'Advanced Entry'!D$9:J$9)=0,"",ROUND(SUMPRODUCT(IFERROR('Advanced 0-10'!D45:J45*1,0)*'Advanced Entry'!D$9:J$9)/SUMPRODUCT(ISNUMBER('Advanced 0-10'!D45:J45)*'Advanced Entry'!D$9:J$9),1))</f>
        <v/>
      </c>
      <c r="E45" s="7">
        <f>IF(SUMPRODUCT(ISNUMBER('Advanced 0-10'!K45:O45)*'Advanced Entry'!K$9:O$9)=0,"",ROUND(SUMPRODUCT(IFERROR('Advanced 0-10'!K45:O45*1,0)*'Advanced Entry'!K$9:O$9)/SUMPRODUCT(ISNUMBER('Advanced 0-10'!K45:O45)*'Advanced Entry'!K$9:O$9),1))</f>
        <v/>
      </c>
      <c r="F45" s="7">
        <f>IF(SUMPRODUCT(ISNUMBER('Advanced 0-10'!P45:Q45)*'Advanced Entry'!P$9:Q$9)=0,"",ROUND(SUMPRODUCT(IFERROR('Advanced 0-10'!P45:Q45*1,0)*'Advanced Entry'!P$9:Q$9)/SUMPRODUCT(ISNUMBER('Advanced 0-10'!P45:Q45)*'Advanced Entry'!P$9:Q$9),1))</f>
        <v/>
      </c>
      <c r="G45" s="7">
        <f>IF(SUMPRODUCT(ISNUMBER('Advanced 0-10'!R45:S45)*'Advanced Entry'!R$9:S$9)=0,"",ROUND(SUMPRODUCT(IFERROR('Advanced 0-10'!R45:S45*1,0)*'Advanced Entry'!R$9:S$9)/SUMPRODUCT(ISNUMBER('Advanced 0-10'!R45:S45)*'Advanced Entry'!R$9:S$9),1))</f>
        <v/>
      </c>
      <c r="H45" s="7">
        <f>IF(SUMPRODUCT(ISNUMBER('Advanced 0-10'!T45:U45)*'Advanced Entry'!T$9:U$9)=0,"",ROUND(SUMPRODUCT(IFERROR('Advanced 0-10'!T45:U45*1,0)*'Advanced Entry'!T$9:U$9)/SUMPRODUCT(ISNUMBER('Advanced 0-10'!T45:U45)*'Advanced Entry'!T$9:U$9),1))</f>
        <v/>
      </c>
      <c r="I45" s="7">
        <f>IF(SUMPRODUCT(ISNUMBER('Advanced 0-10'!V45:Z45)*'Advanced Entry'!V$9:Z$9)=0,"",ROUND(SUMPRODUCT(IFERROR('Advanced 0-10'!V45:Z45*1,0)*'Advanced Entry'!V$9:Z$9)/SUMPRODUCT(ISNUMBER('Advanced 0-10'!V45:Z45)*'Advanced Entry'!V$9:Z$9),1))</f>
        <v/>
      </c>
      <c r="J45" s="7">
        <f>IF(SUMPRODUCT(ISNUMBER('Advanced 0-10'!AA45:AA45)*'Advanced Entry'!AA$9:AA$9)=0,"",ROUND(SUMPRODUCT(IFERROR('Advanced 0-10'!AA45:AA45*1,0)*'Advanced Entry'!AA$9:AA$9)/SUMPRODUCT(ISNUMBER('Advanced 0-10'!AA45:AA45)*'Advanced Entry'!AA$9:AA$9),1))</f>
        <v/>
      </c>
      <c r="K45" s="7">
        <f>IF(SUMPRODUCT(ISNUMBER('Advanced 0-10'!AB45:AB45)*'Advanced Entry'!AB$9:AB$9)=0,"",ROUND(SUMPRODUCT(IFERROR('Advanced 0-10'!AB45:AB45*1,0)*'Advanced Entry'!AB$9:AB$9)/SUMPRODUCT(ISNUMBER('Advanced 0-10'!AB45:AB45)*'Advanced Entry'!AB$9:AB$9),1))</f>
        <v/>
      </c>
      <c r="L45" s="19">
        <f>IF(SUMPRODUCT(--ISNUMBER(D45:K45))=0,"",ROUND(SUMPRODUCT(IFERROR(D45:K45*1,0))/SUMPRODUCT(--ISNUMBER(D45:K45)),1))</f>
        <v/>
      </c>
    </row>
    <row r="46">
      <c r="A46" t="inlineStr">
        <is>
          <t>Kagera</t>
        </is>
      </c>
      <c r="B46" t="inlineStr">
        <is>
          <t>Kyerwa District</t>
        </is>
      </c>
      <c r="C46" t="inlineStr">
        <is>
          <t>C131</t>
        </is>
      </c>
      <c r="D46" s="7">
        <f>IF(SUMPRODUCT(ISNUMBER('Advanced 0-10'!D46:J46)*'Advanced Entry'!D$9:J$9)=0,"",ROUND(SUMPRODUCT(IFERROR('Advanced 0-10'!D46:J46*1,0)*'Advanced Entry'!D$9:J$9)/SUMPRODUCT(ISNUMBER('Advanced 0-10'!D46:J46)*'Advanced Entry'!D$9:J$9),1))</f>
        <v/>
      </c>
      <c r="E46" s="7">
        <f>IF(SUMPRODUCT(ISNUMBER('Advanced 0-10'!K46:O46)*'Advanced Entry'!K$9:O$9)=0,"",ROUND(SUMPRODUCT(IFERROR('Advanced 0-10'!K46:O46*1,0)*'Advanced Entry'!K$9:O$9)/SUMPRODUCT(ISNUMBER('Advanced 0-10'!K46:O46)*'Advanced Entry'!K$9:O$9),1))</f>
        <v/>
      </c>
      <c r="F46" s="7">
        <f>IF(SUMPRODUCT(ISNUMBER('Advanced 0-10'!P46:Q46)*'Advanced Entry'!P$9:Q$9)=0,"",ROUND(SUMPRODUCT(IFERROR('Advanced 0-10'!P46:Q46*1,0)*'Advanced Entry'!P$9:Q$9)/SUMPRODUCT(ISNUMBER('Advanced 0-10'!P46:Q46)*'Advanced Entry'!P$9:Q$9),1))</f>
        <v/>
      </c>
      <c r="G46" s="7">
        <f>IF(SUMPRODUCT(ISNUMBER('Advanced 0-10'!R46:S46)*'Advanced Entry'!R$9:S$9)=0,"",ROUND(SUMPRODUCT(IFERROR('Advanced 0-10'!R46:S46*1,0)*'Advanced Entry'!R$9:S$9)/SUMPRODUCT(ISNUMBER('Advanced 0-10'!R46:S46)*'Advanced Entry'!R$9:S$9),1))</f>
        <v/>
      </c>
      <c r="H46" s="7">
        <f>IF(SUMPRODUCT(ISNUMBER('Advanced 0-10'!T46:U46)*'Advanced Entry'!T$9:U$9)=0,"",ROUND(SUMPRODUCT(IFERROR('Advanced 0-10'!T46:U46*1,0)*'Advanced Entry'!T$9:U$9)/SUMPRODUCT(ISNUMBER('Advanced 0-10'!T46:U46)*'Advanced Entry'!T$9:U$9),1))</f>
        <v/>
      </c>
      <c r="I46" s="7">
        <f>IF(SUMPRODUCT(ISNUMBER('Advanced 0-10'!V46:Z46)*'Advanced Entry'!V$9:Z$9)=0,"",ROUND(SUMPRODUCT(IFERROR('Advanced 0-10'!V46:Z46*1,0)*'Advanced Entry'!V$9:Z$9)/SUMPRODUCT(ISNUMBER('Advanced 0-10'!V46:Z46)*'Advanced Entry'!V$9:Z$9),1))</f>
        <v/>
      </c>
      <c r="J46" s="7">
        <f>IF(SUMPRODUCT(ISNUMBER('Advanced 0-10'!AA46:AA46)*'Advanced Entry'!AA$9:AA$9)=0,"",ROUND(SUMPRODUCT(IFERROR('Advanced 0-10'!AA46:AA46*1,0)*'Advanced Entry'!AA$9:AA$9)/SUMPRODUCT(ISNUMBER('Advanced 0-10'!AA46:AA46)*'Advanced Entry'!AA$9:AA$9),1))</f>
        <v/>
      </c>
      <c r="K46" s="7">
        <f>IF(SUMPRODUCT(ISNUMBER('Advanced 0-10'!AB46:AB46)*'Advanced Entry'!AB$9:AB$9)=0,"",ROUND(SUMPRODUCT(IFERROR('Advanced 0-10'!AB46:AB46*1,0)*'Advanced Entry'!AB$9:AB$9)/SUMPRODUCT(ISNUMBER('Advanced 0-10'!AB46:AB46)*'Advanced Entry'!AB$9:AB$9),1))</f>
        <v/>
      </c>
      <c r="L46" s="19">
        <f>IF(SUMPRODUCT(--ISNUMBER(D46:K46))=0,"",ROUND(SUMPRODUCT(IFERROR(D46:K46*1,0))/SUMPRODUCT(--ISNUMBER(D46:K46)),1))</f>
        <v/>
      </c>
    </row>
    <row r="47">
      <c r="A47" t="inlineStr">
        <is>
          <t>Kagera</t>
        </is>
      </c>
      <c r="B47" t="inlineStr">
        <is>
          <t>Missenyi District</t>
        </is>
      </c>
      <c r="C47" t="inlineStr">
        <is>
          <t>C132</t>
        </is>
      </c>
      <c r="D47" s="7">
        <f>IF(SUMPRODUCT(ISNUMBER('Advanced 0-10'!D47:J47)*'Advanced Entry'!D$9:J$9)=0,"",ROUND(SUMPRODUCT(IFERROR('Advanced 0-10'!D47:J47*1,0)*'Advanced Entry'!D$9:J$9)/SUMPRODUCT(ISNUMBER('Advanced 0-10'!D47:J47)*'Advanced Entry'!D$9:J$9),1))</f>
        <v/>
      </c>
      <c r="E47" s="7">
        <f>IF(SUMPRODUCT(ISNUMBER('Advanced 0-10'!K47:O47)*'Advanced Entry'!K$9:O$9)=0,"",ROUND(SUMPRODUCT(IFERROR('Advanced 0-10'!K47:O47*1,0)*'Advanced Entry'!K$9:O$9)/SUMPRODUCT(ISNUMBER('Advanced 0-10'!K47:O47)*'Advanced Entry'!K$9:O$9),1))</f>
        <v/>
      </c>
      <c r="F47" s="7">
        <f>IF(SUMPRODUCT(ISNUMBER('Advanced 0-10'!P47:Q47)*'Advanced Entry'!P$9:Q$9)=0,"",ROUND(SUMPRODUCT(IFERROR('Advanced 0-10'!P47:Q47*1,0)*'Advanced Entry'!P$9:Q$9)/SUMPRODUCT(ISNUMBER('Advanced 0-10'!P47:Q47)*'Advanced Entry'!P$9:Q$9),1))</f>
        <v/>
      </c>
      <c r="G47" s="7">
        <f>IF(SUMPRODUCT(ISNUMBER('Advanced 0-10'!R47:S47)*'Advanced Entry'!R$9:S$9)=0,"",ROUND(SUMPRODUCT(IFERROR('Advanced 0-10'!R47:S47*1,0)*'Advanced Entry'!R$9:S$9)/SUMPRODUCT(ISNUMBER('Advanced 0-10'!R47:S47)*'Advanced Entry'!R$9:S$9),1))</f>
        <v/>
      </c>
      <c r="H47" s="7">
        <f>IF(SUMPRODUCT(ISNUMBER('Advanced 0-10'!T47:U47)*'Advanced Entry'!T$9:U$9)=0,"",ROUND(SUMPRODUCT(IFERROR('Advanced 0-10'!T47:U47*1,0)*'Advanced Entry'!T$9:U$9)/SUMPRODUCT(ISNUMBER('Advanced 0-10'!T47:U47)*'Advanced Entry'!T$9:U$9),1))</f>
        <v/>
      </c>
      <c r="I47" s="7">
        <f>IF(SUMPRODUCT(ISNUMBER('Advanced 0-10'!V47:Z47)*'Advanced Entry'!V$9:Z$9)=0,"",ROUND(SUMPRODUCT(IFERROR('Advanced 0-10'!V47:Z47*1,0)*'Advanced Entry'!V$9:Z$9)/SUMPRODUCT(ISNUMBER('Advanced 0-10'!V47:Z47)*'Advanced Entry'!V$9:Z$9),1))</f>
        <v/>
      </c>
      <c r="J47" s="7">
        <f>IF(SUMPRODUCT(ISNUMBER('Advanced 0-10'!AA47:AA47)*'Advanced Entry'!AA$9:AA$9)=0,"",ROUND(SUMPRODUCT(IFERROR('Advanced 0-10'!AA47:AA47*1,0)*'Advanced Entry'!AA$9:AA$9)/SUMPRODUCT(ISNUMBER('Advanced 0-10'!AA47:AA47)*'Advanced Entry'!AA$9:AA$9),1))</f>
        <v/>
      </c>
      <c r="K47" s="7">
        <f>IF(SUMPRODUCT(ISNUMBER('Advanced 0-10'!AB47:AB47)*'Advanced Entry'!AB$9:AB$9)=0,"",ROUND(SUMPRODUCT(IFERROR('Advanced 0-10'!AB47:AB47*1,0)*'Advanced Entry'!AB$9:AB$9)/SUMPRODUCT(ISNUMBER('Advanced 0-10'!AB47:AB47)*'Advanced Entry'!AB$9:AB$9),1))</f>
        <v/>
      </c>
      <c r="L47" s="19">
        <f>IF(SUMPRODUCT(--ISNUMBER(D47:K47))=0,"",ROUND(SUMPRODUCT(IFERROR(D47:K47*1,0))/SUMPRODUCT(--ISNUMBER(D47:K47)),1))</f>
        <v/>
      </c>
    </row>
    <row r="48">
      <c r="A48" t="inlineStr">
        <is>
          <t>Kagera</t>
        </is>
      </c>
      <c r="B48" t="inlineStr">
        <is>
          <t>Muleba District</t>
        </is>
      </c>
      <c r="C48" t="inlineStr">
        <is>
          <t>C128</t>
        </is>
      </c>
      <c r="D48" s="7">
        <f>IF(SUMPRODUCT(ISNUMBER('Advanced 0-10'!D48:J48)*'Advanced Entry'!D$9:J$9)=0,"",ROUND(SUMPRODUCT(IFERROR('Advanced 0-10'!D48:J48*1,0)*'Advanced Entry'!D$9:J$9)/SUMPRODUCT(ISNUMBER('Advanced 0-10'!D48:J48)*'Advanced Entry'!D$9:J$9),1))</f>
        <v/>
      </c>
      <c r="E48" s="7">
        <f>IF(SUMPRODUCT(ISNUMBER('Advanced 0-10'!K48:O48)*'Advanced Entry'!K$9:O$9)=0,"",ROUND(SUMPRODUCT(IFERROR('Advanced 0-10'!K48:O48*1,0)*'Advanced Entry'!K$9:O$9)/SUMPRODUCT(ISNUMBER('Advanced 0-10'!K48:O48)*'Advanced Entry'!K$9:O$9),1))</f>
        <v/>
      </c>
      <c r="F48" s="7">
        <f>IF(SUMPRODUCT(ISNUMBER('Advanced 0-10'!P48:Q48)*'Advanced Entry'!P$9:Q$9)=0,"",ROUND(SUMPRODUCT(IFERROR('Advanced 0-10'!P48:Q48*1,0)*'Advanced Entry'!P$9:Q$9)/SUMPRODUCT(ISNUMBER('Advanced 0-10'!P48:Q48)*'Advanced Entry'!P$9:Q$9),1))</f>
        <v/>
      </c>
      <c r="G48" s="7">
        <f>IF(SUMPRODUCT(ISNUMBER('Advanced 0-10'!R48:S48)*'Advanced Entry'!R$9:S$9)=0,"",ROUND(SUMPRODUCT(IFERROR('Advanced 0-10'!R48:S48*1,0)*'Advanced Entry'!R$9:S$9)/SUMPRODUCT(ISNUMBER('Advanced 0-10'!R48:S48)*'Advanced Entry'!R$9:S$9),1))</f>
        <v/>
      </c>
      <c r="H48" s="7">
        <f>IF(SUMPRODUCT(ISNUMBER('Advanced 0-10'!T48:U48)*'Advanced Entry'!T$9:U$9)=0,"",ROUND(SUMPRODUCT(IFERROR('Advanced 0-10'!T48:U48*1,0)*'Advanced Entry'!T$9:U$9)/SUMPRODUCT(ISNUMBER('Advanced 0-10'!T48:U48)*'Advanced Entry'!T$9:U$9),1))</f>
        <v/>
      </c>
      <c r="I48" s="7">
        <f>IF(SUMPRODUCT(ISNUMBER('Advanced 0-10'!V48:Z48)*'Advanced Entry'!V$9:Z$9)=0,"",ROUND(SUMPRODUCT(IFERROR('Advanced 0-10'!V48:Z48*1,0)*'Advanced Entry'!V$9:Z$9)/SUMPRODUCT(ISNUMBER('Advanced 0-10'!V48:Z48)*'Advanced Entry'!V$9:Z$9),1))</f>
        <v/>
      </c>
      <c r="J48" s="7">
        <f>IF(SUMPRODUCT(ISNUMBER('Advanced 0-10'!AA48:AA48)*'Advanced Entry'!AA$9:AA$9)=0,"",ROUND(SUMPRODUCT(IFERROR('Advanced 0-10'!AA48:AA48*1,0)*'Advanced Entry'!AA$9:AA$9)/SUMPRODUCT(ISNUMBER('Advanced 0-10'!AA48:AA48)*'Advanced Entry'!AA$9:AA$9),1))</f>
        <v/>
      </c>
      <c r="K48" s="7">
        <f>IF(SUMPRODUCT(ISNUMBER('Advanced 0-10'!AB48:AB48)*'Advanced Entry'!AB$9:AB$9)=0,"",ROUND(SUMPRODUCT(IFERROR('Advanced 0-10'!AB48:AB48*1,0)*'Advanced Entry'!AB$9:AB$9)/SUMPRODUCT(ISNUMBER('Advanced 0-10'!AB48:AB48)*'Advanced Entry'!AB$9:AB$9),1))</f>
        <v/>
      </c>
      <c r="L48" s="19">
        <f>IF(SUMPRODUCT(--ISNUMBER(D48:K48))=0,"",ROUND(SUMPRODUCT(IFERROR(D48:K48*1,0))/SUMPRODUCT(--ISNUMBER(D48:K48)),1))</f>
        <v/>
      </c>
    </row>
    <row r="49">
      <c r="A49" t="inlineStr">
        <is>
          <t>Kagera</t>
        </is>
      </c>
      <c r="B49" t="inlineStr">
        <is>
          <t>Ngara District</t>
        </is>
      </c>
      <c r="C49" t="inlineStr">
        <is>
          <t>C130</t>
        </is>
      </c>
      <c r="D49" s="7">
        <f>IF(SUMPRODUCT(ISNUMBER('Advanced 0-10'!D49:J49)*'Advanced Entry'!D$9:J$9)=0,"",ROUND(SUMPRODUCT(IFERROR('Advanced 0-10'!D49:J49*1,0)*'Advanced Entry'!D$9:J$9)/SUMPRODUCT(ISNUMBER('Advanced 0-10'!D49:J49)*'Advanced Entry'!D$9:J$9),1))</f>
        <v/>
      </c>
      <c r="E49" s="7">
        <f>IF(SUMPRODUCT(ISNUMBER('Advanced 0-10'!K49:O49)*'Advanced Entry'!K$9:O$9)=0,"",ROUND(SUMPRODUCT(IFERROR('Advanced 0-10'!K49:O49*1,0)*'Advanced Entry'!K$9:O$9)/SUMPRODUCT(ISNUMBER('Advanced 0-10'!K49:O49)*'Advanced Entry'!K$9:O$9),1))</f>
        <v/>
      </c>
      <c r="F49" s="7">
        <f>IF(SUMPRODUCT(ISNUMBER('Advanced 0-10'!P49:Q49)*'Advanced Entry'!P$9:Q$9)=0,"",ROUND(SUMPRODUCT(IFERROR('Advanced 0-10'!P49:Q49*1,0)*'Advanced Entry'!P$9:Q$9)/SUMPRODUCT(ISNUMBER('Advanced 0-10'!P49:Q49)*'Advanced Entry'!P$9:Q$9),1))</f>
        <v/>
      </c>
      <c r="G49" s="7">
        <f>IF(SUMPRODUCT(ISNUMBER('Advanced 0-10'!R49:S49)*'Advanced Entry'!R$9:S$9)=0,"",ROUND(SUMPRODUCT(IFERROR('Advanced 0-10'!R49:S49*1,0)*'Advanced Entry'!R$9:S$9)/SUMPRODUCT(ISNUMBER('Advanced 0-10'!R49:S49)*'Advanced Entry'!R$9:S$9),1))</f>
        <v/>
      </c>
      <c r="H49" s="7">
        <f>IF(SUMPRODUCT(ISNUMBER('Advanced 0-10'!T49:U49)*'Advanced Entry'!T$9:U$9)=0,"",ROUND(SUMPRODUCT(IFERROR('Advanced 0-10'!T49:U49*1,0)*'Advanced Entry'!T$9:U$9)/SUMPRODUCT(ISNUMBER('Advanced 0-10'!T49:U49)*'Advanced Entry'!T$9:U$9),1))</f>
        <v/>
      </c>
      <c r="I49" s="7">
        <f>IF(SUMPRODUCT(ISNUMBER('Advanced 0-10'!V49:Z49)*'Advanced Entry'!V$9:Z$9)=0,"",ROUND(SUMPRODUCT(IFERROR('Advanced 0-10'!V49:Z49*1,0)*'Advanced Entry'!V$9:Z$9)/SUMPRODUCT(ISNUMBER('Advanced 0-10'!V49:Z49)*'Advanced Entry'!V$9:Z$9),1))</f>
        <v/>
      </c>
      <c r="J49" s="7">
        <f>IF(SUMPRODUCT(ISNUMBER('Advanced 0-10'!AA49:AA49)*'Advanced Entry'!AA$9:AA$9)=0,"",ROUND(SUMPRODUCT(IFERROR('Advanced 0-10'!AA49:AA49*1,0)*'Advanced Entry'!AA$9:AA$9)/SUMPRODUCT(ISNUMBER('Advanced 0-10'!AA49:AA49)*'Advanced Entry'!AA$9:AA$9),1))</f>
        <v/>
      </c>
      <c r="K49" s="7">
        <f>IF(SUMPRODUCT(ISNUMBER('Advanced 0-10'!AB49:AB49)*'Advanced Entry'!AB$9:AB$9)=0,"",ROUND(SUMPRODUCT(IFERROR('Advanced 0-10'!AB49:AB49*1,0)*'Advanced Entry'!AB$9:AB$9)/SUMPRODUCT(ISNUMBER('Advanced 0-10'!AB49:AB49)*'Advanced Entry'!AB$9:AB$9),1))</f>
        <v/>
      </c>
      <c r="L49" s="19">
        <f>IF(SUMPRODUCT(--ISNUMBER(D49:K49))=0,"",ROUND(SUMPRODUCT(IFERROR(D49:K49*1,0))/SUMPRODUCT(--ISNUMBER(D49:K49)),1))</f>
        <v/>
      </c>
    </row>
    <row r="50">
      <c r="A50" t="inlineStr">
        <is>
          <t>Kaskazini Pemba</t>
        </is>
      </c>
      <c r="B50" t="inlineStr">
        <is>
          <t>Micheweni District</t>
        </is>
      </c>
      <c r="C50" t="inlineStr">
        <is>
          <t>C193</t>
        </is>
      </c>
      <c r="D50" s="7">
        <f>IF(SUMPRODUCT(ISNUMBER('Advanced 0-10'!D50:J50)*'Advanced Entry'!D$9:J$9)=0,"",ROUND(SUMPRODUCT(IFERROR('Advanced 0-10'!D50:J50*1,0)*'Advanced Entry'!D$9:J$9)/SUMPRODUCT(ISNUMBER('Advanced 0-10'!D50:J50)*'Advanced Entry'!D$9:J$9),1))</f>
        <v/>
      </c>
      <c r="E50" s="7">
        <f>IF(SUMPRODUCT(ISNUMBER('Advanced 0-10'!K50:O50)*'Advanced Entry'!K$9:O$9)=0,"",ROUND(SUMPRODUCT(IFERROR('Advanced 0-10'!K50:O50*1,0)*'Advanced Entry'!K$9:O$9)/SUMPRODUCT(ISNUMBER('Advanced 0-10'!K50:O50)*'Advanced Entry'!K$9:O$9),1))</f>
        <v/>
      </c>
      <c r="F50" s="7">
        <f>IF(SUMPRODUCT(ISNUMBER('Advanced 0-10'!P50:Q50)*'Advanced Entry'!P$9:Q$9)=0,"",ROUND(SUMPRODUCT(IFERROR('Advanced 0-10'!P50:Q50*1,0)*'Advanced Entry'!P$9:Q$9)/SUMPRODUCT(ISNUMBER('Advanced 0-10'!P50:Q50)*'Advanced Entry'!P$9:Q$9),1))</f>
        <v/>
      </c>
      <c r="G50" s="7">
        <f>IF(SUMPRODUCT(ISNUMBER('Advanced 0-10'!R50:S50)*'Advanced Entry'!R$9:S$9)=0,"",ROUND(SUMPRODUCT(IFERROR('Advanced 0-10'!R50:S50*1,0)*'Advanced Entry'!R$9:S$9)/SUMPRODUCT(ISNUMBER('Advanced 0-10'!R50:S50)*'Advanced Entry'!R$9:S$9),1))</f>
        <v/>
      </c>
      <c r="H50" s="7">
        <f>IF(SUMPRODUCT(ISNUMBER('Advanced 0-10'!T50:U50)*'Advanced Entry'!T$9:U$9)=0,"",ROUND(SUMPRODUCT(IFERROR('Advanced 0-10'!T50:U50*1,0)*'Advanced Entry'!T$9:U$9)/SUMPRODUCT(ISNUMBER('Advanced 0-10'!T50:U50)*'Advanced Entry'!T$9:U$9),1))</f>
        <v/>
      </c>
      <c r="I50" s="7">
        <f>IF(SUMPRODUCT(ISNUMBER('Advanced 0-10'!V50:Z50)*'Advanced Entry'!V$9:Z$9)=0,"",ROUND(SUMPRODUCT(IFERROR('Advanced 0-10'!V50:Z50*1,0)*'Advanced Entry'!V$9:Z$9)/SUMPRODUCT(ISNUMBER('Advanced 0-10'!V50:Z50)*'Advanced Entry'!V$9:Z$9),1))</f>
        <v/>
      </c>
      <c r="J50" s="7">
        <f>IF(SUMPRODUCT(ISNUMBER('Advanced 0-10'!AA50:AA50)*'Advanced Entry'!AA$9:AA$9)=0,"",ROUND(SUMPRODUCT(IFERROR('Advanced 0-10'!AA50:AA50*1,0)*'Advanced Entry'!AA$9:AA$9)/SUMPRODUCT(ISNUMBER('Advanced 0-10'!AA50:AA50)*'Advanced Entry'!AA$9:AA$9),1))</f>
        <v/>
      </c>
      <c r="K50" s="7">
        <f>IF(SUMPRODUCT(ISNUMBER('Advanced 0-10'!AB50:AB50)*'Advanced Entry'!AB$9:AB$9)=0,"",ROUND(SUMPRODUCT(IFERROR('Advanced 0-10'!AB50:AB50*1,0)*'Advanced Entry'!AB$9:AB$9)/SUMPRODUCT(ISNUMBER('Advanced 0-10'!AB50:AB50)*'Advanced Entry'!AB$9:AB$9),1))</f>
        <v/>
      </c>
      <c r="L50" s="19">
        <f>IF(SUMPRODUCT(--ISNUMBER(D50:K50))=0,"",ROUND(SUMPRODUCT(IFERROR(D50:K50*1,0))/SUMPRODUCT(--ISNUMBER(D50:K50)),1))</f>
        <v/>
      </c>
    </row>
    <row r="51">
      <c r="A51" t="inlineStr">
        <is>
          <t>Kaskazini Pemba</t>
        </is>
      </c>
      <c r="B51" t="inlineStr">
        <is>
          <t>Wete Town</t>
        </is>
      </c>
      <c r="C51" t="inlineStr">
        <is>
          <t>C192</t>
        </is>
      </c>
      <c r="D51" s="7">
        <f>IF(SUMPRODUCT(ISNUMBER('Advanced 0-10'!D51:J51)*'Advanced Entry'!D$9:J$9)=0,"",ROUND(SUMPRODUCT(IFERROR('Advanced 0-10'!D51:J51*1,0)*'Advanced Entry'!D$9:J$9)/SUMPRODUCT(ISNUMBER('Advanced 0-10'!D51:J51)*'Advanced Entry'!D$9:J$9),1))</f>
        <v/>
      </c>
      <c r="E51" s="7">
        <f>IF(SUMPRODUCT(ISNUMBER('Advanced 0-10'!K51:O51)*'Advanced Entry'!K$9:O$9)=0,"",ROUND(SUMPRODUCT(IFERROR('Advanced 0-10'!K51:O51*1,0)*'Advanced Entry'!K$9:O$9)/SUMPRODUCT(ISNUMBER('Advanced 0-10'!K51:O51)*'Advanced Entry'!K$9:O$9),1))</f>
        <v/>
      </c>
      <c r="F51" s="7">
        <f>IF(SUMPRODUCT(ISNUMBER('Advanced 0-10'!P51:Q51)*'Advanced Entry'!P$9:Q$9)=0,"",ROUND(SUMPRODUCT(IFERROR('Advanced 0-10'!P51:Q51*1,0)*'Advanced Entry'!P$9:Q$9)/SUMPRODUCT(ISNUMBER('Advanced 0-10'!P51:Q51)*'Advanced Entry'!P$9:Q$9),1))</f>
        <v/>
      </c>
      <c r="G51" s="7">
        <f>IF(SUMPRODUCT(ISNUMBER('Advanced 0-10'!R51:S51)*'Advanced Entry'!R$9:S$9)=0,"",ROUND(SUMPRODUCT(IFERROR('Advanced 0-10'!R51:S51*1,0)*'Advanced Entry'!R$9:S$9)/SUMPRODUCT(ISNUMBER('Advanced 0-10'!R51:S51)*'Advanced Entry'!R$9:S$9),1))</f>
        <v/>
      </c>
      <c r="H51" s="7">
        <f>IF(SUMPRODUCT(ISNUMBER('Advanced 0-10'!T51:U51)*'Advanced Entry'!T$9:U$9)=0,"",ROUND(SUMPRODUCT(IFERROR('Advanced 0-10'!T51:U51*1,0)*'Advanced Entry'!T$9:U$9)/SUMPRODUCT(ISNUMBER('Advanced 0-10'!T51:U51)*'Advanced Entry'!T$9:U$9),1))</f>
        <v/>
      </c>
      <c r="I51" s="7">
        <f>IF(SUMPRODUCT(ISNUMBER('Advanced 0-10'!V51:Z51)*'Advanced Entry'!V$9:Z$9)=0,"",ROUND(SUMPRODUCT(IFERROR('Advanced 0-10'!V51:Z51*1,0)*'Advanced Entry'!V$9:Z$9)/SUMPRODUCT(ISNUMBER('Advanced 0-10'!V51:Z51)*'Advanced Entry'!V$9:Z$9),1))</f>
        <v/>
      </c>
      <c r="J51" s="7">
        <f>IF(SUMPRODUCT(ISNUMBER('Advanced 0-10'!AA51:AA51)*'Advanced Entry'!AA$9:AA$9)=0,"",ROUND(SUMPRODUCT(IFERROR('Advanced 0-10'!AA51:AA51*1,0)*'Advanced Entry'!AA$9:AA$9)/SUMPRODUCT(ISNUMBER('Advanced 0-10'!AA51:AA51)*'Advanced Entry'!AA$9:AA$9),1))</f>
        <v/>
      </c>
      <c r="K51" s="7">
        <f>IF(SUMPRODUCT(ISNUMBER('Advanced 0-10'!AB51:AB51)*'Advanced Entry'!AB$9:AB$9)=0,"",ROUND(SUMPRODUCT(IFERROR('Advanced 0-10'!AB51:AB51*1,0)*'Advanced Entry'!AB$9:AB$9)/SUMPRODUCT(ISNUMBER('Advanced 0-10'!AB51:AB51)*'Advanced Entry'!AB$9:AB$9),1))</f>
        <v/>
      </c>
      <c r="L51" s="19">
        <f>IF(SUMPRODUCT(--ISNUMBER(D51:K51))=0,"",ROUND(SUMPRODUCT(IFERROR(D51:K51*1,0))/SUMPRODUCT(--ISNUMBER(D51:K51)),1))</f>
        <v/>
      </c>
    </row>
    <row r="52">
      <c r="A52" t="inlineStr">
        <is>
          <t>Kaskazini Unguja</t>
        </is>
      </c>
      <c r="B52" t="inlineStr">
        <is>
          <t>Kaskazini A Town</t>
        </is>
      </c>
      <c r="C52" t="inlineStr">
        <is>
          <t>C185</t>
        </is>
      </c>
      <c r="D52" s="7">
        <f>IF(SUMPRODUCT(ISNUMBER('Advanced 0-10'!D52:J52)*'Advanced Entry'!D$9:J$9)=0,"",ROUND(SUMPRODUCT(IFERROR('Advanced 0-10'!D52:J52*1,0)*'Advanced Entry'!D$9:J$9)/SUMPRODUCT(ISNUMBER('Advanced 0-10'!D52:J52)*'Advanced Entry'!D$9:J$9),1))</f>
        <v/>
      </c>
      <c r="E52" s="7">
        <f>IF(SUMPRODUCT(ISNUMBER('Advanced 0-10'!K52:O52)*'Advanced Entry'!K$9:O$9)=0,"",ROUND(SUMPRODUCT(IFERROR('Advanced 0-10'!K52:O52*1,0)*'Advanced Entry'!K$9:O$9)/SUMPRODUCT(ISNUMBER('Advanced 0-10'!K52:O52)*'Advanced Entry'!K$9:O$9),1))</f>
        <v/>
      </c>
      <c r="F52" s="7">
        <f>IF(SUMPRODUCT(ISNUMBER('Advanced 0-10'!P52:Q52)*'Advanced Entry'!P$9:Q$9)=0,"",ROUND(SUMPRODUCT(IFERROR('Advanced 0-10'!P52:Q52*1,0)*'Advanced Entry'!P$9:Q$9)/SUMPRODUCT(ISNUMBER('Advanced 0-10'!P52:Q52)*'Advanced Entry'!P$9:Q$9),1))</f>
        <v/>
      </c>
      <c r="G52" s="7">
        <f>IF(SUMPRODUCT(ISNUMBER('Advanced 0-10'!R52:S52)*'Advanced Entry'!R$9:S$9)=0,"",ROUND(SUMPRODUCT(IFERROR('Advanced 0-10'!R52:S52*1,0)*'Advanced Entry'!R$9:S$9)/SUMPRODUCT(ISNUMBER('Advanced 0-10'!R52:S52)*'Advanced Entry'!R$9:S$9),1))</f>
        <v/>
      </c>
      <c r="H52" s="7">
        <f>IF(SUMPRODUCT(ISNUMBER('Advanced 0-10'!T52:U52)*'Advanced Entry'!T$9:U$9)=0,"",ROUND(SUMPRODUCT(IFERROR('Advanced 0-10'!T52:U52*1,0)*'Advanced Entry'!T$9:U$9)/SUMPRODUCT(ISNUMBER('Advanced 0-10'!T52:U52)*'Advanced Entry'!T$9:U$9),1))</f>
        <v/>
      </c>
      <c r="I52" s="7">
        <f>IF(SUMPRODUCT(ISNUMBER('Advanced 0-10'!V52:Z52)*'Advanced Entry'!V$9:Z$9)=0,"",ROUND(SUMPRODUCT(IFERROR('Advanced 0-10'!V52:Z52*1,0)*'Advanced Entry'!V$9:Z$9)/SUMPRODUCT(ISNUMBER('Advanced 0-10'!V52:Z52)*'Advanced Entry'!V$9:Z$9),1))</f>
        <v/>
      </c>
      <c r="J52" s="7">
        <f>IF(SUMPRODUCT(ISNUMBER('Advanced 0-10'!AA52:AA52)*'Advanced Entry'!AA$9:AA$9)=0,"",ROUND(SUMPRODUCT(IFERROR('Advanced 0-10'!AA52:AA52*1,0)*'Advanced Entry'!AA$9:AA$9)/SUMPRODUCT(ISNUMBER('Advanced 0-10'!AA52:AA52)*'Advanced Entry'!AA$9:AA$9),1))</f>
        <v/>
      </c>
      <c r="K52" s="7">
        <f>IF(SUMPRODUCT(ISNUMBER('Advanced 0-10'!AB52:AB52)*'Advanced Entry'!AB$9:AB$9)=0,"",ROUND(SUMPRODUCT(IFERROR('Advanced 0-10'!AB52:AB52*1,0)*'Advanced Entry'!AB$9:AB$9)/SUMPRODUCT(ISNUMBER('Advanced 0-10'!AB52:AB52)*'Advanced Entry'!AB$9:AB$9),1))</f>
        <v/>
      </c>
      <c r="L52" s="19">
        <f>IF(SUMPRODUCT(--ISNUMBER(D52:K52))=0,"",ROUND(SUMPRODUCT(IFERROR(D52:K52*1,0))/SUMPRODUCT(--ISNUMBER(D52:K52)),1))</f>
        <v/>
      </c>
    </row>
    <row r="53">
      <c r="A53" t="inlineStr">
        <is>
          <t>Kaskazini Unguja</t>
        </is>
      </c>
      <c r="B53" t="inlineStr">
        <is>
          <t>Kaskazini B Town</t>
        </is>
      </c>
      <c r="C53" t="inlineStr">
        <is>
          <t>C186</t>
        </is>
      </c>
      <c r="D53" s="7">
        <f>IF(SUMPRODUCT(ISNUMBER('Advanced 0-10'!D53:J53)*'Advanced Entry'!D$9:J$9)=0,"",ROUND(SUMPRODUCT(IFERROR('Advanced 0-10'!D53:J53*1,0)*'Advanced Entry'!D$9:J$9)/SUMPRODUCT(ISNUMBER('Advanced 0-10'!D53:J53)*'Advanced Entry'!D$9:J$9),1))</f>
        <v/>
      </c>
      <c r="E53" s="7">
        <f>IF(SUMPRODUCT(ISNUMBER('Advanced 0-10'!K53:O53)*'Advanced Entry'!K$9:O$9)=0,"",ROUND(SUMPRODUCT(IFERROR('Advanced 0-10'!K53:O53*1,0)*'Advanced Entry'!K$9:O$9)/SUMPRODUCT(ISNUMBER('Advanced 0-10'!K53:O53)*'Advanced Entry'!K$9:O$9),1))</f>
        <v/>
      </c>
      <c r="F53" s="7">
        <f>IF(SUMPRODUCT(ISNUMBER('Advanced 0-10'!P53:Q53)*'Advanced Entry'!P$9:Q$9)=0,"",ROUND(SUMPRODUCT(IFERROR('Advanced 0-10'!P53:Q53*1,0)*'Advanced Entry'!P$9:Q$9)/SUMPRODUCT(ISNUMBER('Advanced 0-10'!P53:Q53)*'Advanced Entry'!P$9:Q$9),1))</f>
        <v/>
      </c>
      <c r="G53" s="7">
        <f>IF(SUMPRODUCT(ISNUMBER('Advanced 0-10'!R53:S53)*'Advanced Entry'!R$9:S$9)=0,"",ROUND(SUMPRODUCT(IFERROR('Advanced 0-10'!R53:S53*1,0)*'Advanced Entry'!R$9:S$9)/SUMPRODUCT(ISNUMBER('Advanced 0-10'!R53:S53)*'Advanced Entry'!R$9:S$9),1))</f>
        <v/>
      </c>
      <c r="H53" s="7">
        <f>IF(SUMPRODUCT(ISNUMBER('Advanced 0-10'!T53:U53)*'Advanced Entry'!T$9:U$9)=0,"",ROUND(SUMPRODUCT(IFERROR('Advanced 0-10'!T53:U53*1,0)*'Advanced Entry'!T$9:U$9)/SUMPRODUCT(ISNUMBER('Advanced 0-10'!T53:U53)*'Advanced Entry'!T$9:U$9),1))</f>
        <v/>
      </c>
      <c r="I53" s="7">
        <f>IF(SUMPRODUCT(ISNUMBER('Advanced 0-10'!V53:Z53)*'Advanced Entry'!V$9:Z$9)=0,"",ROUND(SUMPRODUCT(IFERROR('Advanced 0-10'!V53:Z53*1,0)*'Advanced Entry'!V$9:Z$9)/SUMPRODUCT(ISNUMBER('Advanced 0-10'!V53:Z53)*'Advanced Entry'!V$9:Z$9),1))</f>
        <v/>
      </c>
      <c r="J53" s="7">
        <f>IF(SUMPRODUCT(ISNUMBER('Advanced 0-10'!AA53:AA53)*'Advanced Entry'!AA$9:AA$9)=0,"",ROUND(SUMPRODUCT(IFERROR('Advanced 0-10'!AA53:AA53*1,0)*'Advanced Entry'!AA$9:AA$9)/SUMPRODUCT(ISNUMBER('Advanced 0-10'!AA53:AA53)*'Advanced Entry'!AA$9:AA$9),1))</f>
        <v/>
      </c>
      <c r="K53" s="7">
        <f>IF(SUMPRODUCT(ISNUMBER('Advanced 0-10'!AB53:AB53)*'Advanced Entry'!AB$9:AB$9)=0,"",ROUND(SUMPRODUCT(IFERROR('Advanced 0-10'!AB53:AB53*1,0)*'Advanced Entry'!AB$9:AB$9)/SUMPRODUCT(ISNUMBER('Advanced 0-10'!AB53:AB53)*'Advanced Entry'!AB$9:AB$9),1))</f>
        <v/>
      </c>
      <c r="L53" s="19">
        <f>IF(SUMPRODUCT(--ISNUMBER(D53:K53))=0,"",ROUND(SUMPRODUCT(IFERROR(D53:K53*1,0))/SUMPRODUCT(--ISNUMBER(D53:K53)),1))</f>
        <v/>
      </c>
    </row>
    <row r="54">
      <c r="A54" t="inlineStr">
        <is>
          <t>Katavi</t>
        </is>
      </c>
      <c r="B54" t="inlineStr">
        <is>
          <t>Mlele District</t>
        </is>
      </c>
      <c r="C54" t="inlineStr">
        <is>
          <t>C166</t>
        </is>
      </c>
      <c r="D54" s="7">
        <f>IF(SUMPRODUCT(ISNUMBER('Advanced 0-10'!D54:J54)*'Advanced Entry'!D$9:J$9)=0,"",ROUND(SUMPRODUCT(IFERROR('Advanced 0-10'!D54:J54*1,0)*'Advanced Entry'!D$9:J$9)/SUMPRODUCT(ISNUMBER('Advanced 0-10'!D54:J54)*'Advanced Entry'!D$9:J$9),1))</f>
        <v/>
      </c>
      <c r="E54" s="7">
        <f>IF(SUMPRODUCT(ISNUMBER('Advanced 0-10'!K54:O54)*'Advanced Entry'!K$9:O$9)=0,"",ROUND(SUMPRODUCT(IFERROR('Advanced 0-10'!K54:O54*1,0)*'Advanced Entry'!K$9:O$9)/SUMPRODUCT(ISNUMBER('Advanced 0-10'!K54:O54)*'Advanced Entry'!K$9:O$9),1))</f>
        <v/>
      </c>
      <c r="F54" s="7">
        <f>IF(SUMPRODUCT(ISNUMBER('Advanced 0-10'!P54:Q54)*'Advanced Entry'!P$9:Q$9)=0,"",ROUND(SUMPRODUCT(IFERROR('Advanced 0-10'!P54:Q54*1,0)*'Advanced Entry'!P$9:Q$9)/SUMPRODUCT(ISNUMBER('Advanced 0-10'!P54:Q54)*'Advanced Entry'!P$9:Q$9),1))</f>
        <v/>
      </c>
      <c r="G54" s="7">
        <f>IF(SUMPRODUCT(ISNUMBER('Advanced 0-10'!R54:S54)*'Advanced Entry'!R$9:S$9)=0,"",ROUND(SUMPRODUCT(IFERROR('Advanced 0-10'!R54:S54*1,0)*'Advanced Entry'!R$9:S$9)/SUMPRODUCT(ISNUMBER('Advanced 0-10'!R54:S54)*'Advanced Entry'!R$9:S$9),1))</f>
        <v/>
      </c>
      <c r="H54" s="7">
        <f>IF(SUMPRODUCT(ISNUMBER('Advanced 0-10'!T54:U54)*'Advanced Entry'!T$9:U$9)=0,"",ROUND(SUMPRODUCT(IFERROR('Advanced 0-10'!T54:U54*1,0)*'Advanced Entry'!T$9:U$9)/SUMPRODUCT(ISNUMBER('Advanced 0-10'!T54:U54)*'Advanced Entry'!T$9:U$9),1))</f>
        <v/>
      </c>
      <c r="I54" s="7">
        <f>IF(SUMPRODUCT(ISNUMBER('Advanced 0-10'!V54:Z54)*'Advanced Entry'!V$9:Z$9)=0,"",ROUND(SUMPRODUCT(IFERROR('Advanced 0-10'!V54:Z54*1,0)*'Advanced Entry'!V$9:Z$9)/SUMPRODUCT(ISNUMBER('Advanced 0-10'!V54:Z54)*'Advanced Entry'!V$9:Z$9),1))</f>
        <v/>
      </c>
      <c r="J54" s="7">
        <f>IF(SUMPRODUCT(ISNUMBER('Advanced 0-10'!AA54:AA54)*'Advanced Entry'!AA$9:AA$9)=0,"",ROUND(SUMPRODUCT(IFERROR('Advanced 0-10'!AA54:AA54*1,0)*'Advanced Entry'!AA$9:AA$9)/SUMPRODUCT(ISNUMBER('Advanced 0-10'!AA54:AA54)*'Advanced Entry'!AA$9:AA$9),1))</f>
        <v/>
      </c>
      <c r="K54" s="7">
        <f>IF(SUMPRODUCT(ISNUMBER('Advanced 0-10'!AB54:AB54)*'Advanced Entry'!AB$9:AB$9)=0,"",ROUND(SUMPRODUCT(IFERROR('Advanced 0-10'!AB54:AB54*1,0)*'Advanced Entry'!AB$9:AB$9)/SUMPRODUCT(ISNUMBER('Advanced 0-10'!AB54:AB54)*'Advanced Entry'!AB$9:AB$9),1))</f>
        <v/>
      </c>
      <c r="L54" s="19">
        <f>IF(SUMPRODUCT(--ISNUMBER(D54:K54))=0,"",ROUND(SUMPRODUCT(IFERROR(D54:K54*1,0))/SUMPRODUCT(--ISNUMBER(D54:K54)),1))</f>
        <v/>
      </c>
    </row>
    <row r="55">
      <c r="A55" t="inlineStr">
        <is>
          <t>Katavi</t>
        </is>
      </c>
      <c r="B55" t="inlineStr">
        <is>
          <t>Mpanda Municipal</t>
        </is>
      </c>
      <c r="C55" t="inlineStr">
        <is>
          <t>C163</t>
        </is>
      </c>
      <c r="D55" s="7">
        <f>IF(SUMPRODUCT(ISNUMBER('Advanced 0-10'!D55:J55)*'Advanced Entry'!D$9:J$9)=0,"",ROUND(SUMPRODUCT(IFERROR('Advanced 0-10'!D55:J55*1,0)*'Advanced Entry'!D$9:J$9)/SUMPRODUCT(ISNUMBER('Advanced 0-10'!D55:J55)*'Advanced Entry'!D$9:J$9),1))</f>
        <v/>
      </c>
      <c r="E55" s="7">
        <f>IF(SUMPRODUCT(ISNUMBER('Advanced 0-10'!K55:O55)*'Advanced Entry'!K$9:O$9)=0,"",ROUND(SUMPRODUCT(IFERROR('Advanced 0-10'!K55:O55*1,0)*'Advanced Entry'!K$9:O$9)/SUMPRODUCT(ISNUMBER('Advanced 0-10'!K55:O55)*'Advanced Entry'!K$9:O$9),1))</f>
        <v/>
      </c>
      <c r="F55" s="7">
        <f>IF(SUMPRODUCT(ISNUMBER('Advanced 0-10'!P55:Q55)*'Advanced Entry'!P$9:Q$9)=0,"",ROUND(SUMPRODUCT(IFERROR('Advanced 0-10'!P55:Q55*1,0)*'Advanced Entry'!P$9:Q$9)/SUMPRODUCT(ISNUMBER('Advanced 0-10'!P55:Q55)*'Advanced Entry'!P$9:Q$9),1))</f>
        <v/>
      </c>
      <c r="G55" s="7">
        <f>IF(SUMPRODUCT(ISNUMBER('Advanced 0-10'!R55:S55)*'Advanced Entry'!R$9:S$9)=0,"",ROUND(SUMPRODUCT(IFERROR('Advanced 0-10'!R55:S55*1,0)*'Advanced Entry'!R$9:S$9)/SUMPRODUCT(ISNUMBER('Advanced 0-10'!R55:S55)*'Advanced Entry'!R$9:S$9),1))</f>
        <v/>
      </c>
      <c r="H55" s="7">
        <f>IF(SUMPRODUCT(ISNUMBER('Advanced 0-10'!T55:U55)*'Advanced Entry'!T$9:U$9)=0,"",ROUND(SUMPRODUCT(IFERROR('Advanced 0-10'!T55:U55*1,0)*'Advanced Entry'!T$9:U$9)/SUMPRODUCT(ISNUMBER('Advanced 0-10'!T55:U55)*'Advanced Entry'!T$9:U$9),1))</f>
        <v/>
      </c>
      <c r="I55" s="7">
        <f>IF(SUMPRODUCT(ISNUMBER('Advanced 0-10'!V55:Z55)*'Advanced Entry'!V$9:Z$9)=0,"",ROUND(SUMPRODUCT(IFERROR('Advanced 0-10'!V55:Z55*1,0)*'Advanced Entry'!V$9:Z$9)/SUMPRODUCT(ISNUMBER('Advanced 0-10'!V55:Z55)*'Advanced Entry'!V$9:Z$9),1))</f>
        <v/>
      </c>
      <c r="J55" s="7">
        <f>IF(SUMPRODUCT(ISNUMBER('Advanced 0-10'!AA55:AA55)*'Advanced Entry'!AA$9:AA$9)=0,"",ROUND(SUMPRODUCT(IFERROR('Advanced 0-10'!AA55:AA55*1,0)*'Advanced Entry'!AA$9:AA$9)/SUMPRODUCT(ISNUMBER('Advanced 0-10'!AA55:AA55)*'Advanced Entry'!AA$9:AA$9),1))</f>
        <v/>
      </c>
      <c r="K55" s="7">
        <f>IF(SUMPRODUCT(ISNUMBER('Advanced 0-10'!AB55:AB55)*'Advanced Entry'!AB$9:AB$9)=0,"",ROUND(SUMPRODUCT(IFERROR('Advanced 0-10'!AB55:AB55*1,0)*'Advanced Entry'!AB$9:AB$9)/SUMPRODUCT(ISNUMBER('Advanced 0-10'!AB55:AB55)*'Advanced Entry'!AB$9:AB$9),1))</f>
        <v/>
      </c>
      <c r="L55" s="19">
        <f>IF(SUMPRODUCT(--ISNUMBER(D55:K55))=0,"",ROUND(SUMPRODUCT(IFERROR(D55:K55*1,0))/SUMPRODUCT(--ISNUMBER(D55:K55)),1))</f>
        <v/>
      </c>
    </row>
    <row r="56">
      <c r="A56" t="inlineStr">
        <is>
          <t>Katavi</t>
        </is>
      </c>
      <c r="B56" t="inlineStr">
        <is>
          <t>Mpimbwe District</t>
        </is>
      </c>
      <c r="C56" t="inlineStr">
        <is>
          <t>C167</t>
        </is>
      </c>
      <c r="D56" s="7">
        <f>IF(SUMPRODUCT(ISNUMBER('Advanced 0-10'!D56:J56)*'Advanced Entry'!D$9:J$9)=0,"",ROUND(SUMPRODUCT(IFERROR('Advanced 0-10'!D56:J56*1,0)*'Advanced Entry'!D$9:J$9)/SUMPRODUCT(ISNUMBER('Advanced 0-10'!D56:J56)*'Advanced Entry'!D$9:J$9),1))</f>
        <v/>
      </c>
      <c r="E56" s="7">
        <f>IF(SUMPRODUCT(ISNUMBER('Advanced 0-10'!K56:O56)*'Advanced Entry'!K$9:O$9)=0,"",ROUND(SUMPRODUCT(IFERROR('Advanced 0-10'!K56:O56*1,0)*'Advanced Entry'!K$9:O$9)/SUMPRODUCT(ISNUMBER('Advanced 0-10'!K56:O56)*'Advanced Entry'!K$9:O$9),1))</f>
        <v/>
      </c>
      <c r="F56" s="7">
        <f>IF(SUMPRODUCT(ISNUMBER('Advanced 0-10'!P56:Q56)*'Advanced Entry'!P$9:Q$9)=0,"",ROUND(SUMPRODUCT(IFERROR('Advanced 0-10'!P56:Q56*1,0)*'Advanced Entry'!P$9:Q$9)/SUMPRODUCT(ISNUMBER('Advanced 0-10'!P56:Q56)*'Advanced Entry'!P$9:Q$9),1))</f>
        <v/>
      </c>
      <c r="G56" s="7">
        <f>IF(SUMPRODUCT(ISNUMBER('Advanced 0-10'!R56:S56)*'Advanced Entry'!R$9:S$9)=0,"",ROUND(SUMPRODUCT(IFERROR('Advanced 0-10'!R56:S56*1,0)*'Advanced Entry'!R$9:S$9)/SUMPRODUCT(ISNUMBER('Advanced 0-10'!R56:S56)*'Advanced Entry'!R$9:S$9),1))</f>
        <v/>
      </c>
      <c r="H56" s="7">
        <f>IF(SUMPRODUCT(ISNUMBER('Advanced 0-10'!T56:U56)*'Advanced Entry'!T$9:U$9)=0,"",ROUND(SUMPRODUCT(IFERROR('Advanced 0-10'!T56:U56*1,0)*'Advanced Entry'!T$9:U$9)/SUMPRODUCT(ISNUMBER('Advanced 0-10'!T56:U56)*'Advanced Entry'!T$9:U$9),1))</f>
        <v/>
      </c>
      <c r="I56" s="7">
        <f>IF(SUMPRODUCT(ISNUMBER('Advanced 0-10'!V56:Z56)*'Advanced Entry'!V$9:Z$9)=0,"",ROUND(SUMPRODUCT(IFERROR('Advanced 0-10'!V56:Z56*1,0)*'Advanced Entry'!V$9:Z$9)/SUMPRODUCT(ISNUMBER('Advanced 0-10'!V56:Z56)*'Advanced Entry'!V$9:Z$9),1))</f>
        <v/>
      </c>
      <c r="J56" s="7">
        <f>IF(SUMPRODUCT(ISNUMBER('Advanced 0-10'!AA56:AA56)*'Advanced Entry'!AA$9:AA$9)=0,"",ROUND(SUMPRODUCT(IFERROR('Advanced 0-10'!AA56:AA56*1,0)*'Advanced Entry'!AA$9:AA$9)/SUMPRODUCT(ISNUMBER('Advanced 0-10'!AA56:AA56)*'Advanced Entry'!AA$9:AA$9),1))</f>
        <v/>
      </c>
      <c r="K56" s="7">
        <f>IF(SUMPRODUCT(ISNUMBER('Advanced 0-10'!AB56:AB56)*'Advanced Entry'!AB$9:AB$9)=0,"",ROUND(SUMPRODUCT(IFERROR('Advanced 0-10'!AB56:AB56*1,0)*'Advanced Entry'!AB$9:AB$9)/SUMPRODUCT(ISNUMBER('Advanced 0-10'!AB56:AB56)*'Advanced Entry'!AB$9:AB$9),1))</f>
        <v/>
      </c>
      <c r="L56" s="19">
        <f>IF(SUMPRODUCT(--ISNUMBER(D56:K56))=0,"",ROUND(SUMPRODUCT(IFERROR(D56:K56*1,0))/SUMPRODUCT(--ISNUMBER(D56:K56)),1))</f>
        <v/>
      </c>
    </row>
    <row r="57">
      <c r="A57" t="inlineStr">
        <is>
          <t>Katavi</t>
        </is>
      </c>
      <c r="B57" t="inlineStr">
        <is>
          <t>Nsimbo District</t>
        </is>
      </c>
      <c r="C57" t="inlineStr">
        <is>
          <t>C164</t>
        </is>
      </c>
      <c r="D57" s="7">
        <f>IF(SUMPRODUCT(ISNUMBER('Advanced 0-10'!D57:J57)*'Advanced Entry'!D$9:J$9)=0,"",ROUND(SUMPRODUCT(IFERROR('Advanced 0-10'!D57:J57*1,0)*'Advanced Entry'!D$9:J$9)/SUMPRODUCT(ISNUMBER('Advanced 0-10'!D57:J57)*'Advanced Entry'!D$9:J$9),1))</f>
        <v/>
      </c>
      <c r="E57" s="7">
        <f>IF(SUMPRODUCT(ISNUMBER('Advanced 0-10'!K57:O57)*'Advanced Entry'!K$9:O$9)=0,"",ROUND(SUMPRODUCT(IFERROR('Advanced 0-10'!K57:O57*1,0)*'Advanced Entry'!K$9:O$9)/SUMPRODUCT(ISNUMBER('Advanced 0-10'!K57:O57)*'Advanced Entry'!K$9:O$9),1))</f>
        <v/>
      </c>
      <c r="F57" s="7">
        <f>IF(SUMPRODUCT(ISNUMBER('Advanced 0-10'!P57:Q57)*'Advanced Entry'!P$9:Q$9)=0,"",ROUND(SUMPRODUCT(IFERROR('Advanced 0-10'!P57:Q57*1,0)*'Advanced Entry'!P$9:Q$9)/SUMPRODUCT(ISNUMBER('Advanced 0-10'!P57:Q57)*'Advanced Entry'!P$9:Q$9),1))</f>
        <v/>
      </c>
      <c r="G57" s="7">
        <f>IF(SUMPRODUCT(ISNUMBER('Advanced 0-10'!R57:S57)*'Advanced Entry'!R$9:S$9)=0,"",ROUND(SUMPRODUCT(IFERROR('Advanced 0-10'!R57:S57*1,0)*'Advanced Entry'!R$9:S$9)/SUMPRODUCT(ISNUMBER('Advanced 0-10'!R57:S57)*'Advanced Entry'!R$9:S$9),1))</f>
        <v/>
      </c>
      <c r="H57" s="7">
        <f>IF(SUMPRODUCT(ISNUMBER('Advanced 0-10'!T57:U57)*'Advanced Entry'!T$9:U$9)=0,"",ROUND(SUMPRODUCT(IFERROR('Advanced 0-10'!T57:U57*1,0)*'Advanced Entry'!T$9:U$9)/SUMPRODUCT(ISNUMBER('Advanced 0-10'!T57:U57)*'Advanced Entry'!T$9:U$9),1))</f>
        <v/>
      </c>
      <c r="I57" s="7">
        <f>IF(SUMPRODUCT(ISNUMBER('Advanced 0-10'!V57:Z57)*'Advanced Entry'!V$9:Z$9)=0,"",ROUND(SUMPRODUCT(IFERROR('Advanced 0-10'!V57:Z57*1,0)*'Advanced Entry'!V$9:Z$9)/SUMPRODUCT(ISNUMBER('Advanced 0-10'!V57:Z57)*'Advanced Entry'!V$9:Z$9),1))</f>
        <v/>
      </c>
      <c r="J57" s="7">
        <f>IF(SUMPRODUCT(ISNUMBER('Advanced 0-10'!AA57:AA57)*'Advanced Entry'!AA$9:AA$9)=0,"",ROUND(SUMPRODUCT(IFERROR('Advanced 0-10'!AA57:AA57*1,0)*'Advanced Entry'!AA$9:AA$9)/SUMPRODUCT(ISNUMBER('Advanced 0-10'!AA57:AA57)*'Advanced Entry'!AA$9:AA$9),1))</f>
        <v/>
      </c>
      <c r="K57" s="7">
        <f>IF(SUMPRODUCT(ISNUMBER('Advanced 0-10'!AB57:AB57)*'Advanced Entry'!AB$9:AB$9)=0,"",ROUND(SUMPRODUCT(IFERROR('Advanced 0-10'!AB57:AB57*1,0)*'Advanced Entry'!AB$9:AB$9)/SUMPRODUCT(ISNUMBER('Advanced 0-10'!AB57:AB57)*'Advanced Entry'!AB$9:AB$9),1))</f>
        <v/>
      </c>
      <c r="L57" s="19">
        <f>IF(SUMPRODUCT(--ISNUMBER(D57:K57))=0,"",ROUND(SUMPRODUCT(IFERROR(D57:K57*1,0))/SUMPRODUCT(--ISNUMBER(D57:K57)),1))</f>
        <v/>
      </c>
    </row>
    <row r="58">
      <c r="A58" t="inlineStr">
        <is>
          <t>Katavi</t>
        </is>
      </c>
      <c r="B58" t="inlineStr">
        <is>
          <t>Tanganyika District</t>
        </is>
      </c>
      <c r="C58" t="inlineStr">
        <is>
          <t>C165</t>
        </is>
      </c>
      <c r="D58" s="7">
        <f>IF(SUMPRODUCT(ISNUMBER('Advanced 0-10'!D58:J58)*'Advanced Entry'!D$9:J$9)=0,"",ROUND(SUMPRODUCT(IFERROR('Advanced 0-10'!D58:J58*1,0)*'Advanced Entry'!D$9:J$9)/SUMPRODUCT(ISNUMBER('Advanced 0-10'!D58:J58)*'Advanced Entry'!D$9:J$9),1))</f>
        <v/>
      </c>
      <c r="E58" s="7">
        <f>IF(SUMPRODUCT(ISNUMBER('Advanced 0-10'!K58:O58)*'Advanced Entry'!K$9:O$9)=0,"",ROUND(SUMPRODUCT(IFERROR('Advanced 0-10'!K58:O58*1,0)*'Advanced Entry'!K$9:O$9)/SUMPRODUCT(ISNUMBER('Advanced 0-10'!K58:O58)*'Advanced Entry'!K$9:O$9),1))</f>
        <v/>
      </c>
      <c r="F58" s="7">
        <f>IF(SUMPRODUCT(ISNUMBER('Advanced 0-10'!P58:Q58)*'Advanced Entry'!P$9:Q$9)=0,"",ROUND(SUMPRODUCT(IFERROR('Advanced 0-10'!P58:Q58*1,0)*'Advanced Entry'!P$9:Q$9)/SUMPRODUCT(ISNUMBER('Advanced 0-10'!P58:Q58)*'Advanced Entry'!P$9:Q$9),1))</f>
        <v/>
      </c>
      <c r="G58" s="7">
        <f>IF(SUMPRODUCT(ISNUMBER('Advanced 0-10'!R58:S58)*'Advanced Entry'!R$9:S$9)=0,"",ROUND(SUMPRODUCT(IFERROR('Advanced 0-10'!R58:S58*1,0)*'Advanced Entry'!R$9:S$9)/SUMPRODUCT(ISNUMBER('Advanced 0-10'!R58:S58)*'Advanced Entry'!R$9:S$9),1))</f>
        <v/>
      </c>
      <c r="H58" s="7">
        <f>IF(SUMPRODUCT(ISNUMBER('Advanced 0-10'!T58:U58)*'Advanced Entry'!T$9:U$9)=0,"",ROUND(SUMPRODUCT(IFERROR('Advanced 0-10'!T58:U58*1,0)*'Advanced Entry'!T$9:U$9)/SUMPRODUCT(ISNUMBER('Advanced 0-10'!T58:U58)*'Advanced Entry'!T$9:U$9),1))</f>
        <v/>
      </c>
      <c r="I58" s="7">
        <f>IF(SUMPRODUCT(ISNUMBER('Advanced 0-10'!V58:Z58)*'Advanced Entry'!V$9:Z$9)=0,"",ROUND(SUMPRODUCT(IFERROR('Advanced 0-10'!V58:Z58*1,0)*'Advanced Entry'!V$9:Z$9)/SUMPRODUCT(ISNUMBER('Advanced 0-10'!V58:Z58)*'Advanced Entry'!V$9:Z$9),1))</f>
        <v/>
      </c>
      <c r="J58" s="7">
        <f>IF(SUMPRODUCT(ISNUMBER('Advanced 0-10'!AA58:AA58)*'Advanced Entry'!AA$9:AA$9)=0,"",ROUND(SUMPRODUCT(IFERROR('Advanced 0-10'!AA58:AA58*1,0)*'Advanced Entry'!AA$9:AA$9)/SUMPRODUCT(ISNUMBER('Advanced 0-10'!AA58:AA58)*'Advanced Entry'!AA$9:AA$9),1))</f>
        <v/>
      </c>
      <c r="K58" s="7">
        <f>IF(SUMPRODUCT(ISNUMBER('Advanced 0-10'!AB58:AB58)*'Advanced Entry'!AB$9:AB$9)=0,"",ROUND(SUMPRODUCT(IFERROR('Advanced 0-10'!AB58:AB58*1,0)*'Advanced Entry'!AB$9:AB$9)/SUMPRODUCT(ISNUMBER('Advanced 0-10'!AB58:AB58)*'Advanced Entry'!AB$9:AB$9),1))</f>
        <v/>
      </c>
      <c r="L58" s="19">
        <f>IF(SUMPRODUCT(--ISNUMBER(D58:K58))=0,"",ROUND(SUMPRODUCT(IFERROR(D58:K58*1,0))/SUMPRODUCT(--ISNUMBER(D58:K58)),1))</f>
        <v/>
      </c>
    </row>
    <row r="59">
      <c r="A59" t="inlineStr">
        <is>
          <t>Kigoma</t>
        </is>
      </c>
      <c r="B59" t="inlineStr">
        <is>
          <t>Buhigwe District</t>
        </is>
      </c>
      <c r="C59" t="inlineStr">
        <is>
          <t>C117</t>
        </is>
      </c>
      <c r="D59" s="7">
        <f>IF(SUMPRODUCT(ISNUMBER('Advanced 0-10'!D59:J59)*'Advanced Entry'!D$9:J$9)=0,"",ROUND(SUMPRODUCT(IFERROR('Advanced 0-10'!D59:J59*1,0)*'Advanced Entry'!D$9:J$9)/SUMPRODUCT(ISNUMBER('Advanced 0-10'!D59:J59)*'Advanced Entry'!D$9:J$9),1))</f>
        <v/>
      </c>
      <c r="E59" s="7">
        <f>IF(SUMPRODUCT(ISNUMBER('Advanced 0-10'!K59:O59)*'Advanced Entry'!K$9:O$9)=0,"",ROUND(SUMPRODUCT(IFERROR('Advanced 0-10'!K59:O59*1,0)*'Advanced Entry'!K$9:O$9)/SUMPRODUCT(ISNUMBER('Advanced 0-10'!K59:O59)*'Advanced Entry'!K$9:O$9),1))</f>
        <v/>
      </c>
      <c r="F59" s="7">
        <f>IF(SUMPRODUCT(ISNUMBER('Advanced 0-10'!P59:Q59)*'Advanced Entry'!P$9:Q$9)=0,"",ROUND(SUMPRODUCT(IFERROR('Advanced 0-10'!P59:Q59*1,0)*'Advanced Entry'!P$9:Q$9)/SUMPRODUCT(ISNUMBER('Advanced 0-10'!P59:Q59)*'Advanced Entry'!P$9:Q$9),1))</f>
        <v/>
      </c>
      <c r="G59" s="7">
        <f>IF(SUMPRODUCT(ISNUMBER('Advanced 0-10'!R59:S59)*'Advanced Entry'!R$9:S$9)=0,"",ROUND(SUMPRODUCT(IFERROR('Advanced 0-10'!R59:S59*1,0)*'Advanced Entry'!R$9:S$9)/SUMPRODUCT(ISNUMBER('Advanced 0-10'!R59:S59)*'Advanced Entry'!R$9:S$9),1))</f>
        <v/>
      </c>
      <c r="H59" s="7">
        <f>IF(SUMPRODUCT(ISNUMBER('Advanced 0-10'!T59:U59)*'Advanced Entry'!T$9:U$9)=0,"",ROUND(SUMPRODUCT(IFERROR('Advanced 0-10'!T59:U59*1,0)*'Advanced Entry'!T$9:U$9)/SUMPRODUCT(ISNUMBER('Advanced 0-10'!T59:U59)*'Advanced Entry'!T$9:U$9),1))</f>
        <v/>
      </c>
      <c r="I59" s="7">
        <f>IF(SUMPRODUCT(ISNUMBER('Advanced 0-10'!V59:Z59)*'Advanced Entry'!V$9:Z$9)=0,"",ROUND(SUMPRODUCT(IFERROR('Advanced 0-10'!V59:Z59*1,0)*'Advanced Entry'!V$9:Z$9)/SUMPRODUCT(ISNUMBER('Advanced 0-10'!V59:Z59)*'Advanced Entry'!V$9:Z$9),1))</f>
        <v/>
      </c>
      <c r="J59" s="7">
        <f>IF(SUMPRODUCT(ISNUMBER('Advanced 0-10'!AA59:AA59)*'Advanced Entry'!AA$9:AA$9)=0,"",ROUND(SUMPRODUCT(IFERROR('Advanced 0-10'!AA59:AA59*1,0)*'Advanced Entry'!AA$9:AA$9)/SUMPRODUCT(ISNUMBER('Advanced 0-10'!AA59:AA59)*'Advanced Entry'!AA$9:AA$9),1))</f>
        <v/>
      </c>
      <c r="K59" s="7">
        <f>IF(SUMPRODUCT(ISNUMBER('Advanced 0-10'!AB59:AB59)*'Advanced Entry'!AB$9:AB$9)=0,"",ROUND(SUMPRODUCT(IFERROR('Advanced 0-10'!AB59:AB59*1,0)*'Advanced Entry'!AB$9:AB$9)/SUMPRODUCT(ISNUMBER('Advanced 0-10'!AB59:AB59)*'Advanced Entry'!AB$9:AB$9),1))</f>
        <v/>
      </c>
      <c r="L59" s="19">
        <f>IF(SUMPRODUCT(--ISNUMBER(D59:K59))=0,"",ROUND(SUMPRODUCT(IFERROR(D59:K59*1,0))/SUMPRODUCT(--ISNUMBER(D59:K59)),1))</f>
        <v/>
      </c>
    </row>
    <row r="60">
      <c r="A60" t="inlineStr">
        <is>
          <t>Kigoma</t>
        </is>
      </c>
      <c r="B60" t="inlineStr">
        <is>
          <t>Kakonko District</t>
        </is>
      </c>
      <c r="C60" t="inlineStr">
        <is>
          <t>C118</t>
        </is>
      </c>
      <c r="D60" s="7">
        <f>IF(SUMPRODUCT(ISNUMBER('Advanced 0-10'!D60:J60)*'Advanced Entry'!D$9:J$9)=0,"",ROUND(SUMPRODUCT(IFERROR('Advanced 0-10'!D60:J60*1,0)*'Advanced Entry'!D$9:J$9)/SUMPRODUCT(ISNUMBER('Advanced 0-10'!D60:J60)*'Advanced Entry'!D$9:J$9),1))</f>
        <v/>
      </c>
      <c r="E60" s="7">
        <f>IF(SUMPRODUCT(ISNUMBER('Advanced 0-10'!K60:O60)*'Advanced Entry'!K$9:O$9)=0,"",ROUND(SUMPRODUCT(IFERROR('Advanced 0-10'!K60:O60*1,0)*'Advanced Entry'!K$9:O$9)/SUMPRODUCT(ISNUMBER('Advanced 0-10'!K60:O60)*'Advanced Entry'!K$9:O$9),1))</f>
        <v/>
      </c>
      <c r="F60" s="7">
        <f>IF(SUMPRODUCT(ISNUMBER('Advanced 0-10'!P60:Q60)*'Advanced Entry'!P$9:Q$9)=0,"",ROUND(SUMPRODUCT(IFERROR('Advanced 0-10'!P60:Q60*1,0)*'Advanced Entry'!P$9:Q$9)/SUMPRODUCT(ISNUMBER('Advanced 0-10'!P60:Q60)*'Advanced Entry'!P$9:Q$9),1))</f>
        <v/>
      </c>
      <c r="G60" s="7">
        <f>IF(SUMPRODUCT(ISNUMBER('Advanced 0-10'!R60:S60)*'Advanced Entry'!R$9:S$9)=0,"",ROUND(SUMPRODUCT(IFERROR('Advanced 0-10'!R60:S60*1,0)*'Advanced Entry'!R$9:S$9)/SUMPRODUCT(ISNUMBER('Advanced 0-10'!R60:S60)*'Advanced Entry'!R$9:S$9),1))</f>
        <v/>
      </c>
      <c r="H60" s="7">
        <f>IF(SUMPRODUCT(ISNUMBER('Advanced 0-10'!T60:U60)*'Advanced Entry'!T$9:U$9)=0,"",ROUND(SUMPRODUCT(IFERROR('Advanced 0-10'!T60:U60*1,0)*'Advanced Entry'!T$9:U$9)/SUMPRODUCT(ISNUMBER('Advanced 0-10'!T60:U60)*'Advanced Entry'!T$9:U$9),1))</f>
        <v/>
      </c>
      <c r="I60" s="7">
        <f>IF(SUMPRODUCT(ISNUMBER('Advanced 0-10'!V60:Z60)*'Advanced Entry'!V$9:Z$9)=0,"",ROUND(SUMPRODUCT(IFERROR('Advanced 0-10'!V60:Z60*1,0)*'Advanced Entry'!V$9:Z$9)/SUMPRODUCT(ISNUMBER('Advanced 0-10'!V60:Z60)*'Advanced Entry'!V$9:Z$9),1))</f>
        <v/>
      </c>
      <c r="J60" s="7">
        <f>IF(SUMPRODUCT(ISNUMBER('Advanced 0-10'!AA60:AA60)*'Advanced Entry'!AA$9:AA$9)=0,"",ROUND(SUMPRODUCT(IFERROR('Advanced 0-10'!AA60:AA60*1,0)*'Advanced Entry'!AA$9:AA$9)/SUMPRODUCT(ISNUMBER('Advanced 0-10'!AA60:AA60)*'Advanced Entry'!AA$9:AA$9),1))</f>
        <v/>
      </c>
      <c r="K60" s="7">
        <f>IF(SUMPRODUCT(ISNUMBER('Advanced 0-10'!AB60:AB60)*'Advanced Entry'!AB$9:AB$9)=0,"",ROUND(SUMPRODUCT(IFERROR('Advanced 0-10'!AB60:AB60*1,0)*'Advanced Entry'!AB$9:AB$9)/SUMPRODUCT(ISNUMBER('Advanced 0-10'!AB60:AB60)*'Advanced Entry'!AB$9:AB$9),1))</f>
        <v/>
      </c>
      <c r="L60" s="19">
        <f>IF(SUMPRODUCT(--ISNUMBER(D60:K60))=0,"",ROUND(SUMPRODUCT(IFERROR(D60:K60*1,0))/SUMPRODUCT(--ISNUMBER(D60:K60)),1))</f>
        <v/>
      </c>
    </row>
    <row r="61">
      <c r="A61" t="inlineStr">
        <is>
          <t>Kigoma</t>
        </is>
      </c>
      <c r="B61" t="inlineStr">
        <is>
          <t>Kasulu District</t>
        </is>
      </c>
      <c r="C61" t="inlineStr">
        <is>
          <t>C112</t>
        </is>
      </c>
      <c r="D61" s="7">
        <f>IF(SUMPRODUCT(ISNUMBER('Advanced 0-10'!D61:J61)*'Advanced Entry'!D$9:J$9)=0,"",ROUND(SUMPRODUCT(IFERROR('Advanced 0-10'!D61:J61*1,0)*'Advanced Entry'!D$9:J$9)/SUMPRODUCT(ISNUMBER('Advanced 0-10'!D61:J61)*'Advanced Entry'!D$9:J$9),1))</f>
        <v/>
      </c>
      <c r="E61" s="7">
        <f>IF(SUMPRODUCT(ISNUMBER('Advanced 0-10'!K61:O61)*'Advanced Entry'!K$9:O$9)=0,"",ROUND(SUMPRODUCT(IFERROR('Advanced 0-10'!K61:O61*1,0)*'Advanced Entry'!K$9:O$9)/SUMPRODUCT(ISNUMBER('Advanced 0-10'!K61:O61)*'Advanced Entry'!K$9:O$9),1))</f>
        <v/>
      </c>
      <c r="F61" s="7">
        <f>IF(SUMPRODUCT(ISNUMBER('Advanced 0-10'!P61:Q61)*'Advanced Entry'!P$9:Q$9)=0,"",ROUND(SUMPRODUCT(IFERROR('Advanced 0-10'!P61:Q61*1,0)*'Advanced Entry'!P$9:Q$9)/SUMPRODUCT(ISNUMBER('Advanced 0-10'!P61:Q61)*'Advanced Entry'!P$9:Q$9),1))</f>
        <v/>
      </c>
      <c r="G61" s="7">
        <f>IF(SUMPRODUCT(ISNUMBER('Advanced 0-10'!R61:S61)*'Advanced Entry'!R$9:S$9)=0,"",ROUND(SUMPRODUCT(IFERROR('Advanced 0-10'!R61:S61*1,0)*'Advanced Entry'!R$9:S$9)/SUMPRODUCT(ISNUMBER('Advanced 0-10'!R61:S61)*'Advanced Entry'!R$9:S$9),1))</f>
        <v/>
      </c>
      <c r="H61" s="7">
        <f>IF(SUMPRODUCT(ISNUMBER('Advanced 0-10'!T61:U61)*'Advanced Entry'!T$9:U$9)=0,"",ROUND(SUMPRODUCT(IFERROR('Advanced 0-10'!T61:U61*1,0)*'Advanced Entry'!T$9:U$9)/SUMPRODUCT(ISNUMBER('Advanced 0-10'!T61:U61)*'Advanced Entry'!T$9:U$9),1))</f>
        <v/>
      </c>
      <c r="I61" s="7">
        <f>IF(SUMPRODUCT(ISNUMBER('Advanced 0-10'!V61:Z61)*'Advanced Entry'!V$9:Z$9)=0,"",ROUND(SUMPRODUCT(IFERROR('Advanced 0-10'!V61:Z61*1,0)*'Advanced Entry'!V$9:Z$9)/SUMPRODUCT(ISNUMBER('Advanced 0-10'!V61:Z61)*'Advanced Entry'!V$9:Z$9),1))</f>
        <v/>
      </c>
      <c r="J61" s="7">
        <f>IF(SUMPRODUCT(ISNUMBER('Advanced 0-10'!AA61:AA61)*'Advanced Entry'!AA$9:AA$9)=0,"",ROUND(SUMPRODUCT(IFERROR('Advanced 0-10'!AA61:AA61*1,0)*'Advanced Entry'!AA$9:AA$9)/SUMPRODUCT(ISNUMBER('Advanced 0-10'!AA61:AA61)*'Advanced Entry'!AA$9:AA$9),1))</f>
        <v/>
      </c>
      <c r="K61" s="7">
        <f>IF(SUMPRODUCT(ISNUMBER('Advanced 0-10'!AB61:AB61)*'Advanced Entry'!AB$9:AB$9)=0,"",ROUND(SUMPRODUCT(IFERROR('Advanced 0-10'!AB61:AB61*1,0)*'Advanced Entry'!AB$9:AB$9)/SUMPRODUCT(ISNUMBER('Advanced 0-10'!AB61:AB61)*'Advanced Entry'!AB$9:AB$9),1))</f>
        <v/>
      </c>
      <c r="L61" s="19">
        <f>IF(SUMPRODUCT(--ISNUMBER(D61:K61))=0,"",ROUND(SUMPRODUCT(IFERROR(D61:K61*1,0))/SUMPRODUCT(--ISNUMBER(D61:K61)),1))</f>
        <v/>
      </c>
    </row>
    <row r="62">
      <c r="A62" t="inlineStr">
        <is>
          <t>Kigoma</t>
        </is>
      </c>
      <c r="B62" t="inlineStr">
        <is>
          <t>Kasulu Town</t>
        </is>
      </c>
      <c r="C62" t="inlineStr">
        <is>
          <t>C113</t>
        </is>
      </c>
      <c r="D62" s="7">
        <f>IF(SUMPRODUCT(ISNUMBER('Advanced 0-10'!D62:J62)*'Advanced Entry'!D$9:J$9)=0,"",ROUND(SUMPRODUCT(IFERROR('Advanced 0-10'!D62:J62*1,0)*'Advanced Entry'!D$9:J$9)/SUMPRODUCT(ISNUMBER('Advanced 0-10'!D62:J62)*'Advanced Entry'!D$9:J$9),1))</f>
        <v/>
      </c>
      <c r="E62" s="7">
        <f>IF(SUMPRODUCT(ISNUMBER('Advanced 0-10'!K62:O62)*'Advanced Entry'!K$9:O$9)=0,"",ROUND(SUMPRODUCT(IFERROR('Advanced 0-10'!K62:O62*1,0)*'Advanced Entry'!K$9:O$9)/SUMPRODUCT(ISNUMBER('Advanced 0-10'!K62:O62)*'Advanced Entry'!K$9:O$9),1))</f>
        <v/>
      </c>
      <c r="F62" s="7">
        <f>IF(SUMPRODUCT(ISNUMBER('Advanced 0-10'!P62:Q62)*'Advanced Entry'!P$9:Q$9)=0,"",ROUND(SUMPRODUCT(IFERROR('Advanced 0-10'!P62:Q62*1,0)*'Advanced Entry'!P$9:Q$9)/SUMPRODUCT(ISNUMBER('Advanced 0-10'!P62:Q62)*'Advanced Entry'!P$9:Q$9),1))</f>
        <v/>
      </c>
      <c r="G62" s="7">
        <f>IF(SUMPRODUCT(ISNUMBER('Advanced 0-10'!R62:S62)*'Advanced Entry'!R$9:S$9)=0,"",ROUND(SUMPRODUCT(IFERROR('Advanced 0-10'!R62:S62*1,0)*'Advanced Entry'!R$9:S$9)/SUMPRODUCT(ISNUMBER('Advanced 0-10'!R62:S62)*'Advanced Entry'!R$9:S$9),1))</f>
        <v/>
      </c>
      <c r="H62" s="7">
        <f>IF(SUMPRODUCT(ISNUMBER('Advanced 0-10'!T62:U62)*'Advanced Entry'!T$9:U$9)=0,"",ROUND(SUMPRODUCT(IFERROR('Advanced 0-10'!T62:U62*1,0)*'Advanced Entry'!T$9:U$9)/SUMPRODUCT(ISNUMBER('Advanced 0-10'!T62:U62)*'Advanced Entry'!T$9:U$9),1))</f>
        <v/>
      </c>
      <c r="I62" s="7">
        <f>IF(SUMPRODUCT(ISNUMBER('Advanced 0-10'!V62:Z62)*'Advanced Entry'!V$9:Z$9)=0,"",ROUND(SUMPRODUCT(IFERROR('Advanced 0-10'!V62:Z62*1,0)*'Advanced Entry'!V$9:Z$9)/SUMPRODUCT(ISNUMBER('Advanced 0-10'!V62:Z62)*'Advanced Entry'!V$9:Z$9),1))</f>
        <v/>
      </c>
      <c r="J62" s="7">
        <f>IF(SUMPRODUCT(ISNUMBER('Advanced 0-10'!AA62:AA62)*'Advanced Entry'!AA$9:AA$9)=0,"",ROUND(SUMPRODUCT(IFERROR('Advanced 0-10'!AA62:AA62*1,0)*'Advanced Entry'!AA$9:AA$9)/SUMPRODUCT(ISNUMBER('Advanced 0-10'!AA62:AA62)*'Advanced Entry'!AA$9:AA$9),1))</f>
        <v/>
      </c>
      <c r="K62" s="7">
        <f>IF(SUMPRODUCT(ISNUMBER('Advanced 0-10'!AB62:AB62)*'Advanced Entry'!AB$9:AB$9)=0,"",ROUND(SUMPRODUCT(IFERROR('Advanced 0-10'!AB62:AB62*1,0)*'Advanced Entry'!AB$9:AB$9)/SUMPRODUCT(ISNUMBER('Advanced 0-10'!AB62:AB62)*'Advanced Entry'!AB$9:AB$9),1))</f>
        <v/>
      </c>
      <c r="L62" s="19">
        <f>IF(SUMPRODUCT(--ISNUMBER(D62:K62))=0,"",ROUND(SUMPRODUCT(IFERROR(D62:K62*1,0))/SUMPRODUCT(--ISNUMBER(D62:K62)),1))</f>
        <v/>
      </c>
    </row>
    <row r="63">
      <c r="A63" t="inlineStr">
        <is>
          <t>Kigoma</t>
        </is>
      </c>
      <c r="B63" t="inlineStr">
        <is>
          <t>Kibondo District</t>
        </is>
      </c>
      <c r="C63" t="inlineStr">
        <is>
          <t>C111</t>
        </is>
      </c>
      <c r="D63" s="7">
        <f>IF(SUMPRODUCT(ISNUMBER('Advanced 0-10'!D63:J63)*'Advanced Entry'!D$9:J$9)=0,"",ROUND(SUMPRODUCT(IFERROR('Advanced 0-10'!D63:J63*1,0)*'Advanced Entry'!D$9:J$9)/SUMPRODUCT(ISNUMBER('Advanced 0-10'!D63:J63)*'Advanced Entry'!D$9:J$9),1))</f>
        <v/>
      </c>
      <c r="E63" s="7">
        <f>IF(SUMPRODUCT(ISNUMBER('Advanced 0-10'!K63:O63)*'Advanced Entry'!K$9:O$9)=0,"",ROUND(SUMPRODUCT(IFERROR('Advanced 0-10'!K63:O63*1,0)*'Advanced Entry'!K$9:O$9)/SUMPRODUCT(ISNUMBER('Advanced 0-10'!K63:O63)*'Advanced Entry'!K$9:O$9),1))</f>
        <v/>
      </c>
      <c r="F63" s="7">
        <f>IF(SUMPRODUCT(ISNUMBER('Advanced 0-10'!P63:Q63)*'Advanced Entry'!P$9:Q$9)=0,"",ROUND(SUMPRODUCT(IFERROR('Advanced 0-10'!P63:Q63*1,0)*'Advanced Entry'!P$9:Q$9)/SUMPRODUCT(ISNUMBER('Advanced 0-10'!P63:Q63)*'Advanced Entry'!P$9:Q$9),1))</f>
        <v/>
      </c>
      <c r="G63" s="7">
        <f>IF(SUMPRODUCT(ISNUMBER('Advanced 0-10'!R63:S63)*'Advanced Entry'!R$9:S$9)=0,"",ROUND(SUMPRODUCT(IFERROR('Advanced 0-10'!R63:S63*1,0)*'Advanced Entry'!R$9:S$9)/SUMPRODUCT(ISNUMBER('Advanced 0-10'!R63:S63)*'Advanced Entry'!R$9:S$9),1))</f>
        <v/>
      </c>
      <c r="H63" s="7">
        <f>IF(SUMPRODUCT(ISNUMBER('Advanced 0-10'!T63:U63)*'Advanced Entry'!T$9:U$9)=0,"",ROUND(SUMPRODUCT(IFERROR('Advanced 0-10'!T63:U63*1,0)*'Advanced Entry'!T$9:U$9)/SUMPRODUCT(ISNUMBER('Advanced 0-10'!T63:U63)*'Advanced Entry'!T$9:U$9),1))</f>
        <v/>
      </c>
      <c r="I63" s="7">
        <f>IF(SUMPRODUCT(ISNUMBER('Advanced 0-10'!V63:Z63)*'Advanced Entry'!V$9:Z$9)=0,"",ROUND(SUMPRODUCT(IFERROR('Advanced 0-10'!V63:Z63*1,0)*'Advanced Entry'!V$9:Z$9)/SUMPRODUCT(ISNUMBER('Advanced 0-10'!V63:Z63)*'Advanced Entry'!V$9:Z$9),1))</f>
        <v/>
      </c>
      <c r="J63" s="7">
        <f>IF(SUMPRODUCT(ISNUMBER('Advanced 0-10'!AA63:AA63)*'Advanced Entry'!AA$9:AA$9)=0,"",ROUND(SUMPRODUCT(IFERROR('Advanced 0-10'!AA63:AA63*1,0)*'Advanced Entry'!AA$9:AA$9)/SUMPRODUCT(ISNUMBER('Advanced 0-10'!AA63:AA63)*'Advanced Entry'!AA$9:AA$9),1))</f>
        <v/>
      </c>
      <c r="K63" s="7">
        <f>IF(SUMPRODUCT(ISNUMBER('Advanced 0-10'!AB63:AB63)*'Advanced Entry'!AB$9:AB$9)=0,"",ROUND(SUMPRODUCT(IFERROR('Advanced 0-10'!AB63:AB63*1,0)*'Advanced Entry'!AB$9:AB$9)/SUMPRODUCT(ISNUMBER('Advanced 0-10'!AB63:AB63)*'Advanced Entry'!AB$9:AB$9),1))</f>
        <v/>
      </c>
      <c r="L63" s="19">
        <f>IF(SUMPRODUCT(--ISNUMBER(D63:K63))=0,"",ROUND(SUMPRODUCT(IFERROR(D63:K63*1,0))/SUMPRODUCT(--ISNUMBER(D63:K63)),1))</f>
        <v/>
      </c>
    </row>
    <row r="64">
      <c r="A64" t="inlineStr">
        <is>
          <t>Kigoma</t>
        </is>
      </c>
      <c r="B64" t="inlineStr">
        <is>
          <t>Kigoma District</t>
        </is>
      </c>
      <c r="C64" t="inlineStr">
        <is>
          <t>C114</t>
        </is>
      </c>
      <c r="D64" s="7">
        <f>IF(SUMPRODUCT(ISNUMBER('Advanced 0-10'!D64:J64)*'Advanced Entry'!D$9:J$9)=0,"",ROUND(SUMPRODUCT(IFERROR('Advanced 0-10'!D64:J64*1,0)*'Advanced Entry'!D$9:J$9)/SUMPRODUCT(ISNUMBER('Advanced 0-10'!D64:J64)*'Advanced Entry'!D$9:J$9),1))</f>
        <v/>
      </c>
      <c r="E64" s="7">
        <f>IF(SUMPRODUCT(ISNUMBER('Advanced 0-10'!K64:O64)*'Advanced Entry'!K$9:O$9)=0,"",ROUND(SUMPRODUCT(IFERROR('Advanced 0-10'!K64:O64*1,0)*'Advanced Entry'!K$9:O$9)/SUMPRODUCT(ISNUMBER('Advanced 0-10'!K64:O64)*'Advanced Entry'!K$9:O$9),1))</f>
        <v/>
      </c>
      <c r="F64" s="7">
        <f>IF(SUMPRODUCT(ISNUMBER('Advanced 0-10'!P64:Q64)*'Advanced Entry'!P$9:Q$9)=0,"",ROUND(SUMPRODUCT(IFERROR('Advanced 0-10'!P64:Q64*1,0)*'Advanced Entry'!P$9:Q$9)/SUMPRODUCT(ISNUMBER('Advanced 0-10'!P64:Q64)*'Advanced Entry'!P$9:Q$9),1))</f>
        <v/>
      </c>
      <c r="G64" s="7">
        <f>IF(SUMPRODUCT(ISNUMBER('Advanced 0-10'!R64:S64)*'Advanced Entry'!R$9:S$9)=0,"",ROUND(SUMPRODUCT(IFERROR('Advanced 0-10'!R64:S64*1,0)*'Advanced Entry'!R$9:S$9)/SUMPRODUCT(ISNUMBER('Advanced 0-10'!R64:S64)*'Advanced Entry'!R$9:S$9),1))</f>
        <v/>
      </c>
      <c r="H64" s="7">
        <f>IF(SUMPRODUCT(ISNUMBER('Advanced 0-10'!T64:U64)*'Advanced Entry'!T$9:U$9)=0,"",ROUND(SUMPRODUCT(IFERROR('Advanced 0-10'!T64:U64*1,0)*'Advanced Entry'!T$9:U$9)/SUMPRODUCT(ISNUMBER('Advanced 0-10'!T64:U64)*'Advanced Entry'!T$9:U$9),1))</f>
        <v/>
      </c>
      <c r="I64" s="7">
        <f>IF(SUMPRODUCT(ISNUMBER('Advanced 0-10'!V64:Z64)*'Advanced Entry'!V$9:Z$9)=0,"",ROUND(SUMPRODUCT(IFERROR('Advanced 0-10'!V64:Z64*1,0)*'Advanced Entry'!V$9:Z$9)/SUMPRODUCT(ISNUMBER('Advanced 0-10'!V64:Z64)*'Advanced Entry'!V$9:Z$9),1))</f>
        <v/>
      </c>
      <c r="J64" s="7">
        <f>IF(SUMPRODUCT(ISNUMBER('Advanced 0-10'!AA64:AA64)*'Advanced Entry'!AA$9:AA$9)=0,"",ROUND(SUMPRODUCT(IFERROR('Advanced 0-10'!AA64:AA64*1,0)*'Advanced Entry'!AA$9:AA$9)/SUMPRODUCT(ISNUMBER('Advanced 0-10'!AA64:AA64)*'Advanced Entry'!AA$9:AA$9),1))</f>
        <v/>
      </c>
      <c r="K64" s="7">
        <f>IF(SUMPRODUCT(ISNUMBER('Advanced 0-10'!AB64:AB64)*'Advanced Entry'!AB$9:AB$9)=0,"",ROUND(SUMPRODUCT(IFERROR('Advanced 0-10'!AB64:AB64*1,0)*'Advanced Entry'!AB$9:AB$9)/SUMPRODUCT(ISNUMBER('Advanced 0-10'!AB64:AB64)*'Advanced Entry'!AB$9:AB$9),1))</f>
        <v/>
      </c>
      <c r="L64" s="19">
        <f>IF(SUMPRODUCT(--ISNUMBER(D64:K64))=0,"",ROUND(SUMPRODUCT(IFERROR(D64:K64*1,0))/SUMPRODUCT(--ISNUMBER(D64:K64)),1))</f>
        <v/>
      </c>
    </row>
    <row r="65">
      <c r="A65" t="inlineStr">
        <is>
          <t>Kigoma</t>
        </is>
      </c>
      <c r="B65" t="inlineStr">
        <is>
          <t>Kigoma Ujiji City</t>
        </is>
      </c>
      <c r="C65" t="inlineStr">
        <is>
          <t>C115</t>
        </is>
      </c>
      <c r="D65" s="7">
        <f>IF(SUMPRODUCT(ISNUMBER('Advanced 0-10'!D65:J65)*'Advanced Entry'!D$9:J$9)=0,"",ROUND(SUMPRODUCT(IFERROR('Advanced 0-10'!D65:J65*1,0)*'Advanced Entry'!D$9:J$9)/SUMPRODUCT(ISNUMBER('Advanced 0-10'!D65:J65)*'Advanced Entry'!D$9:J$9),1))</f>
        <v/>
      </c>
      <c r="E65" s="7">
        <f>IF(SUMPRODUCT(ISNUMBER('Advanced 0-10'!K65:O65)*'Advanced Entry'!K$9:O$9)=0,"",ROUND(SUMPRODUCT(IFERROR('Advanced 0-10'!K65:O65*1,0)*'Advanced Entry'!K$9:O$9)/SUMPRODUCT(ISNUMBER('Advanced 0-10'!K65:O65)*'Advanced Entry'!K$9:O$9),1))</f>
        <v/>
      </c>
      <c r="F65" s="7">
        <f>IF(SUMPRODUCT(ISNUMBER('Advanced 0-10'!P65:Q65)*'Advanced Entry'!P$9:Q$9)=0,"",ROUND(SUMPRODUCT(IFERROR('Advanced 0-10'!P65:Q65*1,0)*'Advanced Entry'!P$9:Q$9)/SUMPRODUCT(ISNUMBER('Advanced 0-10'!P65:Q65)*'Advanced Entry'!P$9:Q$9),1))</f>
        <v/>
      </c>
      <c r="G65" s="7">
        <f>IF(SUMPRODUCT(ISNUMBER('Advanced 0-10'!R65:S65)*'Advanced Entry'!R$9:S$9)=0,"",ROUND(SUMPRODUCT(IFERROR('Advanced 0-10'!R65:S65*1,0)*'Advanced Entry'!R$9:S$9)/SUMPRODUCT(ISNUMBER('Advanced 0-10'!R65:S65)*'Advanced Entry'!R$9:S$9),1))</f>
        <v/>
      </c>
      <c r="H65" s="7">
        <f>IF(SUMPRODUCT(ISNUMBER('Advanced 0-10'!T65:U65)*'Advanced Entry'!T$9:U$9)=0,"",ROUND(SUMPRODUCT(IFERROR('Advanced 0-10'!T65:U65*1,0)*'Advanced Entry'!T$9:U$9)/SUMPRODUCT(ISNUMBER('Advanced 0-10'!T65:U65)*'Advanced Entry'!T$9:U$9),1))</f>
        <v/>
      </c>
      <c r="I65" s="7">
        <f>IF(SUMPRODUCT(ISNUMBER('Advanced 0-10'!V65:Z65)*'Advanced Entry'!V$9:Z$9)=0,"",ROUND(SUMPRODUCT(IFERROR('Advanced 0-10'!V65:Z65*1,0)*'Advanced Entry'!V$9:Z$9)/SUMPRODUCT(ISNUMBER('Advanced 0-10'!V65:Z65)*'Advanced Entry'!V$9:Z$9),1))</f>
        <v/>
      </c>
      <c r="J65" s="7">
        <f>IF(SUMPRODUCT(ISNUMBER('Advanced 0-10'!AA65:AA65)*'Advanced Entry'!AA$9:AA$9)=0,"",ROUND(SUMPRODUCT(IFERROR('Advanced 0-10'!AA65:AA65*1,0)*'Advanced Entry'!AA$9:AA$9)/SUMPRODUCT(ISNUMBER('Advanced 0-10'!AA65:AA65)*'Advanced Entry'!AA$9:AA$9),1))</f>
        <v/>
      </c>
      <c r="K65" s="7">
        <f>IF(SUMPRODUCT(ISNUMBER('Advanced 0-10'!AB65:AB65)*'Advanced Entry'!AB$9:AB$9)=0,"",ROUND(SUMPRODUCT(IFERROR('Advanced 0-10'!AB65:AB65*1,0)*'Advanced Entry'!AB$9:AB$9)/SUMPRODUCT(ISNUMBER('Advanced 0-10'!AB65:AB65)*'Advanced Entry'!AB$9:AB$9),1))</f>
        <v/>
      </c>
      <c r="L65" s="19">
        <f>IF(SUMPRODUCT(--ISNUMBER(D65:K65))=0,"",ROUND(SUMPRODUCT(IFERROR(D65:K65*1,0))/SUMPRODUCT(--ISNUMBER(D65:K65)),1))</f>
        <v/>
      </c>
    </row>
    <row r="66">
      <c r="A66" t="inlineStr">
        <is>
          <t>Kigoma</t>
        </is>
      </c>
      <c r="B66" t="inlineStr">
        <is>
          <t>Uvinza District</t>
        </is>
      </c>
      <c r="C66" t="inlineStr">
        <is>
          <t>C116</t>
        </is>
      </c>
      <c r="D66" s="7">
        <f>IF(SUMPRODUCT(ISNUMBER('Advanced 0-10'!D66:J66)*'Advanced Entry'!D$9:J$9)=0,"",ROUND(SUMPRODUCT(IFERROR('Advanced 0-10'!D66:J66*1,0)*'Advanced Entry'!D$9:J$9)/SUMPRODUCT(ISNUMBER('Advanced 0-10'!D66:J66)*'Advanced Entry'!D$9:J$9),1))</f>
        <v/>
      </c>
      <c r="E66" s="7">
        <f>IF(SUMPRODUCT(ISNUMBER('Advanced 0-10'!K66:O66)*'Advanced Entry'!K$9:O$9)=0,"",ROUND(SUMPRODUCT(IFERROR('Advanced 0-10'!K66:O66*1,0)*'Advanced Entry'!K$9:O$9)/SUMPRODUCT(ISNUMBER('Advanced 0-10'!K66:O66)*'Advanced Entry'!K$9:O$9),1))</f>
        <v/>
      </c>
      <c r="F66" s="7">
        <f>IF(SUMPRODUCT(ISNUMBER('Advanced 0-10'!P66:Q66)*'Advanced Entry'!P$9:Q$9)=0,"",ROUND(SUMPRODUCT(IFERROR('Advanced 0-10'!P66:Q66*1,0)*'Advanced Entry'!P$9:Q$9)/SUMPRODUCT(ISNUMBER('Advanced 0-10'!P66:Q66)*'Advanced Entry'!P$9:Q$9),1))</f>
        <v/>
      </c>
      <c r="G66" s="7">
        <f>IF(SUMPRODUCT(ISNUMBER('Advanced 0-10'!R66:S66)*'Advanced Entry'!R$9:S$9)=0,"",ROUND(SUMPRODUCT(IFERROR('Advanced 0-10'!R66:S66*1,0)*'Advanced Entry'!R$9:S$9)/SUMPRODUCT(ISNUMBER('Advanced 0-10'!R66:S66)*'Advanced Entry'!R$9:S$9),1))</f>
        <v/>
      </c>
      <c r="H66" s="7">
        <f>IF(SUMPRODUCT(ISNUMBER('Advanced 0-10'!T66:U66)*'Advanced Entry'!T$9:U$9)=0,"",ROUND(SUMPRODUCT(IFERROR('Advanced 0-10'!T66:U66*1,0)*'Advanced Entry'!T$9:U$9)/SUMPRODUCT(ISNUMBER('Advanced 0-10'!T66:U66)*'Advanced Entry'!T$9:U$9),1))</f>
        <v/>
      </c>
      <c r="I66" s="7">
        <f>IF(SUMPRODUCT(ISNUMBER('Advanced 0-10'!V66:Z66)*'Advanced Entry'!V$9:Z$9)=0,"",ROUND(SUMPRODUCT(IFERROR('Advanced 0-10'!V66:Z66*1,0)*'Advanced Entry'!V$9:Z$9)/SUMPRODUCT(ISNUMBER('Advanced 0-10'!V66:Z66)*'Advanced Entry'!V$9:Z$9),1))</f>
        <v/>
      </c>
      <c r="J66" s="7">
        <f>IF(SUMPRODUCT(ISNUMBER('Advanced 0-10'!AA66:AA66)*'Advanced Entry'!AA$9:AA$9)=0,"",ROUND(SUMPRODUCT(IFERROR('Advanced 0-10'!AA66:AA66*1,0)*'Advanced Entry'!AA$9:AA$9)/SUMPRODUCT(ISNUMBER('Advanced 0-10'!AA66:AA66)*'Advanced Entry'!AA$9:AA$9),1))</f>
        <v/>
      </c>
      <c r="K66" s="7">
        <f>IF(SUMPRODUCT(ISNUMBER('Advanced 0-10'!AB66:AB66)*'Advanced Entry'!AB$9:AB$9)=0,"",ROUND(SUMPRODUCT(IFERROR('Advanced 0-10'!AB66:AB66*1,0)*'Advanced Entry'!AB$9:AB$9)/SUMPRODUCT(ISNUMBER('Advanced 0-10'!AB66:AB66)*'Advanced Entry'!AB$9:AB$9),1))</f>
        <v/>
      </c>
      <c r="L66" s="19">
        <f>IF(SUMPRODUCT(--ISNUMBER(D66:K66))=0,"",ROUND(SUMPRODUCT(IFERROR(D66:K66*1,0))/SUMPRODUCT(--ISNUMBER(D66:K66)),1))</f>
        <v/>
      </c>
    </row>
    <row r="67">
      <c r="A67" t="inlineStr">
        <is>
          <t>Kilimanjaro</t>
        </is>
      </c>
      <c r="B67" t="inlineStr">
        <is>
          <t>Hai District</t>
        </is>
      </c>
      <c r="C67" t="inlineStr">
        <is>
          <t>C021</t>
        </is>
      </c>
      <c r="D67" s="7">
        <f>IF(SUMPRODUCT(ISNUMBER('Advanced 0-10'!D67:J67)*'Advanced Entry'!D$9:J$9)=0,"",ROUND(SUMPRODUCT(IFERROR('Advanced 0-10'!D67:J67*1,0)*'Advanced Entry'!D$9:J$9)/SUMPRODUCT(ISNUMBER('Advanced 0-10'!D67:J67)*'Advanced Entry'!D$9:J$9),1))</f>
        <v/>
      </c>
      <c r="E67" s="7">
        <f>IF(SUMPRODUCT(ISNUMBER('Advanced 0-10'!K67:O67)*'Advanced Entry'!K$9:O$9)=0,"",ROUND(SUMPRODUCT(IFERROR('Advanced 0-10'!K67:O67*1,0)*'Advanced Entry'!K$9:O$9)/SUMPRODUCT(ISNUMBER('Advanced 0-10'!K67:O67)*'Advanced Entry'!K$9:O$9),1))</f>
        <v/>
      </c>
      <c r="F67" s="7">
        <f>IF(SUMPRODUCT(ISNUMBER('Advanced 0-10'!P67:Q67)*'Advanced Entry'!P$9:Q$9)=0,"",ROUND(SUMPRODUCT(IFERROR('Advanced 0-10'!P67:Q67*1,0)*'Advanced Entry'!P$9:Q$9)/SUMPRODUCT(ISNUMBER('Advanced 0-10'!P67:Q67)*'Advanced Entry'!P$9:Q$9),1))</f>
        <v/>
      </c>
      <c r="G67" s="7">
        <f>IF(SUMPRODUCT(ISNUMBER('Advanced 0-10'!R67:S67)*'Advanced Entry'!R$9:S$9)=0,"",ROUND(SUMPRODUCT(IFERROR('Advanced 0-10'!R67:S67*1,0)*'Advanced Entry'!R$9:S$9)/SUMPRODUCT(ISNUMBER('Advanced 0-10'!R67:S67)*'Advanced Entry'!R$9:S$9),1))</f>
        <v/>
      </c>
      <c r="H67" s="7">
        <f>IF(SUMPRODUCT(ISNUMBER('Advanced 0-10'!T67:U67)*'Advanced Entry'!T$9:U$9)=0,"",ROUND(SUMPRODUCT(IFERROR('Advanced 0-10'!T67:U67*1,0)*'Advanced Entry'!T$9:U$9)/SUMPRODUCT(ISNUMBER('Advanced 0-10'!T67:U67)*'Advanced Entry'!T$9:U$9),1))</f>
        <v/>
      </c>
      <c r="I67" s="7">
        <f>IF(SUMPRODUCT(ISNUMBER('Advanced 0-10'!V67:Z67)*'Advanced Entry'!V$9:Z$9)=0,"",ROUND(SUMPRODUCT(IFERROR('Advanced 0-10'!V67:Z67*1,0)*'Advanced Entry'!V$9:Z$9)/SUMPRODUCT(ISNUMBER('Advanced 0-10'!V67:Z67)*'Advanced Entry'!V$9:Z$9),1))</f>
        <v/>
      </c>
      <c r="J67" s="7">
        <f>IF(SUMPRODUCT(ISNUMBER('Advanced 0-10'!AA67:AA67)*'Advanced Entry'!AA$9:AA$9)=0,"",ROUND(SUMPRODUCT(IFERROR('Advanced 0-10'!AA67:AA67*1,0)*'Advanced Entry'!AA$9:AA$9)/SUMPRODUCT(ISNUMBER('Advanced 0-10'!AA67:AA67)*'Advanced Entry'!AA$9:AA$9),1))</f>
        <v/>
      </c>
      <c r="K67" s="7">
        <f>IF(SUMPRODUCT(ISNUMBER('Advanced 0-10'!AB67:AB67)*'Advanced Entry'!AB$9:AB$9)=0,"",ROUND(SUMPRODUCT(IFERROR('Advanced 0-10'!AB67:AB67*1,0)*'Advanced Entry'!AB$9:AB$9)/SUMPRODUCT(ISNUMBER('Advanced 0-10'!AB67:AB67)*'Advanced Entry'!AB$9:AB$9),1))</f>
        <v/>
      </c>
      <c r="L67" s="19">
        <f>IF(SUMPRODUCT(--ISNUMBER(D67:K67))=0,"",ROUND(SUMPRODUCT(IFERROR(D67:K67*1,0))/SUMPRODUCT(--ISNUMBER(D67:K67)),1))</f>
        <v/>
      </c>
    </row>
    <row r="68">
      <c r="A68" t="inlineStr">
        <is>
          <t>Kilimanjaro</t>
        </is>
      </c>
      <c r="B68" t="inlineStr">
        <is>
          <t>Moshi District</t>
        </is>
      </c>
      <c r="C68" t="inlineStr">
        <is>
          <t>C020</t>
        </is>
      </c>
      <c r="D68" s="7">
        <f>IF(SUMPRODUCT(ISNUMBER('Advanced 0-10'!D68:J68)*'Advanced Entry'!D$9:J$9)=0,"",ROUND(SUMPRODUCT(IFERROR('Advanced 0-10'!D68:J68*1,0)*'Advanced Entry'!D$9:J$9)/SUMPRODUCT(ISNUMBER('Advanced 0-10'!D68:J68)*'Advanced Entry'!D$9:J$9),1))</f>
        <v/>
      </c>
      <c r="E68" s="7">
        <f>IF(SUMPRODUCT(ISNUMBER('Advanced 0-10'!K68:O68)*'Advanced Entry'!K$9:O$9)=0,"",ROUND(SUMPRODUCT(IFERROR('Advanced 0-10'!K68:O68*1,0)*'Advanced Entry'!K$9:O$9)/SUMPRODUCT(ISNUMBER('Advanced 0-10'!K68:O68)*'Advanced Entry'!K$9:O$9),1))</f>
        <v/>
      </c>
      <c r="F68" s="7">
        <f>IF(SUMPRODUCT(ISNUMBER('Advanced 0-10'!P68:Q68)*'Advanced Entry'!P$9:Q$9)=0,"",ROUND(SUMPRODUCT(IFERROR('Advanced 0-10'!P68:Q68*1,0)*'Advanced Entry'!P$9:Q$9)/SUMPRODUCT(ISNUMBER('Advanced 0-10'!P68:Q68)*'Advanced Entry'!P$9:Q$9),1))</f>
        <v/>
      </c>
      <c r="G68" s="7">
        <f>IF(SUMPRODUCT(ISNUMBER('Advanced 0-10'!R68:S68)*'Advanced Entry'!R$9:S$9)=0,"",ROUND(SUMPRODUCT(IFERROR('Advanced 0-10'!R68:S68*1,0)*'Advanced Entry'!R$9:S$9)/SUMPRODUCT(ISNUMBER('Advanced 0-10'!R68:S68)*'Advanced Entry'!R$9:S$9),1))</f>
        <v/>
      </c>
      <c r="H68" s="7">
        <f>IF(SUMPRODUCT(ISNUMBER('Advanced 0-10'!T68:U68)*'Advanced Entry'!T$9:U$9)=0,"",ROUND(SUMPRODUCT(IFERROR('Advanced 0-10'!T68:U68*1,0)*'Advanced Entry'!T$9:U$9)/SUMPRODUCT(ISNUMBER('Advanced 0-10'!T68:U68)*'Advanced Entry'!T$9:U$9),1))</f>
        <v/>
      </c>
      <c r="I68" s="7">
        <f>IF(SUMPRODUCT(ISNUMBER('Advanced 0-10'!V68:Z68)*'Advanced Entry'!V$9:Z$9)=0,"",ROUND(SUMPRODUCT(IFERROR('Advanced 0-10'!V68:Z68*1,0)*'Advanced Entry'!V$9:Z$9)/SUMPRODUCT(ISNUMBER('Advanced 0-10'!V68:Z68)*'Advanced Entry'!V$9:Z$9),1))</f>
        <v/>
      </c>
      <c r="J68" s="7">
        <f>IF(SUMPRODUCT(ISNUMBER('Advanced 0-10'!AA68:AA68)*'Advanced Entry'!AA$9:AA$9)=0,"",ROUND(SUMPRODUCT(IFERROR('Advanced 0-10'!AA68:AA68*1,0)*'Advanced Entry'!AA$9:AA$9)/SUMPRODUCT(ISNUMBER('Advanced 0-10'!AA68:AA68)*'Advanced Entry'!AA$9:AA$9),1))</f>
        <v/>
      </c>
      <c r="K68" s="7">
        <f>IF(SUMPRODUCT(ISNUMBER('Advanced 0-10'!AB68:AB68)*'Advanced Entry'!AB$9:AB$9)=0,"",ROUND(SUMPRODUCT(IFERROR('Advanced 0-10'!AB68:AB68*1,0)*'Advanced Entry'!AB$9:AB$9)/SUMPRODUCT(ISNUMBER('Advanced 0-10'!AB68:AB68)*'Advanced Entry'!AB$9:AB$9),1))</f>
        <v/>
      </c>
      <c r="L68" s="19">
        <f>IF(SUMPRODUCT(--ISNUMBER(D68:K68))=0,"",ROUND(SUMPRODUCT(IFERROR(D68:K68*1,0))/SUMPRODUCT(--ISNUMBER(D68:K68)),1))</f>
        <v/>
      </c>
    </row>
    <row r="69">
      <c r="A69" t="inlineStr">
        <is>
          <t>Kilimanjaro</t>
        </is>
      </c>
      <c r="B69" t="inlineStr">
        <is>
          <t>Moshi Municipal</t>
        </is>
      </c>
      <c r="C69" t="inlineStr">
        <is>
          <t>C019</t>
        </is>
      </c>
      <c r="D69" s="7">
        <f>IF(SUMPRODUCT(ISNUMBER('Advanced 0-10'!D69:J69)*'Advanced Entry'!D$9:J$9)=0,"",ROUND(SUMPRODUCT(IFERROR('Advanced 0-10'!D69:J69*1,0)*'Advanced Entry'!D$9:J$9)/SUMPRODUCT(ISNUMBER('Advanced 0-10'!D69:J69)*'Advanced Entry'!D$9:J$9),1))</f>
        <v/>
      </c>
      <c r="E69" s="7">
        <f>IF(SUMPRODUCT(ISNUMBER('Advanced 0-10'!K69:O69)*'Advanced Entry'!K$9:O$9)=0,"",ROUND(SUMPRODUCT(IFERROR('Advanced 0-10'!K69:O69*1,0)*'Advanced Entry'!K$9:O$9)/SUMPRODUCT(ISNUMBER('Advanced 0-10'!K69:O69)*'Advanced Entry'!K$9:O$9),1))</f>
        <v/>
      </c>
      <c r="F69" s="7">
        <f>IF(SUMPRODUCT(ISNUMBER('Advanced 0-10'!P69:Q69)*'Advanced Entry'!P$9:Q$9)=0,"",ROUND(SUMPRODUCT(IFERROR('Advanced 0-10'!P69:Q69*1,0)*'Advanced Entry'!P$9:Q$9)/SUMPRODUCT(ISNUMBER('Advanced 0-10'!P69:Q69)*'Advanced Entry'!P$9:Q$9),1))</f>
        <v/>
      </c>
      <c r="G69" s="7">
        <f>IF(SUMPRODUCT(ISNUMBER('Advanced 0-10'!R69:S69)*'Advanced Entry'!R$9:S$9)=0,"",ROUND(SUMPRODUCT(IFERROR('Advanced 0-10'!R69:S69*1,0)*'Advanced Entry'!R$9:S$9)/SUMPRODUCT(ISNUMBER('Advanced 0-10'!R69:S69)*'Advanced Entry'!R$9:S$9),1))</f>
        <v/>
      </c>
      <c r="H69" s="7">
        <f>IF(SUMPRODUCT(ISNUMBER('Advanced 0-10'!T69:U69)*'Advanced Entry'!T$9:U$9)=0,"",ROUND(SUMPRODUCT(IFERROR('Advanced 0-10'!T69:U69*1,0)*'Advanced Entry'!T$9:U$9)/SUMPRODUCT(ISNUMBER('Advanced 0-10'!T69:U69)*'Advanced Entry'!T$9:U$9),1))</f>
        <v/>
      </c>
      <c r="I69" s="7">
        <f>IF(SUMPRODUCT(ISNUMBER('Advanced 0-10'!V69:Z69)*'Advanced Entry'!V$9:Z$9)=0,"",ROUND(SUMPRODUCT(IFERROR('Advanced 0-10'!V69:Z69*1,0)*'Advanced Entry'!V$9:Z$9)/SUMPRODUCT(ISNUMBER('Advanced 0-10'!V69:Z69)*'Advanced Entry'!V$9:Z$9),1))</f>
        <v/>
      </c>
      <c r="J69" s="7">
        <f>IF(SUMPRODUCT(ISNUMBER('Advanced 0-10'!AA69:AA69)*'Advanced Entry'!AA$9:AA$9)=0,"",ROUND(SUMPRODUCT(IFERROR('Advanced 0-10'!AA69:AA69*1,0)*'Advanced Entry'!AA$9:AA$9)/SUMPRODUCT(ISNUMBER('Advanced 0-10'!AA69:AA69)*'Advanced Entry'!AA$9:AA$9),1))</f>
        <v/>
      </c>
      <c r="K69" s="7">
        <f>IF(SUMPRODUCT(ISNUMBER('Advanced 0-10'!AB69:AB69)*'Advanced Entry'!AB$9:AB$9)=0,"",ROUND(SUMPRODUCT(IFERROR('Advanced 0-10'!AB69:AB69*1,0)*'Advanced Entry'!AB$9:AB$9)/SUMPRODUCT(ISNUMBER('Advanced 0-10'!AB69:AB69)*'Advanced Entry'!AB$9:AB$9),1))</f>
        <v/>
      </c>
      <c r="L69" s="19">
        <f>IF(SUMPRODUCT(--ISNUMBER(D69:K69))=0,"",ROUND(SUMPRODUCT(IFERROR(D69:K69*1,0))/SUMPRODUCT(--ISNUMBER(D69:K69)),1))</f>
        <v/>
      </c>
    </row>
    <row r="70">
      <c r="A70" t="inlineStr">
        <is>
          <t>Kilimanjaro</t>
        </is>
      </c>
      <c r="B70" t="inlineStr">
        <is>
          <t>Mwanga District</t>
        </is>
      </c>
      <c r="C70" t="inlineStr">
        <is>
          <t>C017</t>
        </is>
      </c>
      <c r="D70" s="7">
        <f>IF(SUMPRODUCT(ISNUMBER('Advanced 0-10'!D70:J70)*'Advanced Entry'!D$9:J$9)=0,"",ROUND(SUMPRODUCT(IFERROR('Advanced 0-10'!D70:J70*1,0)*'Advanced Entry'!D$9:J$9)/SUMPRODUCT(ISNUMBER('Advanced 0-10'!D70:J70)*'Advanced Entry'!D$9:J$9),1))</f>
        <v/>
      </c>
      <c r="E70" s="7">
        <f>IF(SUMPRODUCT(ISNUMBER('Advanced 0-10'!K70:O70)*'Advanced Entry'!K$9:O$9)=0,"",ROUND(SUMPRODUCT(IFERROR('Advanced 0-10'!K70:O70*1,0)*'Advanced Entry'!K$9:O$9)/SUMPRODUCT(ISNUMBER('Advanced 0-10'!K70:O70)*'Advanced Entry'!K$9:O$9),1))</f>
        <v/>
      </c>
      <c r="F70" s="7">
        <f>IF(SUMPRODUCT(ISNUMBER('Advanced 0-10'!P70:Q70)*'Advanced Entry'!P$9:Q$9)=0,"",ROUND(SUMPRODUCT(IFERROR('Advanced 0-10'!P70:Q70*1,0)*'Advanced Entry'!P$9:Q$9)/SUMPRODUCT(ISNUMBER('Advanced 0-10'!P70:Q70)*'Advanced Entry'!P$9:Q$9),1))</f>
        <v/>
      </c>
      <c r="G70" s="7">
        <f>IF(SUMPRODUCT(ISNUMBER('Advanced 0-10'!R70:S70)*'Advanced Entry'!R$9:S$9)=0,"",ROUND(SUMPRODUCT(IFERROR('Advanced 0-10'!R70:S70*1,0)*'Advanced Entry'!R$9:S$9)/SUMPRODUCT(ISNUMBER('Advanced 0-10'!R70:S70)*'Advanced Entry'!R$9:S$9),1))</f>
        <v/>
      </c>
      <c r="H70" s="7">
        <f>IF(SUMPRODUCT(ISNUMBER('Advanced 0-10'!T70:U70)*'Advanced Entry'!T$9:U$9)=0,"",ROUND(SUMPRODUCT(IFERROR('Advanced 0-10'!T70:U70*1,0)*'Advanced Entry'!T$9:U$9)/SUMPRODUCT(ISNUMBER('Advanced 0-10'!T70:U70)*'Advanced Entry'!T$9:U$9),1))</f>
        <v/>
      </c>
      <c r="I70" s="7">
        <f>IF(SUMPRODUCT(ISNUMBER('Advanced 0-10'!V70:Z70)*'Advanced Entry'!V$9:Z$9)=0,"",ROUND(SUMPRODUCT(IFERROR('Advanced 0-10'!V70:Z70*1,0)*'Advanced Entry'!V$9:Z$9)/SUMPRODUCT(ISNUMBER('Advanced 0-10'!V70:Z70)*'Advanced Entry'!V$9:Z$9),1))</f>
        <v/>
      </c>
      <c r="J70" s="7">
        <f>IF(SUMPRODUCT(ISNUMBER('Advanced 0-10'!AA70:AA70)*'Advanced Entry'!AA$9:AA$9)=0,"",ROUND(SUMPRODUCT(IFERROR('Advanced 0-10'!AA70:AA70*1,0)*'Advanced Entry'!AA$9:AA$9)/SUMPRODUCT(ISNUMBER('Advanced 0-10'!AA70:AA70)*'Advanced Entry'!AA$9:AA$9),1))</f>
        <v/>
      </c>
      <c r="K70" s="7">
        <f>IF(SUMPRODUCT(ISNUMBER('Advanced 0-10'!AB70:AB70)*'Advanced Entry'!AB$9:AB$9)=0,"",ROUND(SUMPRODUCT(IFERROR('Advanced 0-10'!AB70:AB70*1,0)*'Advanced Entry'!AB$9:AB$9)/SUMPRODUCT(ISNUMBER('Advanced 0-10'!AB70:AB70)*'Advanced Entry'!AB$9:AB$9),1))</f>
        <v/>
      </c>
      <c r="L70" s="19">
        <f>IF(SUMPRODUCT(--ISNUMBER(D70:K70))=0,"",ROUND(SUMPRODUCT(IFERROR(D70:K70*1,0))/SUMPRODUCT(--ISNUMBER(D70:K70)),1))</f>
        <v/>
      </c>
    </row>
    <row r="71">
      <c r="A71" t="inlineStr">
        <is>
          <t>Kilimanjaro</t>
        </is>
      </c>
      <c r="B71" t="inlineStr">
        <is>
          <t>Rombo District</t>
        </is>
      </c>
      <c r="C71" t="inlineStr">
        <is>
          <t>C016</t>
        </is>
      </c>
      <c r="D71" s="7">
        <f>IF(SUMPRODUCT(ISNUMBER('Advanced 0-10'!D71:J71)*'Advanced Entry'!D$9:J$9)=0,"",ROUND(SUMPRODUCT(IFERROR('Advanced 0-10'!D71:J71*1,0)*'Advanced Entry'!D$9:J$9)/SUMPRODUCT(ISNUMBER('Advanced 0-10'!D71:J71)*'Advanced Entry'!D$9:J$9),1))</f>
        <v/>
      </c>
      <c r="E71" s="7">
        <f>IF(SUMPRODUCT(ISNUMBER('Advanced 0-10'!K71:O71)*'Advanced Entry'!K$9:O$9)=0,"",ROUND(SUMPRODUCT(IFERROR('Advanced 0-10'!K71:O71*1,0)*'Advanced Entry'!K$9:O$9)/SUMPRODUCT(ISNUMBER('Advanced 0-10'!K71:O71)*'Advanced Entry'!K$9:O$9),1))</f>
        <v/>
      </c>
      <c r="F71" s="7">
        <f>IF(SUMPRODUCT(ISNUMBER('Advanced 0-10'!P71:Q71)*'Advanced Entry'!P$9:Q$9)=0,"",ROUND(SUMPRODUCT(IFERROR('Advanced 0-10'!P71:Q71*1,0)*'Advanced Entry'!P$9:Q$9)/SUMPRODUCT(ISNUMBER('Advanced 0-10'!P71:Q71)*'Advanced Entry'!P$9:Q$9),1))</f>
        <v/>
      </c>
      <c r="G71" s="7">
        <f>IF(SUMPRODUCT(ISNUMBER('Advanced 0-10'!R71:S71)*'Advanced Entry'!R$9:S$9)=0,"",ROUND(SUMPRODUCT(IFERROR('Advanced 0-10'!R71:S71*1,0)*'Advanced Entry'!R$9:S$9)/SUMPRODUCT(ISNUMBER('Advanced 0-10'!R71:S71)*'Advanced Entry'!R$9:S$9),1))</f>
        <v/>
      </c>
      <c r="H71" s="7">
        <f>IF(SUMPRODUCT(ISNUMBER('Advanced 0-10'!T71:U71)*'Advanced Entry'!T$9:U$9)=0,"",ROUND(SUMPRODUCT(IFERROR('Advanced 0-10'!T71:U71*1,0)*'Advanced Entry'!T$9:U$9)/SUMPRODUCT(ISNUMBER('Advanced 0-10'!T71:U71)*'Advanced Entry'!T$9:U$9),1))</f>
        <v/>
      </c>
      <c r="I71" s="7">
        <f>IF(SUMPRODUCT(ISNUMBER('Advanced 0-10'!V71:Z71)*'Advanced Entry'!V$9:Z$9)=0,"",ROUND(SUMPRODUCT(IFERROR('Advanced 0-10'!V71:Z71*1,0)*'Advanced Entry'!V$9:Z$9)/SUMPRODUCT(ISNUMBER('Advanced 0-10'!V71:Z71)*'Advanced Entry'!V$9:Z$9),1))</f>
        <v/>
      </c>
      <c r="J71" s="7">
        <f>IF(SUMPRODUCT(ISNUMBER('Advanced 0-10'!AA71:AA71)*'Advanced Entry'!AA$9:AA$9)=0,"",ROUND(SUMPRODUCT(IFERROR('Advanced 0-10'!AA71:AA71*1,0)*'Advanced Entry'!AA$9:AA$9)/SUMPRODUCT(ISNUMBER('Advanced 0-10'!AA71:AA71)*'Advanced Entry'!AA$9:AA$9),1))</f>
        <v/>
      </c>
      <c r="K71" s="7">
        <f>IF(SUMPRODUCT(ISNUMBER('Advanced 0-10'!AB71:AB71)*'Advanced Entry'!AB$9:AB$9)=0,"",ROUND(SUMPRODUCT(IFERROR('Advanced 0-10'!AB71:AB71*1,0)*'Advanced Entry'!AB$9:AB$9)/SUMPRODUCT(ISNUMBER('Advanced 0-10'!AB71:AB71)*'Advanced Entry'!AB$9:AB$9),1))</f>
        <v/>
      </c>
      <c r="L71" s="19">
        <f>IF(SUMPRODUCT(--ISNUMBER(D71:K71))=0,"",ROUND(SUMPRODUCT(IFERROR(D71:K71*1,0))/SUMPRODUCT(--ISNUMBER(D71:K71)),1))</f>
        <v/>
      </c>
    </row>
    <row r="72">
      <c r="A72" t="inlineStr">
        <is>
          <t>Kilimanjaro</t>
        </is>
      </c>
      <c r="B72" t="inlineStr">
        <is>
          <t>Same District</t>
        </is>
      </c>
      <c r="C72" t="inlineStr">
        <is>
          <t>C018</t>
        </is>
      </c>
      <c r="D72" s="7">
        <f>IF(SUMPRODUCT(ISNUMBER('Advanced 0-10'!D72:J72)*'Advanced Entry'!D$9:J$9)=0,"",ROUND(SUMPRODUCT(IFERROR('Advanced 0-10'!D72:J72*1,0)*'Advanced Entry'!D$9:J$9)/SUMPRODUCT(ISNUMBER('Advanced 0-10'!D72:J72)*'Advanced Entry'!D$9:J$9),1))</f>
        <v/>
      </c>
      <c r="E72" s="7">
        <f>IF(SUMPRODUCT(ISNUMBER('Advanced 0-10'!K72:O72)*'Advanced Entry'!K$9:O$9)=0,"",ROUND(SUMPRODUCT(IFERROR('Advanced 0-10'!K72:O72*1,0)*'Advanced Entry'!K$9:O$9)/SUMPRODUCT(ISNUMBER('Advanced 0-10'!K72:O72)*'Advanced Entry'!K$9:O$9),1))</f>
        <v/>
      </c>
      <c r="F72" s="7">
        <f>IF(SUMPRODUCT(ISNUMBER('Advanced 0-10'!P72:Q72)*'Advanced Entry'!P$9:Q$9)=0,"",ROUND(SUMPRODUCT(IFERROR('Advanced 0-10'!P72:Q72*1,0)*'Advanced Entry'!P$9:Q$9)/SUMPRODUCT(ISNUMBER('Advanced 0-10'!P72:Q72)*'Advanced Entry'!P$9:Q$9),1))</f>
        <v/>
      </c>
      <c r="G72" s="7">
        <f>IF(SUMPRODUCT(ISNUMBER('Advanced 0-10'!R72:S72)*'Advanced Entry'!R$9:S$9)=0,"",ROUND(SUMPRODUCT(IFERROR('Advanced 0-10'!R72:S72*1,0)*'Advanced Entry'!R$9:S$9)/SUMPRODUCT(ISNUMBER('Advanced 0-10'!R72:S72)*'Advanced Entry'!R$9:S$9),1))</f>
        <v/>
      </c>
      <c r="H72" s="7">
        <f>IF(SUMPRODUCT(ISNUMBER('Advanced 0-10'!T72:U72)*'Advanced Entry'!T$9:U$9)=0,"",ROUND(SUMPRODUCT(IFERROR('Advanced 0-10'!T72:U72*1,0)*'Advanced Entry'!T$9:U$9)/SUMPRODUCT(ISNUMBER('Advanced 0-10'!T72:U72)*'Advanced Entry'!T$9:U$9),1))</f>
        <v/>
      </c>
      <c r="I72" s="7">
        <f>IF(SUMPRODUCT(ISNUMBER('Advanced 0-10'!V72:Z72)*'Advanced Entry'!V$9:Z$9)=0,"",ROUND(SUMPRODUCT(IFERROR('Advanced 0-10'!V72:Z72*1,0)*'Advanced Entry'!V$9:Z$9)/SUMPRODUCT(ISNUMBER('Advanced 0-10'!V72:Z72)*'Advanced Entry'!V$9:Z$9),1))</f>
        <v/>
      </c>
      <c r="J72" s="7">
        <f>IF(SUMPRODUCT(ISNUMBER('Advanced 0-10'!AA72:AA72)*'Advanced Entry'!AA$9:AA$9)=0,"",ROUND(SUMPRODUCT(IFERROR('Advanced 0-10'!AA72:AA72*1,0)*'Advanced Entry'!AA$9:AA$9)/SUMPRODUCT(ISNUMBER('Advanced 0-10'!AA72:AA72)*'Advanced Entry'!AA$9:AA$9),1))</f>
        <v/>
      </c>
      <c r="K72" s="7">
        <f>IF(SUMPRODUCT(ISNUMBER('Advanced 0-10'!AB72:AB72)*'Advanced Entry'!AB$9:AB$9)=0,"",ROUND(SUMPRODUCT(IFERROR('Advanced 0-10'!AB72:AB72*1,0)*'Advanced Entry'!AB$9:AB$9)/SUMPRODUCT(ISNUMBER('Advanced 0-10'!AB72:AB72)*'Advanced Entry'!AB$9:AB$9),1))</f>
        <v/>
      </c>
      <c r="L72" s="19">
        <f>IF(SUMPRODUCT(--ISNUMBER(D72:K72))=0,"",ROUND(SUMPRODUCT(IFERROR(D72:K72*1,0))/SUMPRODUCT(--ISNUMBER(D72:K72)),1))</f>
        <v/>
      </c>
    </row>
    <row r="73">
      <c r="A73" t="inlineStr">
        <is>
          <t>Kilimanjaro</t>
        </is>
      </c>
      <c r="B73" t="inlineStr">
        <is>
          <t>Siha District</t>
        </is>
      </c>
      <c r="C73" t="inlineStr">
        <is>
          <t>C022</t>
        </is>
      </c>
      <c r="D73" s="7">
        <f>IF(SUMPRODUCT(ISNUMBER('Advanced 0-10'!D73:J73)*'Advanced Entry'!D$9:J$9)=0,"",ROUND(SUMPRODUCT(IFERROR('Advanced 0-10'!D73:J73*1,0)*'Advanced Entry'!D$9:J$9)/SUMPRODUCT(ISNUMBER('Advanced 0-10'!D73:J73)*'Advanced Entry'!D$9:J$9),1))</f>
        <v/>
      </c>
      <c r="E73" s="7">
        <f>IF(SUMPRODUCT(ISNUMBER('Advanced 0-10'!K73:O73)*'Advanced Entry'!K$9:O$9)=0,"",ROUND(SUMPRODUCT(IFERROR('Advanced 0-10'!K73:O73*1,0)*'Advanced Entry'!K$9:O$9)/SUMPRODUCT(ISNUMBER('Advanced 0-10'!K73:O73)*'Advanced Entry'!K$9:O$9),1))</f>
        <v/>
      </c>
      <c r="F73" s="7">
        <f>IF(SUMPRODUCT(ISNUMBER('Advanced 0-10'!P73:Q73)*'Advanced Entry'!P$9:Q$9)=0,"",ROUND(SUMPRODUCT(IFERROR('Advanced 0-10'!P73:Q73*1,0)*'Advanced Entry'!P$9:Q$9)/SUMPRODUCT(ISNUMBER('Advanced 0-10'!P73:Q73)*'Advanced Entry'!P$9:Q$9),1))</f>
        <v/>
      </c>
      <c r="G73" s="7">
        <f>IF(SUMPRODUCT(ISNUMBER('Advanced 0-10'!R73:S73)*'Advanced Entry'!R$9:S$9)=0,"",ROUND(SUMPRODUCT(IFERROR('Advanced 0-10'!R73:S73*1,0)*'Advanced Entry'!R$9:S$9)/SUMPRODUCT(ISNUMBER('Advanced 0-10'!R73:S73)*'Advanced Entry'!R$9:S$9),1))</f>
        <v/>
      </c>
      <c r="H73" s="7">
        <f>IF(SUMPRODUCT(ISNUMBER('Advanced 0-10'!T73:U73)*'Advanced Entry'!T$9:U$9)=0,"",ROUND(SUMPRODUCT(IFERROR('Advanced 0-10'!T73:U73*1,0)*'Advanced Entry'!T$9:U$9)/SUMPRODUCT(ISNUMBER('Advanced 0-10'!T73:U73)*'Advanced Entry'!T$9:U$9),1))</f>
        <v/>
      </c>
      <c r="I73" s="7">
        <f>IF(SUMPRODUCT(ISNUMBER('Advanced 0-10'!V73:Z73)*'Advanced Entry'!V$9:Z$9)=0,"",ROUND(SUMPRODUCT(IFERROR('Advanced 0-10'!V73:Z73*1,0)*'Advanced Entry'!V$9:Z$9)/SUMPRODUCT(ISNUMBER('Advanced 0-10'!V73:Z73)*'Advanced Entry'!V$9:Z$9),1))</f>
        <v/>
      </c>
      <c r="J73" s="7">
        <f>IF(SUMPRODUCT(ISNUMBER('Advanced 0-10'!AA73:AA73)*'Advanced Entry'!AA$9:AA$9)=0,"",ROUND(SUMPRODUCT(IFERROR('Advanced 0-10'!AA73:AA73*1,0)*'Advanced Entry'!AA$9:AA$9)/SUMPRODUCT(ISNUMBER('Advanced 0-10'!AA73:AA73)*'Advanced Entry'!AA$9:AA$9),1))</f>
        <v/>
      </c>
      <c r="K73" s="7">
        <f>IF(SUMPRODUCT(ISNUMBER('Advanced 0-10'!AB73:AB73)*'Advanced Entry'!AB$9:AB$9)=0,"",ROUND(SUMPRODUCT(IFERROR('Advanced 0-10'!AB73:AB73*1,0)*'Advanced Entry'!AB$9:AB$9)/SUMPRODUCT(ISNUMBER('Advanced 0-10'!AB73:AB73)*'Advanced Entry'!AB$9:AB$9),1))</f>
        <v/>
      </c>
      <c r="L73" s="19">
        <f>IF(SUMPRODUCT(--ISNUMBER(D73:K73))=0,"",ROUND(SUMPRODUCT(IFERROR(D73:K73*1,0))/SUMPRODUCT(--ISNUMBER(D73:K73)),1))</f>
        <v/>
      </c>
    </row>
    <row r="74">
      <c r="A74" t="inlineStr">
        <is>
          <t>Kusini Pemba</t>
        </is>
      </c>
      <c r="B74" t="inlineStr">
        <is>
          <t>Chake Chake Town</t>
        </is>
      </c>
      <c r="C74" t="inlineStr">
        <is>
          <t>C194</t>
        </is>
      </c>
      <c r="D74" s="7">
        <f>IF(SUMPRODUCT(ISNUMBER('Advanced 0-10'!D74:J74)*'Advanced Entry'!D$9:J$9)=0,"",ROUND(SUMPRODUCT(IFERROR('Advanced 0-10'!D74:J74*1,0)*'Advanced Entry'!D$9:J$9)/SUMPRODUCT(ISNUMBER('Advanced 0-10'!D74:J74)*'Advanced Entry'!D$9:J$9),1))</f>
        <v/>
      </c>
      <c r="E74" s="7">
        <f>IF(SUMPRODUCT(ISNUMBER('Advanced 0-10'!K74:O74)*'Advanced Entry'!K$9:O$9)=0,"",ROUND(SUMPRODUCT(IFERROR('Advanced 0-10'!K74:O74*1,0)*'Advanced Entry'!K$9:O$9)/SUMPRODUCT(ISNUMBER('Advanced 0-10'!K74:O74)*'Advanced Entry'!K$9:O$9),1))</f>
        <v/>
      </c>
      <c r="F74" s="7">
        <f>IF(SUMPRODUCT(ISNUMBER('Advanced 0-10'!P74:Q74)*'Advanced Entry'!P$9:Q$9)=0,"",ROUND(SUMPRODUCT(IFERROR('Advanced 0-10'!P74:Q74*1,0)*'Advanced Entry'!P$9:Q$9)/SUMPRODUCT(ISNUMBER('Advanced 0-10'!P74:Q74)*'Advanced Entry'!P$9:Q$9),1))</f>
        <v/>
      </c>
      <c r="G74" s="7">
        <f>IF(SUMPRODUCT(ISNUMBER('Advanced 0-10'!R74:S74)*'Advanced Entry'!R$9:S$9)=0,"",ROUND(SUMPRODUCT(IFERROR('Advanced 0-10'!R74:S74*1,0)*'Advanced Entry'!R$9:S$9)/SUMPRODUCT(ISNUMBER('Advanced 0-10'!R74:S74)*'Advanced Entry'!R$9:S$9),1))</f>
        <v/>
      </c>
      <c r="H74" s="7">
        <f>IF(SUMPRODUCT(ISNUMBER('Advanced 0-10'!T74:U74)*'Advanced Entry'!T$9:U$9)=0,"",ROUND(SUMPRODUCT(IFERROR('Advanced 0-10'!T74:U74*1,0)*'Advanced Entry'!T$9:U$9)/SUMPRODUCT(ISNUMBER('Advanced 0-10'!T74:U74)*'Advanced Entry'!T$9:U$9),1))</f>
        <v/>
      </c>
      <c r="I74" s="7">
        <f>IF(SUMPRODUCT(ISNUMBER('Advanced 0-10'!V74:Z74)*'Advanced Entry'!V$9:Z$9)=0,"",ROUND(SUMPRODUCT(IFERROR('Advanced 0-10'!V74:Z74*1,0)*'Advanced Entry'!V$9:Z$9)/SUMPRODUCT(ISNUMBER('Advanced 0-10'!V74:Z74)*'Advanced Entry'!V$9:Z$9),1))</f>
        <v/>
      </c>
      <c r="J74" s="7">
        <f>IF(SUMPRODUCT(ISNUMBER('Advanced 0-10'!AA74:AA74)*'Advanced Entry'!AA$9:AA$9)=0,"",ROUND(SUMPRODUCT(IFERROR('Advanced 0-10'!AA74:AA74*1,0)*'Advanced Entry'!AA$9:AA$9)/SUMPRODUCT(ISNUMBER('Advanced 0-10'!AA74:AA74)*'Advanced Entry'!AA$9:AA$9),1))</f>
        <v/>
      </c>
      <c r="K74" s="7">
        <f>IF(SUMPRODUCT(ISNUMBER('Advanced 0-10'!AB74:AB74)*'Advanced Entry'!AB$9:AB$9)=0,"",ROUND(SUMPRODUCT(IFERROR('Advanced 0-10'!AB74:AB74*1,0)*'Advanced Entry'!AB$9:AB$9)/SUMPRODUCT(ISNUMBER('Advanced 0-10'!AB74:AB74)*'Advanced Entry'!AB$9:AB$9),1))</f>
        <v/>
      </c>
      <c r="L74" s="19">
        <f>IF(SUMPRODUCT(--ISNUMBER(D74:K74))=0,"",ROUND(SUMPRODUCT(IFERROR(D74:K74*1,0))/SUMPRODUCT(--ISNUMBER(D74:K74)),1))</f>
        <v/>
      </c>
    </row>
    <row r="75">
      <c r="A75" t="inlineStr">
        <is>
          <t>Kusini Pemba</t>
        </is>
      </c>
      <c r="B75" t="inlineStr">
        <is>
          <t>Mkoani Town</t>
        </is>
      </c>
      <c r="C75" t="inlineStr">
        <is>
          <t>C195</t>
        </is>
      </c>
      <c r="D75" s="7">
        <f>IF(SUMPRODUCT(ISNUMBER('Advanced 0-10'!D75:J75)*'Advanced Entry'!D$9:J$9)=0,"",ROUND(SUMPRODUCT(IFERROR('Advanced 0-10'!D75:J75*1,0)*'Advanced Entry'!D$9:J$9)/SUMPRODUCT(ISNUMBER('Advanced 0-10'!D75:J75)*'Advanced Entry'!D$9:J$9),1))</f>
        <v/>
      </c>
      <c r="E75" s="7">
        <f>IF(SUMPRODUCT(ISNUMBER('Advanced 0-10'!K75:O75)*'Advanced Entry'!K$9:O$9)=0,"",ROUND(SUMPRODUCT(IFERROR('Advanced 0-10'!K75:O75*1,0)*'Advanced Entry'!K$9:O$9)/SUMPRODUCT(ISNUMBER('Advanced 0-10'!K75:O75)*'Advanced Entry'!K$9:O$9),1))</f>
        <v/>
      </c>
      <c r="F75" s="7">
        <f>IF(SUMPRODUCT(ISNUMBER('Advanced 0-10'!P75:Q75)*'Advanced Entry'!P$9:Q$9)=0,"",ROUND(SUMPRODUCT(IFERROR('Advanced 0-10'!P75:Q75*1,0)*'Advanced Entry'!P$9:Q$9)/SUMPRODUCT(ISNUMBER('Advanced 0-10'!P75:Q75)*'Advanced Entry'!P$9:Q$9),1))</f>
        <v/>
      </c>
      <c r="G75" s="7">
        <f>IF(SUMPRODUCT(ISNUMBER('Advanced 0-10'!R75:S75)*'Advanced Entry'!R$9:S$9)=0,"",ROUND(SUMPRODUCT(IFERROR('Advanced 0-10'!R75:S75*1,0)*'Advanced Entry'!R$9:S$9)/SUMPRODUCT(ISNUMBER('Advanced 0-10'!R75:S75)*'Advanced Entry'!R$9:S$9),1))</f>
        <v/>
      </c>
      <c r="H75" s="7">
        <f>IF(SUMPRODUCT(ISNUMBER('Advanced 0-10'!T75:U75)*'Advanced Entry'!T$9:U$9)=0,"",ROUND(SUMPRODUCT(IFERROR('Advanced 0-10'!T75:U75*1,0)*'Advanced Entry'!T$9:U$9)/SUMPRODUCT(ISNUMBER('Advanced 0-10'!T75:U75)*'Advanced Entry'!T$9:U$9),1))</f>
        <v/>
      </c>
      <c r="I75" s="7">
        <f>IF(SUMPRODUCT(ISNUMBER('Advanced 0-10'!V75:Z75)*'Advanced Entry'!V$9:Z$9)=0,"",ROUND(SUMPRODUCT(IFERROR('Advanced 0-10'!V75:Z75*1,0)*'Advanced Entry'!V$9:Z$9)/SUMPRODUCT(ISNUMBER('Advanced 0-10'!V75:Z75)*'Advanced Entry'!V$9:Z$9),1))</f>
        <v/>
      </c>
      <c r="J75" s="7">
        <f>IF(SUMPRODUCT(ISNUMBER('Advanced 0-10'!AA75:AA75)*'Advanced Entry'!AA$9:AA$9)=0,"",ROUND(SUMPRODUCT(IFERROR('Advanced 0-10'!AA75:AA75*1,0)*'Advanced Entry'!AA$9:AA$9)/SUMPRODUCT(ISNUMBER('Advanced 0-10'!AA75:AA75)*'Advanced Entry'!AA$9:AA$9),1))</f>
        <v/>
      </c>
      <c r="K75" s="7">
        <f>IF(SUMPRODUCT(ISNUMBER('Advanced 0-10'!AB75:AB75)*'Advanced Entry'!AB$9:AB$9)=0,"",ROUND(SUMPRODUCT(IFERROR('Advanced 0-10'!AB75:AB75*1,0)*'Advanced Entry'!AB$9:AB$9)/SUMPRODUCT(ISNUMBER('Advanced 0-10'!AB75:AB75)*'Advanced Entry'!AB$9:AB$9),1))</f>
        <v/>
      </c>
      <c r="L75" s="19">
        <f>IF(SUMPRODUCT(--ISNUMBER(D75:K75))=0,"",ROUND(SUMPRODUCT(IFERROR(D75:K75*1,0))/SUMPRODUCT(--ISNUMBER(D75:K75)),1))</f>
        <v/>
      </c>
    </row>
    <row r="76">
      <c r="A76" t="inlineStr">
        <is>
          <t>Kusini Unguja</t>
        </is>
      </c>
      <c r="B76" t="inlineStr">
        <is>
          <t>Kati Town</t>
        </is>
      </c>
      <c r="C76" t="inlineStr">
        <is>
          <t>C187</t>
        </is>
      </c>
      <c r="D76" s="7">
        <f>IF(SUMPRODUCT(ISNUMBER('Advanced 0-10'!D76:J76)*'Advanced Entry'!D$9:J$9)=0,"",ROUND(SUMPRODUCT(IFERROR('Advanced 0-10'!D76:J76*1,0)*'Advanced Entry'!D$9:J$9)/SUMPRODUCT(ISNUMBER('Advanced 0-10'!D76:J76)*'Advanced Entry'!D$9:J$9),1))</f>
        <v/>
      </c>
      <c r="E76" s="7">
        <f>IF(SUMPRODUCT(ISNUMBER('Advanced 0-10'!K76:O76)*'Advanced Entry'!K$9:O$9)=0,"",ROUND(SUMPRODUCT(IFERROR('Advanced 0-10'!K76:O76*1,0)*'Advanced Entry'!K$9:O$9)/SUMPRODUCT(ISNUMBER('Advanced 0-10'!K76:O76)*'Advanced Entry'!K$9:O$9),1))</f>
        <v/>
      </c>
      <c r="F76" s="7">
        <f>IF(SUMPRODUCT(ISNUMBER('Advanced 0-10'!P76:Q76)*'Advanced Entry'!P$9:Q$9)=0,"",ROUND(SUMPRODUCT(IFERROR('Advanced 0-10'!P76:Q76*1,0)*'Advanced Entry'!P$9:Q$9)/SUMPRODUCT(ISNUMBER('Advanced 0-10'!P76:Q76)*'Advanced Entry'!P$9:Q$9),1))</f>
        <v/>
      </c>
      <c r="G76" s="7">
        <f>IF(SUMPRODUCT(ISNUMBER('Advanced 0-10'!R76:S76)*'Advanced Entry'!R$9:S$9)=0,"",ROUND(SUMPRODUCT(IFERROR('Advanced 0-10'!R76:S76*1,0)*'Advanced Entry'!R$9:S$9)/SUMPRODUCT(ISNUMBER('Advanced 0-10'!R76:S76)*'Advanced Entry'!R$9:S$9),1))</f>
        <v/>
      </c>
      <c r="H76" s="7">
        <f>IF(SUMPRODUCT(ISNUMBER('Advanced 0-10'!T76:U76)*'Advanced Entry'!T$9:U$9)=0,"",ROUND(SUMPRODUCT(IFERROR('Advanced 0-10'!T76:U76*1,0)*'Advanced Entry'!T$9:U$9)/SUMPRODUCT(ISNUMBER('Advanced 0-10'!T76:U76)*'Advanced Entry'!T$9:U$9),1))</f>
        <v/>
      </c>
      <c r="I76" s="7">
        <f>IF(SUMPRODUCT(ISNUMBER('Advanced 0-10'!V76:Z76)*'Advanced Entry'!V$9:Z$9)=0,"",ROUND(SUMPRODUCT(IFERROR('Advanced 0-10'!V76:Z76*1,0)*'Advanced Entry'!V$9:Z$9)/SUMPRODUCT(ISNUMBER('Advanced 0-10'!V76:Z76)*'Advanced Entry'!V$9:Z$9),1))</f>
        <v/>
      </c>
      <c r="J76" s="7">
        <f>IF(SUMPRODUCT(ISNUMBER('Advanced 0-10'!AA76:AA76)*'Advanced Entry'!AA$9:AA$9)=0,"",ROUND(SUMPRODUCT(IFERROR('Advanced 0-10'!AA76:AA76*1,0)*'Advanced Entry'!AA$9:AA$9)/SUMPRODUCT(ISNUMBER('Advanced 0-10'!AA76:AA76)*'Advanced Entry'!AA$9:AA$9),1))</f>
        <v/>
      </c>
      <c r="K76" s="7">
        <f>IF(SUMPRODUCT(ISNUMBER('Advanced 0-10'!AB76:AB76)*'Advanced Entry'!AB$9:AB$9)=0,"",ROUND(SUMPRODUCT(IFERROR('Advanced 0-10'!AB76:AB76*1,0)*'Advanced Entry'!AB$9:AB$9)/SUMPRODUCT(ISNUMBER('Advanced 0-10'!AB76:AB76)*'Advanced Entry'!AB$9:AB$9),1))</f>
        <v/>
      </c>
      <c r="L76" s="19">
        <f>IF(SUMPRODUCT(--ISNUMBER(D76:K76))=0,"",ROUND(SUMPRODUCT(IFERROR(D76:K76*1,0))/SUMPRODUCT(--ISNUMBER(D76:K76)),1))</f>
        <v/>
      </c>
    </row>
    <row r="77">
      <c r="A77" t="inlineStr">
        <is>
          <t>Kusini Unguja</t>
        </is>
      </c>
      <c r="B77" t="inlineStr">
        <is>
          <t>Kusini District</t>
        </is>
      </c>
      <c r="C77" t="inlineStr">
        <is>
          <t>C188</t>
        </is>
      </c>
      <c r="D77" s="7">
        <f>IF(SUMPRODUCT(ISNUMBER('Advanced 0-10'!D77:J77)*'Advanced Entry'!D$9:J$9)=0,"",ROUND(SUMPRODUCT(IFERROR('Advanced 0-10'!D77:J77*1,0)*'Advanced Entry'!D$9:J$9)/SUMPRODUCT(ISNUMBER('Advanced 0-10'!D77:J77)*'Advanced Entry'!D$9:J$9),1))</f>
        <v/>
      </c>
      <c r="E77" s="7">
        <f>IF(SUMPRODUCT(ISNUMBER('Advanced 0-10'!K77:O77)*'Advanced Entry'!K$9:O$9)=0,"",ROUND(SUMPRODUCT(IFERROR('Advanced 0-10'!K77:O77*1,0)*'Advanced Entry'!K$9:O$9)/SUMPRODUCT(ISNUMBER('Advanced 0-10'!K77:O77)*'Advanced Entry'!K$9:O$9),1))</f>
        <v/>
      </c>
      <c r="F77" s="7">
        <f>IF(SUMPRODUCT(ISNUMBER('Advanced 0-10'!P77:Q77)*'Advanced Entry'!P$9:Q$9)=0,"",ROUND(SUMPRODUCT(IFERROR('Advanced 0-10'!P77:Q77*1,0)*'Advanced Entry'!P$9:Q$9)/SUMPRODUCT(ISNUMBER('Advanced 0-10'!P77:Q77)*'Advanced Entry'!P$9:Q$9),1))</f>
        <v/>
      </c>
      <c r="G77" s="7">
        <f>IF(SUMPRODUCT(ISNUMBER('Advanced 0-10'!R77:S77)*'Advanced Entry'!R$9:S$9)=0,"",ROUND(SUMPRODUCT(IFERROR('Advanced 0-10'!R77:S77*1,0)*'Advanced Entry'!R$9:S$9)/SUMPRODUCT(ISNUMBER('Advanced 0-10'!R77:S77)*'Advanced Entry'!R$9:S$9),1))</f>
        <v/>
      </c>
      <c r="H77" s="7">
        <f>IF(SUMPRODUCT(ISNUMBER('Advanced 0-10'!T77:U77)*'Advanced Entry'!T$9:U$9)=0,"",ROUND(SUMPRODUCT(IFERROR('Advanced 0-10'!T77:U77*1,0)*'Advanced Entry'!T$9:U$9)/SUMPRODUCT(ISNUMBER('Advanced 0-10'!T77:U77)*'Advanced Entry'!T$9:U$9),1))</f>
        <v/>
      </c>
      <c r="I77" s="7">
        <f>IF(SUMPRODUCT(ISNUMBER('Advanced 0-10'!V77:Z77)*'Advanced Entry'!V$9:Z$9)=0,"",ROUND(SUMPRODUCT(IFERROR('Advanced 0-10'!V77:Z77*1,0)*'Advanced Entry'!V$9:Z$9)/SUMPRODUCT(ISNUMBER('Advanced 0-10'!V77:Z77)*'Advanced Entry'!V$9:Z$9),1))</f>
        <v/>
      </c>
      <c r="J77" s="7">
        <f>IF(SUMPRODUCT(ISNUMBER('Advanced 0-10'!AA77:AA77)*'Advanced Entry'!AA$9:AA$9)=0,"",ROUND(SUMPRODUCT(IFERROR('Advanced 0-10'!AA77:AA77*1,0)*'Advanced Entry'!AA$9:AA$9)/SUMPRODUCT(ISNUMBER('Advanced 0-10'!AA77:AA77)*'Advanced Entry'!AA$9:AA$9),1))</f>
        <v/>
      </c>
      <c r="K77" s="7">
        <f>IF(SUMPRODUCT(ISNUMBER('Advanced 0-10'!AB77:AB77)*'Advanced Entry'!AB$9:AB$9)=0,"",ROUND(SUMPRODUCT(IFERROR('Advanced 0-10'!AB77:AB77*1,0)*'Advanced Entry'!AB$9:AB$9)/SUMPRODUCT(ISNUMBER('Advanced 0-10'!AB77:AB77)*'Advanced Entry'!AB$9:AB$9),1))</f>
        <v/>
      </c>
      <c r="L77" s="19">
        <f>IF(SUMPRODUCT(--ISNUMBER(D77:K77))=0,"",ROUND(SUMPRODUCT(IFERROR(D77:K77*1,0))/SUMPRODUCT(--ISNUMBER(D77:K77)),1))</f>
        <v/>
      </c>
    </row>
    <row r="78">
      <c r="A78" t="inlineStr">
        <is>
          <t>Lindi</t>
        </is>
      </c>
      <c r="B78" t="inlineStr">
        <is>
          <t>Kilwa District</t>
        </is>
      </c>
      <c r="C78" t="inlineStr">
        <is>
          <t>C057</t>
        </is>
      </c>
      <c r="D78" s="7">
        <f>IF(SUMPRODUCT(ISNUMBER('Advanced 0-10'!D78:J78)*'Advanced Entry'!D$9:J$9)=0,"",ROUND(SUMPRODUCT(IFERROR('Advanced 0-10'!D78:J78*1,0)*'Advanced Entry'!D$9:J$9)/SUMPRODUCT(ISNUMBER('Advanced 0-10'!D78:J78)*'Advanced Entry'!D$9:J$9),1))</f>
        <v/>
      </c>
      <c r="E78" s="7">
        <f>IF(SUMPRODUCT(ISNUMBER('Advanced 0-10'!K78:O78)*'Advanced Entry'!K$9:O$9)=0,"",ROUND(SUMPRODUCT(IFERROR('Advanced 0-10'!K78:O78*1,0)*'Advanced Entry'!K$9:O$9)/SUMPRODUCT(ISNUMBER('Advanced 0-10'!K78:O78)*'Advanced Entry'!K$9:O$9),1))</f>
        <v/>
      </c>
      <c r="F78" s="7">
        <f>IF(SUMPRODUCT(ISNUMBER('Advanced 0-10'!P78:Q78)*'Advanced Entry'!P$9:Q$9)=0,"",ROUND(SUMPRODUCT(IFERROR('Advanced 0-10'!P78:Q78*1,0)*'Advanced Entry'!P$9:Q$9)/SUMPRODUCT(ISNUMBER('Advanced 0-10'!P78:Q78)*'Advanced Entry'!P$9:Q$9),1))</f>
        <v/>
      </c>
      <c r="G78" s="7">
        <f>IF(SUMPRODUCT(ISNUMBER('Advanced 0-10'!R78:S78)*'Advanced Entry'!R$9:S$9)=0,"",ROUND(SUMPRODUCT(IFERROR('Advanced 0-10'!R78:S78*1,0)*'Advanced Entry'!R$9:S$9)/SUMPRODUCT(ISNUMBER('Advanced 0-10'!R78:S78)*'Advanced Entry'!R$9:S$9),1))</f>
        <v/>
      </c>
      <c r="H78" s="7">
        <f>IF(SUMPRODUCT(ISNUMBER('Advanced 0-10'!T78:U78)*'Advanced Entry'!T$9:U$9)=0,"",ROUND(SUMPRODUCT(IFERROR('Advanced 0-10'!T78:U78*1,0)*'Advanced Entry'!T$9:U$9)/SUMPRODUCT(ISNUMBER('Advanced 0-10'!T78:U78)*'Advanced Entry'!T$9:U$9),1))</f>
        <v/>
      </c>
      <c r="I78" s="7">
        <f>IF(SUMPRODUCT(ISNUMBER('Advanced 0-10'!V78:Z78)*'Advanced Entry'!V$9:Z$9)=0,"",ROUND(SUMPRODUCT(IFERROR('Advanced 0-10'!V78:Z78*1,0)*'Advanced Entry'!V$9:Z$9)/SUMPRODUCT(ISNUMBER('Advanced 0-10'!V78:Z78)*'Advanced Entry'!V$9:Z$9),1))</f>
        <v/>
      </c>
      <c r="J78" s="7">
        <f>IF(SUMPRODUCT(ISNUMBER('Advanced 0-10'!AA78:AA78)*'Advanced Entry'!AA$9:AA$9)=0,"",ROUND(SUMPRODUCT(IFERROR('Advanced 0-10'!AA78:AA78*1,0)*'Advanced Entry'!AA$9:AA$9)/SUMPRODUCT(ISNUMBER('Advanced 0-10'!AA78:AA78)*'Advanced Entry'!AA$9:AA$9),1))</f>
        <v/>
      </c>
      <c r="K78" s="7">
        <f>IF(SUMPRODUCT(ISNUMBER('Advanced 0-10'!AB78:AB78)*'Advanced Entry'!AB$9:AB$9)=0,"",ROUND(SUMPRODUCT(IFERROR('Advanced 0-10'!AB78:AB78*1,0)*'Advanced Entry'!AB$9:AB$9)/SUMPRODUCT(ISNUMBER('Advanced 0-10'!AB78:AB78)*'Advanced Entry'!AB$9:AB$9),1))</f>
        <v/>
      </c>
      <c r="L78" s="19">
        <f>IF(SUMPRODUCT(--ISNUMBER(D78:K78))=0,"",ROUND(SUMPRODUCT(IFERROR(D78:K78*1,0))/SUMPRODUCT(--ISNUMBER(D78:K78)),1))</f>
        <v/>
      </c>
    </row>
    <row r="79">
      <c r="A79" t="inlineStr">
        <is>
          <t>Lindi</t>
        </is>
      </c>
      <c r="B79" t="inlineStr">
        <is>
          <t>Lindi Municipal</t>
        </is>
      </c>
      <c r="C79" t="inlineStr">
        <is>
          <t>C059</t>
        </is>
      </c>
      <c r="D79" s="7">
        <f>IF(SUMPRODUCT(ISNUMBER('Advanced 0-10'!D79:J79)*'Advanced Entry'!D$9:J$9)=0,"",ROUND(SUMPRODUCT(IFERROR('Advanced 0-10'!D79:J79*1,0)*'Advanced Entry'!D$9:J$9)/SUMPRODUCT(ISNUMBER('Advanced 0-10'!D79:J79)*'Advanced Entry'!D$9:J$9),1))</f>
        <v/>
      </c>
      <c r="E79" s="7">
        <f>IF(SUMPRODUCT(ISNUMBER('Advanced 0-10'!K79:O79)*'Advanced Entry'!K$9:O$9)=0,"",ROUND(SUMPRODUCT(IFERROR('Advanced 0-10'!K79:O79*1,0)*'Advanced Entry'!K$9:O$9)/SUMPRODUCT(ISNUMBER('Advanced 0-10'!K79:O79)*'Advanced Entry'!K$9:O$9),1))</f>
        <v/>
      </c>
      <c r="F79" s="7">
        <f>IF(SUMPRODUCT(ISNUMBER('Advanced 0-10'!P79:Q79)*'Advanced Entry'!P$9:Q$9)=0,"",ROUND(SUMPRODUCT(IFERROR('Advanced 0-10'!P79:Q79*1,0)*'Advanced Entry'!P$9:Q$9)/SUMPRODUCT(ISNUMBER('Advanced 0-10'!P79:Q79)*'Advanced Entry'!P$9:Q$9),1))</f>
        <v/>
      </c>
      <c r="G79" s="7">
        <f>IF(SUMPRODUCT(ISNUMBER('Advanced 0-10'!R79:S79)*'Advanced Entry'!R$9:S$9)=0,"",ROUND(SUMPRODUCT(IFERROR('Advanced 0-10'!R79:S79*1,0)*'Advanced Entry'!R$9:S$9)/SUMPRODUCT(ISNUMBER('Advanced 0-10'!R79:S79)*'Advanced Entry'!R$9:S$9),1))</f>
        <v/>
      </c>
      <c r="H79" s="7">
        <f>IF(SUMPRODUCT(ISNUMBER('Advanced 0-10'!T79:U79)*'Advanced Entry'!T$9:U$9)=0,"",ROUND(SUMPRODUCT(IFERROR('Advanced 0-10'!T79:U79*1,0)*'Advanced Entry'!T$9:U$9)/SUMPRODUCT(ISNUMBER('Advanced 0-10'!T79:U79)*'Advanced Entry'!T$9:U$9),1))</f>
        <v/>
      </c>
      <c r="I79" s="7">
        <f>IF(SUMPRODUCT(ISNUMBER('Advanced 0-10'!V79:Z79)*'Advanced Entry'!V$9:Z$9)=0,"",ROUND(SUMPRODUCT(IFERROR('Advanced 0-10'!V79:Z79*1,0)*'Advanced Entry'!V$9:Z$9)/SUMPRODUCT(ISNUMBER('Advanced 0-10'!V79:Z79)*'Advanced Entry'!V$9:Z$9),1))</f>
        <v/>
      </c>
      <c r="J79" s="7">
        <f>IF(SUMPRODUCT(ISNUMBER('Advanced 0-10'!AA79:AA79)*'Advanced Entry'!AA$9:AA$9)=0,"",ROUND(SUMPRODUCT(IFERROR('Advanced 0-10'!AA79:AA79*1,0)*'Advanced Entry'!AA$9:AA$9)/SUMPRODUCT(ISNUMBER('Advanced 0-10'!AA79:AA79)*'Advanced Entry'!AA$9:AA$9),1))</f>
        <v/>
      </c>
      <c r="K79" s="7">
        <f>IF(SUMPRODUCT(ISNUMBER('Advanced 0-10'!AB79:AB79)*'Advanced Entry'!AB$9:AB$9)=0,"",ROUND(SUMPRODUCT(IFERROR('Advanced 0-10'!AB79:AB79*1,0)*'Advanced Entry'!AB$9:AB$9)/SUMPRODUCT(ISNUMBER('Advanced 0-10'!AB79:AB79)*'Advanced Entry'!AB$9:AB$9),1))</f>
        <v/>
      </c>
      <c r="L79" s="19">
        <f>IF(SUMPRODUCT(--ISNUMBER(D79:K79))=0,"",ROUND(SUMPRODUCT(IFERROR(D79:K79*1,0))/SUMPRODUCT(--ISNUMBER(D79:K79)),1))</f>
        <v/>
      </c>
    </row>
    <row r="80">
      <c r="A80" t="inlineStr">
        <is>
          <t>Lindi</t>
        </is>
      </c>
      <c r="B80" t="inlineStr">
        <is>
          <t>Liwale District</t>
        </is>
      </c>
      <c r="C80" t="inlineStr">
        <is>
          <t>C061</t>
        </is>
      </c>
      <c r="D80" s="7">
        <f>IF(SUMPRODUCT(ISNUMBER('Advanced 0-10'!D80:J80)*'Advanced Entry'!D$9:J$9)=0,"",ROUND(SUMPRODUCT(IFERROR('Advanced 0-10'!D80:J80*1,0)*'Advanced Entry'!D$9:J$9)/SUMPRODUCT(ISNUMBER('Advanced 0-10'!D80:J80)*'Advanced Entry'!D$9:J$9),1))</f>
        <v/>
      </c>
      <c r="E80" s="7">
        <f>IF(SUMPRODUCT(ISNUMBER('Advanced 0-10'!K80:O80)*'Advanced Entry'!K$9:O$9)=0,"",ROUND(SUMPRODUCT(IFERROR('Advanced 0-10'!K80:O80*1,0)*'Advanced Entry'!K$9:O$9)/SUMPRODUCT(ISNUMBER('Advanced 0-10'!K80:O80)*'Advanced Entry'!K$9:O$9),1))</f>
        <v/>
      </c>
      <c r="F80" s="7">
        <f>IF(SUMPRODUCT(ISNUMBER('Advanced 0-10'!P80:Q80)*'Advanced Entry'!P$9:Q$9)=0,"",ROUND(SUMPRODUCT(IFERROR('Advanced 0-10'!P80:Q80*1,0)*'Advanced Entry'!P$9:Q$9)/SUMPRODUCT(ISNUMBER('Advanced 0-10'!P80:Q80)*'Advanced Entry'!P$9:Q$9),1))</f>
        <v/>
      </c>
      <c r="G80" s="7">
        <f>IF(SUMPRODUCT(ISNUMBER('Advanced 0-10'!R80:S80)*'Advanced Entry'!R$9:S$9)=0,"",ROUND(SUMPRODUCT(IFERROR('Advanced 0-10'!R80:S80*1,0)*'Advanced Entry'!R$9:S$9)/SUMPRODUCT(ISNUMBER('Advanced 0-10'!R80:S80)*'Advanced Entry'!R$9:S$9),1))</f>
        <v/>
      </c>
      <c r="H80" s="7">
        <f>IF(SUMPRODUCT(ISNUMBER('Advanced 0-10'!T80:U80)*'Advanced Entry'!T$9:U$9)=0,"",ROUND(SUMPRODUCT(IFERROR('Advanced 0-10'!T80:U80*1,0)*'Advanced Entry'!T$9:U$9)/SUMPRODUCT(ISNUMBER('Advanced 0-10'!T80:U80)*'Advanced Entry'!T$9:U$9),1))</f>
        <v/>
      </c>
      <c r="I80" s="7">
        <f>IF(SUMPRODUCT(ISNUMBER('Advanced 0-10'!V80:Z80)*'Advanced Entry'!V$9:Z$9)=0,"",ROUND(SUMPRODUCT(IFERROR('Advanced 0-10'!V80:Z80*1,0)*'Advanced Entry'!V$9:Z$9)/SUMPRODUCT(ISNUMBER('Advanced 0-10'!V80:Z80)*'Advanced Entry'!V$9:Z$9),1))</f>
        <v/>
      </c>
      <c r="J80" s="7">
        <f>IF(SUMPRODUCT(ISNUMBER('Advanced 0-10'!AA80:AA80)*'Advanced Entry'!AA$9:AA$9)=0,"",ROUND(SUMPRODUCT(IFERROR('Advanced 0-10'!AA80:AA80*1,0)*'Advanced Entry'!AA$9:AA$9)/SUMPRODUCT(ISNUMBER('Advanced 0-10'!AA80:AA80)*'Advanced Entry'!AA$9:AA$9),1))</f>
        <v/>
      </c>
      <c r="K80" s="7">
        <f>IF(SUMPRODUCT(ISNUMBER('Advanced 0-10'!AB80:AB80)*'Advanced Entry'!AB$9:AB$9)=0,"",ROUND(SUMPRODUCT(IFERROR('Advanced 0-10'!AB80:AB80*1,0)*'Advanced Entry'!AB$9:AB$9)/SUMPRODUCT(ISNUMBER('Advanced 0-10'!AB80:AB80)*'Advanced Entry'!AB$9:AB$9),1))</f>
        <v/>
      </c>
      <c r="L80" s="19">
        <f>IF(SUMPRODUCT(--ISNUMBER(D80:K80))=0,"",ROUND(SUMPRODUCT(IFERROR(D80:K80*1,0))/SUMPRODUCT(--ISNUMBER(D80:K80)),1))</f>
        <v/>
      </c>
    </row>
    <row r="81">
      <c r="A81" t="inlineStr">
        <is>
          <t>Lindi</t>
        </is>
      </c>
      <c r="B81" t="inlineStr">
        <is>
          <t>Mtama District</t>
        </is>
      </c>
      <c r="C81" t="inlineStr">
        <is>
          <t>C058</t>
        </is>
      </c>
      <c r="D81" s="7">
        <f>IF(SUMPRODUCT(ISNUMBER('Advanced 0-10'!D81:J81)*'Advanced Entry'!D$9:J$9)=0,"",ROUND(SUMPRODUCT(IFERROR('Advanced 0-10'!D81:J81*1,0)*'Advanced Entry'!D$9:J$9)/SUMPRODUCT(ISNUMBER('Advanced 0-10'!D81:J81)*'Advanced Entry'!D$9:J$9),1))</f>
        <v/>
      </c>
      <c r="E81" s="7">
        <f>IF(SUMPRODUCT(ISNUMBER('Advanced 0-10'!K81:O81)*'Advanced Entry'!K$9:O$9)=0,"",ROUND(SUMPRODUCT(IFERROR('Advanced 0-10'!K81:O81*1,0)*'Advanced Entry'!K$9:O$9)/SUMPRODUCT(ISNUMBER('Advanced 0-10'!K81:O81)*'Advanced Entry'!K$9:O$9),1))</f>
        <v/>
      </c>
      <c r="F81" s="7">
        <f>IF(SUMPRODUCT(ISNUMBER('Advanced 0-10'!P81:Q81)*'Advanced Entry'!P$9:Q$9)=0,"",ROUND(SUMPRODUCT(IFERROR('Advanced 0-10'!P81:Q81*1,0)*'Advanced Entry'!P$9:Q$9)/SUMPRODUCT(ISNUMBER('Advanced 0-10'!P81:Q81)*'Advanced Entry'!P$9:Q$9),1))</f>
        <v/>
      </c>
      <c r="G81" s="7">
        <f>IF(SUMPRODUCT(ISNUMBER('Advanced 0-10'!R81:S81)*'Advanced Entry'!R$9:S$9)=0,"",ROUND(SUMPRODUCT(IFERROR('Advanced 0-10'!R81:S81*1,0)*'Advanced Entry'!R$9:S$9)/SUMPRODUCT(ISNUMBER('Advanced 0-10'!R81:S81)*'Advanced Entry'!R$9:S$9),1))</f>
        <v/>
      </c>
      <c r="H81" s="7">
        <f>IF(SUMPRODUCT(ISNUMBER('Advanced 0-10'!T81:U81)*'Advanced Entry'!T$9:U$9)=0,"",ROUND(SUMPRODUCT(IFERROR('Advanced 0-10'!T81:U81*1,0)*'Advanced Entry'!T$9:U$9)/SUMPRODUCT(ISNUMBER('Advanced 0-10'!T81:U81)*'Advanced Entry'!T$9:U$9),1))</f>
        <v/>
      </c>
      <c r="I81" s="7">
        <f>IF(SUMPRODUCT(ISNUMBER('Advanced 0-10'!V81:Z81)*'Advanced Entry'!V$9:Z$9)=0,"",ROUND(SUMPRODUCT(IFERROR('Advanced 0-10'!V81:Z81*1,0)*'Advanced Entry'!V$9:Z$9)/SUMPRODUCT(ISNUMBER('Advanced 0-10'!V81:Z81)*'Advanced Entry'!V$9:Z$9),1))</f>
        <v/>
      </c>
      <c r="J81" s="7">
        <f>IF(SUMPRODUCT(ISNUMBER('Advanced 0-10'!AA81:AA81)*'Advanced Entry'!AA$9:AA$9)=0,"",ROUND(SUMPRODUCT(IFERROR('Advanced 0-10'!AA81:AA81*1,0)*'Advanced Entry'!AA$9:AA$9)/SUMPRODUCT(ISNUMBER('Advanced 0-10'!AA81:AA81)*'Advanced Entry'!AA$9:AA$9),1))</f>
        <v/>
      </c>
      <c r="K81" s="7">
        <f>IF(SUMPRODUCT(ISNUMBER('Advanced 0-10'!AB81:AB81)*'Advanced Entry'!AB$9:AB$9)=0,"",ROUND(SUMPRODUCT(IFERROR('Advanced 0-10'!AB81:AB81*1,0)*'Advanced Entry'!AB$9:AB$9)/SUMPRODUCT(ISNUMBER('Advanced 0-10'!AB81:AB81)*'Advanced Entry'!AB$9:AB$9),1))</f>
        <v/>
      </c>
      <c r="L81" s="19">
        <f>IF(SUMPRODUCT(--ISNUMBER(D81:K81))=0,"",ROUND(SUMPRODUCT(IFERROR(D81:K81*1,0))/SUMPRODUCT(--ISNUMBER(D81:K81)),1))</f>
        <v/>
      </c>
    </row>
    <row r="82">
      <c r="A82" t="inlineStr">
        <is>
          <t>Lindi</t>
        </is>
      </c>
      <c r="B82" t="inlineStr">
        <is>
          <t>Nachingwea District</t>
        </is>
      </c>
      <c r="C82" t="inlineStr">
        <is>
          <t>C060</t>
        </is>
      </c>
      <c r="D82" s="7">
        <f>IF(SUMPRODUCT(ISNUMBER('Advanced 0-10'!D82:J82)*'Advanced Entry'!D$9:J$9)=0,"",ROUND(SUMPRODUCT(IFERROR('Advanced 0-10'!D82:J82*1,0)*'Advanced Entry'!D$9:J$9)/SUMPRODUCT(ISNUMBER('Advanced 0-10'!D82:J82)*'Advanced Entry'!D$9:J$9),1))</f>
        <v/>
      </c>
      <c r="E82" s="7">
        <f>IF(SUMPRODUCT(ISNUMBER('Advanced 0-10'!K82:O82)*'Advanced Entry'!K$9:O$9)=0,"",ROUND(SUMPRODUCT(IFERROR('Advanced 0-10'!K82:O82*1,0)*'Advanced Entry'!K$9:O$9)/SUMPRODUCT(ISNUMBER('Advanced 0-10'!K82:O82)*'Advanced Entry'!K$9:O$9),1))</f>
        <v/>
      </c>
      <c r="F82" s="7">
        <f>IF(SUMPRODUCT(ISNUMBER('Advanced 0-10'!P82:Q82)*'Advanced Entry'!P$9:Q$9)=0,"",ROUND(SUMPRODUCT(IFERROR('Advanced 0-10'!P82:Q82*1,0)*'Advanced Entry'!P$9:Q$9)/SUMPRODUCT(ISNUMBER('Advanced 0-10'!P82:Q82)*'Advanced Entry'!P$9:Q$9),1))</f>
        <v/>
      </c>
      <c r="G82" s="7">
        <f>IF(SUMPRODUCT(ISNUMBER('Advanced 0-10'!R82:S82)*'Advanced Entry'!R$9:S$9)=0,"",ROUND(SUMPRODUCT(IFERROR('Advanced 0-10'!R82:S82*1,0)*'Advanced Entry'!R$9:S$9)/SUMPRODUCT(ISNUMBER('Advanced 0-10'!R82:S82)*'Advanced Entry'!R$9:S$9),1))</f>
        <v/>
      </c>
      <c r="H82" s="7">
        <f>IF(SUMPRODUCT(ISNUMBER('Advanced 0-10'!T82:U82)*'Advanced Entry'!T$9:U$9)=0,"",ROUND(SUMPRODUCT(IFERROR('Advanced 0-10'!T82:U82*1,0)*'Advanced Entry'!T$9:U$9)/SUMPRODUCT(ISNUMBER('Advanced 0-10'!T82:U82)*'Advanced Entry'!T$9:U$9),1))</f>
        <v/>
      </c>
      <c r="I82" s="7">
        <f>IF(SUMPRODUCT(ISNUMBER('Advanced 0-10'!V82:Z82)*'Advanced Entry'!V$9:Z$9)=0,"",ROUND(SUMPRODUCT(IFERROR('Advanced 0-10'!V82:Z82*1,0)*'Advanced Entry'!V$9:Z$9)/SUMPRODUCT(ISNUMBER('Advanced 0-10'!V82:Z82)*'Advanced Entry'!V$9:Z$9),1))</f>
        <v/>
      </c>
      <c r="J82" s="7">
        <f>IF(SUMPRODUCT(ISNUMBER('Advanced 0-10'!AA82:AA82)*'Advanced Entry'!AA$9:AA$9)=0,"",ROUND(SUMPRODUCT(IFERROR('Advanced 0-10'!AA82:AA82*1,0)*'Advanced Entry'!AA$9:AA$9)/SUMPRODUCT(ISNUMBER('Advanced 0-10'!AA82:AA82)*'Advanced Entry'!AA$9:AA$9),1))</f>
        <v/>
      </c>
      <c r="K82" s="7">
        <f>IF(SUMPRODUCT(ISNUMBER('Advanced 0-10'!AB82:AB82)*'Advanced Entry'!AB$9:AB$9)=0,"",ROUND(SUMPRODUCT(IFERROR('Advanced 0-10'!AB82:AB82*1,0)*'Advanced Entry'!AB$9:AB$9)/SUMPRODUCT(ISNUMBER('Advanced 0-10'!AB82:AB82)*'Advanced Entry'!AB$9:AB$9),1))</f>
        <v/>
      </c>
      <c r="L82" s="19">
        <f>IF(SUMPRODUCT(--ISNUMBER(D82:K82))=0,"",ROUND(SUMPRODUCT(IFERROR(D82:K82*1,0))/SUMPRODUCT(--ISNUMBER(D82:K82)),1))</f>
        <v/>
      </c>
    </row>
    <row r="83">
      <c r="A83" t="inlineStr">
        <is>
          <t>Lindi</t>
        </is>
      </c>
      <c r="B83" t="inlineStr">
        <is>
          <t>Ruangwa District</t>
        </is>
      </c>
      <c r="C83" t="inlineStr">
        <is>
          <t>C062</t>
        </is>
      </c>
      <c r="D83" s="7">
        <f>IF(SUMPRODUCT(ISNUMBER('Advanced 0-10'!D83:J83)*'Advanced Entry'!D$9:J$9)=0,"",ROUND(SUMPRODUCT(IFERROR('Advanced 0-10'!D83:J83*1,0)*'Advanced Entry'!D$9:J$9)/SUMPRODUCT(ISNUMBER('Advanced 0-10'!D83:J83)*'Advanced Entry'!D$9:J$9),1))</f>
        <v/>
      </c>
      <c r="E83" s="7">
        <f>IF(SUMPRODUCT(ISNUMBER('Advanced 0-10'!K83:O83)*'Advanced Entry'!K$9:O$9)=0,"",ROUND(SUMPRODUCT(IFERROR('Advanced 0-10'!K83:O83*1,0)*'Advanced Entry'!K$9:O$9)/SUMPRODUCT(ISNUMBER('Advanced 0-10'!K83:O83)*'Advanced Entry'!K$9:O$9),1))</f>
        <v/>
      </c>
      <c r="F83" s="7">
        <f>IF(SUMPRODUCT(ISNUMBER('Advanced 0-10'!P83:Q83)*'Advanced Entry'!P$9:Q$9)=0,"",ROUND(SUMPRODUCT(IFERROR('Advanced 0-10'!P83:Q83*1,0)*'Advanced Entry'!P$9:Q$9)/SUMPRODUCT(ISNUMBER('Advanced 0-10'!P83:Q83)*'Advanced Entry'!P$9:Q$9),1))</f>
        <v/>
      </c>
      <c r="G83" s="7">
        <f>IF(SUMPRODUCT(ISNUMBER('Advanced 0-10'!R83:S83)*'Advanced Entry'!R$9:S$9)=0,"",ROUND(SUMPRODUCT(IFERROR('Advanced 0-10'!R83:S83*1,0)*'Advanced Entry'!R$9:S$9)/SUMPRODUCT(ISNUMBER('Advanced 0-10'!R83:S83)*'Advanced Entry'!R$9:S$9),1))</f>
        <v/>
      </c>
      <c r="H83" s="7">
        <f>IF(SUMPRODUCT(ISNUMBER('Advanced 0-10'!T83:U83)*'Advanced Entry'!T$9:U$9)=0,"",ROUND(SUMPRODUCT(IFERROR('Advanced 0-10'!T83:U83*1,0)*'Advanced Entry'!T$9:U$9)/SUMPRODUCT(ISNUMBER('Advanced 0-10'!T83:U83)*'Advanced Entry'!T$9:U$9),1))</f>
        <v/>
      </c>
      <c r="I83" s="7">
        <f>IF(SUMPRODUCT(ISNUMBER('Advanced 0-10'!V83:Z83)*'Advanced Entry'!V$9:Z$9)=0,"",ROUND(SUMPRODUCT(IFERROR('Advanced 0-10'!V83:Z83*1,0)*'Advanced Entry'!V$9:Z$9)/SUMPRODUCT(ISNUMBER('Advanced 0-10'!V83:Z83)*'Advanced Entry'!V$9:Z$9),1))</f>
        <v/>
      </c>
      <c r="J83" s="7">
        <f>IF(SUMPRODUCT(ISNUMBER('Advanced 0-10'!AA83:AA83)*'Advanced Entry'!AA$9:AA$9)=0,"",ROUND(SUMPRODUCT(IFERROR('Advanced 0-10'!AA83:AA83*1,0)*'Advanced Entry'!AA$9:AA$9)/SUMPRODUCT(ISNUMBER('Advanced 0-10'!AA83:AA83)*'Advanced Entry'!AA$9:AA$9),1))</f>
        <v/>
      </c>
      <c r="K83" s="7">
        <f>IF(SUMPRODUCT(ISNUMBER('Advanced 0-10'!AB83:AB83)*'Advanced Entry'!AB$9:AB$9)=0,"",ROUND(SUMPRODUCT(IFERROR('Advanced 0-10'!AB83:AB83*1,0)*'Advanced Entry'!AB$9:AB$9)/SUMPRODUCT(ISNUMBER('Advanced 0-10'!AB83:AB83)*'Advanced Entry'!AB$9:AB$9),1))</f>
        <v/>
      </c>
      <c r="L83" s="19">
        <f>IF(SUMPRODUCT(--ISNUMBER(D83:K83))=0,"",ROUND(SUMPRODUCT(IFERROR(D83:K83*1,0))/SUMPRODUCT(--ISNUMBER(D83:K83)),1))</f>
        <v/>
      </c>
    </row>
    <row r="84">
      <c r="A84" t="inlineStr">
        <is>
          <t>Manyara</t>
        </is>
      </c>
      <c r="B84" t="inlineStr">
        <is>
          <t>Babati District</t>
        </is>
      </c>
      <c r="C84" t="inlineStr">
        <is>
          <t>C150</t>
        </is>
      </c>
      <c r="D84" s="7">
        <f>IF(SUMPRODUCT(ISNUMBER('Advanced 0-10'!D84:J84)*'Advanced Entry'!D$9:J$9)=0,"",ROUND(SUMPRODUCT(IFERROR('Advanced 0-10'!D84:J84*1,0)*'Advanced Entry'!D$9:J$9)/SUMPRODUCT(ISNUMBER('Advanced 0-10'!D84:J84)*'Advanced Entry'!D$9:J$9),1))</f>
        <v/>
      </c>
      <c r="E84" s="7">
        <f>IF(SUMPRODUCT(ISNUMBER('Advanced 0-10'!K84:O84)*'Advanced Entry'!K$9:O$9)=0,"",ROUND(SUMPRODUCT(IFERROR('Advanced 0-10'!K84:O84*1,0)*'Advanced Entry'!K$9:O$9)/SUMPRODUCT(ISNUMBER('Advanced 0-10'!K84:O84)*'Advanced Entry'!K$9:O$9),1))</f>
        <v/>
      </c>
      <c r="F84" s="7">
        <f>IF(SUMPRODUCT(ISNUMBER('Advanced 0-10'!P84:Q84)*'Advanced Entry'!P$9:Q$9)=0,"",ROUND(SUMPRODUCT(IFERROR('Advanced 0-10'!P84:Q84*1,0)*'Advanced Entry'!P$9:Q$9)/SUMPRODUCT(ISNUMBER('Advanced 0-10'!P84:Q84)*'Advanced Entry'!P$9:Q$9),1))</f>
        <v/>
      </c>
      <c r="G84" s="7">
        <f>IF(SUMPRODUCT(ISNUMBER('Advanced 0-10'!R84:S84)*'Advanced Entry'!R$9:S$9)=0,"",ROUND(SUMPRODUCT(IFERROR('Advanced 0-10'!R84:S84*1,0)*'Advanced Entry'!R$9:S$9)/SUMPRODUCT(ISNUMBER('Advanced 0-10'!R84:S84)*'Advanced Entry'!R$9:S$9),1))</f>
        <v/>
      </c>
      <c r="H84" s="7">
        <f>IF(SUMPRODUCT(ISNUMBER('Advanced 0-10'!T84:U84)*'Advanced Entry'!T$9:U$9)=0,"",ROUND(SUMPRODUCT(IFERROR('Advanced 0-10'!T84:U84*1,0)*'Advanced Entry'!T$9:U$9)/SUMPRODUCT(ISNUMBER('Advanced 0-10'!T84:U84)*'Advanced Entry'!T$9:U$9),1))</f>
        <v/>
      </c>
      <c r="I84" s="7">
        <f>IF(SUMPRODUCT(ISNUMBER('Advanced 0-10'!V84:Z84)*'Advanced Entry'!V$9:Z$9)=0,"",ROUND(SUMPRODUCT(IFERROR('Advanced 0-10'!V84:Z84*1,0)*'Advanced Entry'!V$9:Z$9)/SUMPRODUCT(ISNUMBER('Advanced 0-10'!V84:Z84)*'Advanced Entry'!V$9:Z$9),1))</f>
        <v/>
      </c>
      <c r="J84" s="7">
        <f>IF(SUMPRODUCT(ISNUMBER('Advanced 0-10'!AA84:AA84)*'Advanced Entry'!AA$9:AA$9)=0,"",ROUND(SUMPRODUCT(IFERROR('Advanced 0-10'!AA84:AA84*1,0)*'Advanced Entry'!AA$9:AA$9)/SUMPRODUCT(ISNUMBER('Advanced 0-10'!AA84:AA84)*'Advanced Entry'!AA$9:AA$9),1))</f>
        <v/>
      </c>
      <c r="K84" s="7">
        <f>IF(SUMPRODUCT(ISNUMBER('Advanced 0-10'!AB84:AB84)*'Advanced Entry'!AB$9:AB$9)=0,"",ROUND(SUMPRODUCT(IFERROR('Advanced 0-10'!AB84:AB84*1,0)*'Advanced Entry'!AB$9:AB$9)/SUMPRODUCT(ISNUMBER('Advanced 0-10'!AB84:AB84)*'Advanced Entry'!AB$9:AB$9),1))</f>
        <v/>
      </c>
      <c r="L84" s="19">
        <f>IF(SUMPRODUCT(--ISNUMBER(D84:K84))=0,"",ROUND(SUMPRODUCT(IFERROR(D84:K84*1,0))/SUMPRODUCT(--ISNUMBER(D84:K84)),1))</f>
        <v/>
      </c>
    </row>
    <row r="85">
      <c r="A85" t="inlineStr">
        <is>
          <t>Manyara</t>
        </is>
      </c>
      <c r="B85" t="inlineStr">
        <is>
          <t>Babati Town</t>
        </is>
      </c>
      <c r="C85" t="inlineStr">
        <is>
          <t>C151</t>
        </is>
      </c>
      <c r="D85" s="7">
        <f>IF(SUMPRODUCT(ISNUMBER('Advanced 0-10'!D85:J85)*'Advanced Entry'!D$9:J$9)=0,"",ROUND(SUMPRODUCT(IFERROR('Advanced 0-10'!D85:J85*1,0)*'Advanced Entry'!D$9:J$9)/SUMPRODUCT(ISNUMBER('Advanced 0-10'!D85:J85)*'Advanced Entry'!D$9:J$9),1))</f>
        <v/>
      </c>
      <c r="E85" s="7">
        <f>IF(SUMPRODUCT(ISNUMBER('Advanced 0-10'!K85:O85)*'Advanced Entry'!K$9:O$9)=0,"",ROUND(SUMPRODUCT(IFERROR('Advanced 0-10'!K85:O85*1,0)*'Advanced Entry'!K$9:O$9)/SUMPRODUCT(ISNUMBER('Advanced 0-10'!K85:O85)*'Advanced Entry'!K$9:O$9),1))</f>
        <v/>
      </c>
      <c r="F85" s="7">
        <f>IF(SUMPRODUCT(ISNUMBER('Advanced 0-10'!P85:Q85)*'Advanced Entry'!P$9:Q$9)=0,"",ROUND(SUMPRODUCT(IFERROR('Advanced 0-10'!P85:Q85*1,0)*'Advanced Entry'!P$9:Q$9)/SUMPRODUCT(ISNUMBER('Advanced 0-10'!P85:Q85)*'Advanced Entry'!P$9:Q$9),1))</f>
        <v/>
      </c>
      <c r="G85" s="7">
        <f>IF(SUMPRODUCT(ISNUMBER('Advanced 0-10'!R85:S85)*'Advanced Entry'!R$9:S$9)=0,"",ROUND(SUMPRODUCT(IFERROR('Advanced 0-10'!R85:S85*1,0)*'Advanced Entry'!R$9:S$9)/SUMPRODUCT(ISNUMBER('Advanced 0-10'!R85:S85)*'Advanced Entry'!R$9:S$9),1))</f>
        <v/>
      </c>
      <c r="H85" s="7">
        <f>IF(SUMPRODUCT(ISNUMBER('Advanced 0-10'!T85:U85)*'Advanced Entry'!T$9:U$9)=0,"",ROUND(SUMPRODUCT(IFERROR('Advanced 0-10'!T85:U85*1,0)*'Advanced Entry'!T$9:U$9)/SUMPRODUCT(ISNUMBER('Advanced 0-10'!T85:U85)*'Advanced Entry'!T$9:U$9),1))</f>
        <v/>
      </c>
      <c r="I85" s="7">
        <f>IF(SUMPRODUCT(ISNUMBER('Advanced 0-10'!V85:Z85)*'Advanced Entry'!V$9:Z$9)=0,"",ROUND(SUMPRODUCT(IFERROR('Advanced 0-10'!V85:Z85*1,0)*'Advanced Entry'!V$9:Z$9)/SUMPRODUCT(ISNUMBER('Advanced 0-10'!V85:Z85)*'Advanced Entry'!V$9:Z$9),1))</f>
        <v/>
      </c>
      <c r="J85" s="7">
        <f>IF(SUMPRODUCT(ISNUMBER('Advanced 0-10'!AA85:AA85)*'Advanced Entry'!AA$9:AA$9)=0,"",ROUND(SUMPRODUCT(IFERROR('Advanced 0-10'!AA85:AA85*1,0)*'Advanced Entry'!AA$9:AA$9)/SUMPRODUCT(ISNUMBER('Advanced 0-10'!AA85:AA85)*'Advanced Entry'!AA$9:AA$9),1))</f>
        <v/>
      </c>
      <c r="K85" s="7">
        <f>IF(SUMPRODUCT(ISNUMBER('Advanced 0-10'!AB85:AB85)*'Advanced Entry'!AB$9:AB$9)=0,"",ROUND(SUMPRODUCT(IFERROR('Advanced 0-10'!AB85:AB85*1,0)*'Advanced Entry'!AB$9:AB$9)/SUMPRODUCT(ISNUMBER('Advanced 0-10'!AB85:AB85)*'Advanced Entry'!AB$9:AB$9),1))</f>
        <v/>
      </c>
      <c r="L85" s="19">
        <f>IF(SUMPRODUCT(--ISNUMBER(D85:K85))=0,"",ROUND(SUMPRODUCT(IFERROR(D85:K85*1,0))/SUMPRODUCT(--ISNUMBER(D85:K85)),1))</f>
        <v/>
      </c>
    </row>
    <row r="86">
      <c r="A86" t="inlineStr">
        <is>
          <t>Manyara</t>
        </is>
      </c>
      <c r="B86" t="inlineStr">
        <is>
          <t>Hanang District</t>
        </is>
      </c>
      <c r="C86" t="inlineStr">
        <is>
          <t>C152</t>
        </is>
      </c>
      <c r="D86" s="7">
        <f>IF(SUMPRODUCT(ISNUMBER('Advanced 0-10'!D86:J86)*'Advanced Entry'!D$9:J$9)=0,"",ROUND(SUMPRODUCT(IFERROR('Advanced 0-10'!D86:J86*1,0)*'Advanced Entry'!D$9:J$9)/SUMPRODUCT(ISNUMBER('Advanced 0-10'!D86:J86)*'Advanced Entry'!D$9:J$9),1))</f>
        <v/>
      </c>
      <c r="E86" s="7">
        <f>IF(SUMPRODUCT(ISNUMBER('Advanced 0-10'!K86:O86)*'Advanced Entry'!K$9:O$9)=0,"",ROUND(SUMPRODUCT(IFERROR('Advanced 0-10'!K86:O86*1,0)*'Advanced Entry'!K$9:O$9)/SUMPRODUCT(ISNUMBER('Advanced 0-10'!K86:O86)*'Advanced Entry'!K$9:O$9),1))</f>
        <v/>
      </c>
      <c r="F86" s="7">
        <f>IF(SUMPRODUCT(ISNUMBER('Advanced 0-10'!P86:Q86)*'Advanced Entry'!P$9:Q$9)=0,"",ROUND(SUMPRODUCT(IFERROR('Advanced 0-10'!P86:Q86*1,0)*'Advanced Entry'!P$9:Q$9)/SUMPRODUCT(ISNUMBER('Advanced 0-10'!P86:Q86)*'Advanced Entry'!P$9:Q$9),1))</f>
        <v/>
      </c>
      <c r="G86" s="7">
        <f>IF(SUMPRODUCT(ISNUMBER('Advanced 0-10'!R86:S86)*'Advanced Entry'!R$9:S$9)=0,"",ROUND(SUMPRODUCT(IFERROR('Advanced 0-10'!R86:S86*1,0)*'Advanced Entry'!R$9:S$9)/SUMPRODUCT(ISNUMBER('Advanced 0-10'!R86:S86)*'Advanced Entry'!R$9:S$9),1))</f>
        <v/>
      </c>
      <c r="H86" s="7">
        <f>IF(SUMPRODUCT(ISNUMBER('Advanced 0-10'!T86:U86)*'Advanced Entry'!T$9:U$9)=0,"",ROUND(SUMPRODUCT(IFERROR('Advanced 0-10'!T86:U86*1,0)*'Advanced Entry'!T$9:U$9)/SUMPRODUCT(ISNUMBER('Advanced 0-10'!T86:U86)*'Advanced Entry'!T$9:U$9),1))</f>
        <v/>
      </c>
      <c r="I86" s="7">
        <f>IF(SUMPRODUCT(ISNUMBER('Advanced 0-10'!V86:Z86)*'Advanced Entry'!V$9:Z$9)=0,"",ROUND(SUMPRODUCT(IFERROR('Advanced 0-10'!V86:Z86*1,0)*'Advanced Entry'!V$9:Z$9)/SUMPRODUCT(ISNUMBER('Advanced 0-10'!V86:Z86)*'Advanced Entry'!V$9:Z$9),1))</f>
        <v/>
      </c>
      <c r="J86" s="7">
        <f>IF(SUMPRODUCT(ISNUMBER('Advanced 0-10'!AA86:AA86)*'Advanced Entry'!AA$9:AA$9)=0,"",ROUND(SUMPRODUCT(IFERROR('Advanced 0-10'!AA86:AA86*1,0)*'Advanced Entry'!AA$9:AA$9)/SUMPRODUCT(ISNUMBER('Advanced 0-10'!AA86:AA86)*'Advanced Entry'!AA$9:AA$9),1))</f>
        <v/>
      </c>
      <c r="K86" s="7">
        <f>IF(SUMPRODUCT(ISNUMBER('Advanced 0-10'!AB86:AB86)*'Advanced Entry'!AB$9:AB$9)=0,"",ROUND(SUMPRODUCT(IFERROR('Advanced 0-10'!AB86:AB86*1,0)*'Advanced Entry'!AB$9:AB$9)/SUMPRODUCT(ISNUMBER('Advanced 0-10'!AB86:AB86)*'Advanced Entry'!AB$9:AB$9),1))</f>
        <v/>
      </c>
      <c r="L86" s="19">
        <f>IF(SUMPRODUCT(--ISNUMBER(D86:K86))=0,"",ROUND(SUMPRODUCT(IFERROR(D86:K86*1,0))/SUMPRODUCT(--ISNUMBER(D86:K86)),1))</f>
        <v/>
      </c>
    </row>
    <row r="87">
      <c r="A87" t="inlineStr">
        <is>
          <t>Manyara</t>
        </is>
      </c>
      <c r="B87" t="inlineStr">
        <is>
          <t>Kiteto District</t>
        </is>
      </c>
      <c r="C87" t="inlineStr">
        <is>
          <t>C156</t>
        </is>
      </c>
      <c r="D87" s="7">
        <f>IF(SUMPRODUCT(ISNUMBER('Advanced 0-10'!D87:J87)*'Advanced Entry'!D$9:J$9)=0,"",ROUND(SUMPRODUCT(IFERROR('Advanced 0-10'!D87:J87*1,0)*'Advanced Entry'!D$9:J$9)/SUMPRODUCT(ISNUMBER('Advanced 0-10'!D87:J87)*'Advanced Entry'!D$9:J$9),1))</f>
        <v/>
      </c>
      <c r="E87" s="7">
        <f>IF(SUMPRODUCT(ISNUMBER('Advanced 0-10'!K87:O87)*'Advanced Entry'!K$9:O$9)=0,"",ROUND(SUMPRODUCT(IFERROR('Advanced 0-10'!K87:O87*1,0)*'Advanced Entry'!K$9:O$9)/SUMPRODUCT(ISNUMBER('Advanced 0-10'!K87:O87)*'Advanced Entry'!K$9:O$9),1))</f>
        <v/>
      </c>
      <c r="F87" s="7">
        <f>IF(SUMPRODUCT(ISNUMBER('Advanced 0-10'!P87:Q87)*'Advanced Entry'!P$9:Q$9)=0,"",ROUND(SUMPRODUCT(IFERROR('Advanced 0-10'!P87:Q87*1,0)*'Advanced Entry'!P$9:Q$9)/SUMPRODUCT(ISNUMBER('Advanced 0-10'!P87:Q87)*'Advanced Entry'!P$9:Q$9),1))</f>
        <v/>
      </c>
      <c r="G87" s="7">
        <f>IF(SUMPRODUCT(ISNUMBER('Advanced 0-10'!R87:S87)*'Advanced Entry'!R$9:S$9)=0,"",ROUND(SUMPRODUCT(IFERROR('Advanced 0-10'!R87:S87*1,0)*'Advanced Entry'!R$9:S$9)/SUMPRODUCT(ISNUMBER('Advanced 0-10'!R87:S87)*'Advanced Entry'!R$9:S$9),1))</f>
        <v/>
      </c>
      <c r="H87" s="7">
        <f>IF(SUMPRODUCT(ISNUMBER('Advanced 0-10'!T87:U87)*'Advanced Entry'!T$9:U$9)=0,"",ROUND(SUMPRODUCT(IFERROR('Advanced 0-10'!T87:U87*1,0)*'Advanced Entry'!T$9:U$9)/SUMPRODUCT(ISNUMBER('Advanced 0-10'!T87:U87)*'Advanced Entry'!T$9:U$9),1))</f>
        <v/>
      </c>
      <c r="I87" s="7">
        <f>IF(SUMPRODUCT(ISNUMBER('Advanced 0-10'!V87:Z87)*'Advanced Entry'!V$9:Z$9)=0,"",ROUND(SUMPRODUCT(IFERROR('Advanced 0-10'!V87:Z87*1,0)*'Advanced Entry'!V$9:Z$9)/SUMPRODUCT(ISNUMBER('Advanced 0-10'!V87:Z87)*'Advanced Entry'!V$9:Z$9),1))</f>
        <v/>
      </c>
      <c r="J87" s="7">
        <f>IF(SUMPRODUCT(ISNUMBER('Advanced 0-10'!AA87:AA87)*'Advanced Entry'!AA$9:AA$9)=0,"",ROUND(SUMPRODUCT(IFERROR('Advanced 0-10'!AA87:AA87*1,0)*'Advanced Entry'!AA$9:AA$9)/SUMPRODUCT(ISNUMBER('Advanced 0-10'!AA87:AA87)*'Advanced Entry'!AA$9:AA$9),1))</f>
        <v/>
      </c>
      <c r="K87" s="7">
        <f>IF(SUMPRODUCT(ISNUMBER('Advanced 0-10'!AB87:AB87)*'Advanced Entry'!AB$9:AB$9)=0,"",ROUND(SUMPRODUCT(IFERROR('Advanced 0-10'!AB87:AB87*1,0)*'Advanced Entry'!AB$9:AB$9)/SUMPRODUCT(ISNUMBER('Advanced 0-10'!AB87:AB87)*'Advanced Entry'!AB$9:AB$9),1))</f>
        <v/>
      </c>
      <c r="L87" s="19">
        <f>IF(SUMPRODUCT(--ISNUMBER(D87:K87))=0,"",ROUND(SUMPRODUCT(IFERROR(D87:K87*1,0))/SUMPRODUCT(--ISNUMBER(D87:K87)),1))</f>
        <v/>
      </c>
    </row>
    <row r="88">
      <c r="A88" t="inlineStr">
        <is>
          <t>Manyara</t>
        </is>
      </c>
      <c r="B88" t="inlineStr">
        <is>
          <t>Mbulu District</t>
        </is>
      </c>
      <c r="C88" t="inlineStr">
        <is>
          <t>C153</t>
        </is>
      </c>
      <c r="D88" s="7">
        <f>IF(SUMPRODUCT(ISNUMBER('Advanced 0-10'!D88:J88)*'Advanced Entry'!D$9:J$9)=0,"",ROUND(SUMPRODUCT(IFERROR('Advanced 0-10'!D88:J88*1,0)*'Advanced Entry'!D$9:J$9)/SUMPRODUCT(ISNUMBER('Advanced 0-10'!D88:J88)*'Advanced Entry'!D$9:J$9),1))</f>
        <v/>
      </c>
      <c r="E88" s="7">
        <f>IF(SUMPRODUCT(ISNUMBER('Advanced 0-10'!K88:O88)*'Advanced Entry'!K$9:O$9)=0,"",ROUND(SUMPRODUCT(IFERROR('Advanced 0-10'!K88:O88*1,0)*'Advanced Entry'!K$9:O$9)/SUMPRODUCT(ISNUMBER('Advanced 0-10'!K88:O88)*'Advanced Entry'!K$9:O$9),1))</f>
        <v/>
      </c>
      <c r="F88" s="7">
        <f>IF(SUMPRODUCT(ISNUMBER('Advanced 0-10'!P88:Q88)*'Advanced Entry'!P$9:Q$9)=0,"",ROUND(SUMPRODUCT(IFERROR('Advanced 0-10'!P88:Q88*1,0)*'Advanced Entry'!P$9:Q$9)/SUMPRODUCT(ISNUMBER('Advanced 0-10'!P88:Q88)*'Advanced Entry'!P$9:Q$9),1))</f>
        <v/>
      </c>
      <c r="G88" s="7">
        <f>IF(SUMPRODUCT(ISNUMBER('Advanced 0-10'!R88:S88)*'Advanced Entry'!R$9:S$9)=0,"",ROUND(SUMPRODUCT(IFERROR('Advanced 0-10'!R88:S88*1,0)*'Advanced Entry'!R$9:S$9)/SUMPRODUCT(ISNUMBER('Advanced 0-10'!R88:S88)*'Advanced Entry'!R$9:S$9),1))</f>
        <v/>
      </c>
      <c r="H88" s="7">
        <f>IF(SUMPRODUCT(ISNUMBER('Advanced 0-10'!T88:U88)*'Advanced Entry'!T$9:U$9)=0,"",ROUND(SUMPRODUCT(IFERROR('Advanced 0-10'!T88:U88*1,0)*'Advanced Entry'!T$9:U$9)/SUMPRODUCT(ISNUMBER('Advanced 0-10'!T88:U88)*'Advanced Entry'!T$9:U$9),1))</f>
        <v/>
      </c>
      <c r="I88" s="7">
        <f>IF(SUMPRODUCT(ISNUMBER('Advanced 0-10'!V88:Z88)*'Advanced Entry'!V$9:Z$9)=0,"",ROUND(SUMPRODUCT(IFERROR('Advanced 0-10'!V88:Z88*1,0)*'Advanced Entry'!V$9:Z$9)/SUMPRODUCT(ISNUMBER('Advanced 0-10'!V88:Z88)*'Advanced Entry'!V$9:Z$9),1))</f>
        <v/>
      </c>
      <c r="J88" s="7">
        <f>IF(SUMPRODUCT(ISNUMBER('Advanced 0-10'!AA88:AA88)*'Advanced Entry'!AA$9:AA$9)=0,"",ROUND(SUMPRODUCT(IFERROR('Advanced 0-10'!AA88:AA88*1,0)*'Advanced Entry'!AA$9:AA$9)/SUMPRODUCT(ISNUMBER('Advanced 0-10'!AA88:AA88)*'Advanced Entry'!AA$9:AA$9),1))</f>
        <v/>
      </c>
      <c r="K88" s="7">
        <f>IF(SUMPRODUCT(ISNUMBER('Advanced 0-10'!AB88:AB88)*'Advanced Entry'!AB$9:AB$9)=0,"",ROUND(SUMPRODUCT(IFERROR('Advanced 0-10'!AB88:AB88*1,0)*'Advanced Entry'!AB$9:AB$9)/SUMPRODUCT(ISNUMBER('Advanced 0-10'!AB88:AB88)*'Advanced Entry'!AB$9:AB$9),1))</f>
        <v/>
      </c>
      <c r="L88" s="19">
        <f>IF(SUMPRODUCT(--ISNUMBER(D88:K88))=0,"",ROUND(SUMPRODUCT(IFERROR(D88:K88*1,0))/SUMPRODUCT(--ISNUMBER(D88:K88)),1))</f>
        <v/>
      </c>
    </row>
    <row r="89">
      <c r="A89" t="inlineStr">
        <is>
          <t>Manyara</t>
        </is>
      </c>
      <c r="B89" t="inlineStr">
        <is>
          <t>Mbulu Town</t>
        </is>
      </c>
      <c r="C89" t="inlineStr">
        <is>
          <t>C154</t>
        </is>
      </c>
      <c r="D89" s="7">
        <f>IF(SUMPRODUCT(ISNUMBER('Advanced 0-10'!D89:J89)*'Advanced Entry'!D$9:J$9)=0,"",ROUND(SUMPRODUCT(IFERROR('Advanced 0-10'!D89:J89*1,0)*'Advanced Entry'!D$9:J$9)/SUMPRODUCT(ISNUMBER('Advanced 0-10'!D89:J89)*'Advanced Entry'!D$9:J$9),1))</f>
        <v/>
      </c>
      <c r="E89" s="7">
        <f>IF(SUMPRODUCT(ISNUMBER('Advanced 0-10'!K89:O89)*'Advanced Entry'!K$9:O$9)=0,"",ROUND(SUMPRODUCT(IFERROR('Advanced 0-10'!K89:O89*1,0)*'Advanced Entry'!K$9:O$9)/SUMPRODUCT(ISNUMBER('Advanced 0-10'!K89:O89)*'Advanced Entry'!K$9:O$9),1))</f>
        <v/>
      </c>
      <c r="F89" s="7">
        <f>IF(SUMPRODUCT(ISNUMBER('Advanced 0-10'!P89:Q89)*'Advanced Entry'!P$9:Q$9)=0,"",ROUND(SUMPRODUCT(IFERROR('Advanced 0-10'!P89:Q89*1,0)*'Advanced Entry'!P$9:Q$9)/SUMPRODUCT(ISNUMBER('Advanced 0-10'!P89:Q89)*'Advanced Entry'!P$9:Q$9),1))</f>
        <v/>
      </c>
      <c r="G89" s="7">
        <f>IF(SUMPRODUCT(ISNUMBER('Advanced 0-10'!R89:S89)*'Advanced Entry'!R$9:S$9)=0,"",ROUND(SUMPRODUCT(IFERROR('Advanced 0-10'!R89:S89*1,0)*'Advanced Entry'!R$9:S$9)/SUMPRODUCT(ISNUMBER('Advanced 0-10'!R89:S89)*'Advanced Entry'!R$9:S$9),1))</f>
        <v/>
      </c>
      <c r="H89" s="7">
        <f>IF(SUMPRODUCT(ISNUMBER('Advanced 0-10'!T89:U89)*'Advanced Entry'!T$9:U$9)=0,"",ROUND(SUMPRODUCT(IFERROR('Advanced 0-10'!T89:U89*1,0)*'Advanced Entry'!T$9:U$9)/SUMPRODUCT(ISNUMBER('Advanced 0-10'!T89:U89)*'Advanced Entry'!T$9:U$9),1))</f>
        <v/>
      </c>
      <c r="I89" s="7">
        <f>IF(SUMPRODUCT(ISNUMBER('Advanced 0-10'!V89:Z89)*'Advanced Entry'!V$9:Z$9)=0,"",ROUND(SUMPRODUCT(IFERROR('Advanced 0-10'!V89:Z89*1,0)*'Advanced Entry'!V$9:Z$9)/SUMPRODUCT(ISNUMBER('Advanced 0-10'!V89:Z89)*'Advanced Entry'!V$9:Z$9),1))</f>
        <v/>
      </c>
      <c r="J89" s="7">
        <f>IF(SUMPRODUCT(ISNUMBER('Advanced 0-10'!AA89:AA89)*'Advanced Entry'!AA$9:AA$9)=0,"",ROUND(SUMPRODUCT(IFERROR('Advanced 0-10'!AA89:AA89*1,0)*'Advanced Entry'!AA$9:AA$9)/SUMPRODUCT(ISNUMBER('Advanced 0-10'!AA89:AA89)*'Advanced Entry'!AA$9:AA$9),1))</f>
        <v/>
      </c>
      <c r="K89" s="7">
        <f>IF(SUMPRODUCT(ISNUMBER('Advanced 0-10'!AB89:AB89)*'Advanced Entry'!AB$9:AB$9)=0,"",ROUND(SUMPRODUCT(IFERROR('Advanced 0-10'!AB89:AB89*1,0)*'Advanced Entry'!AB$9:AB$9)/SUMPRODUCT(ISNUMBER('Advanced 0-10'!AB89:AB89)*'Advanced Entry'!AB$9:AB$9),1))</f>
        <v/>
      </c>
      <c r="L89" s="19">
        <f>IF(SUMPRODUCT(--ISNUMBER(D89:K89))=0,"",ROUND(SUMPRODUCT(IFERROR(D89:K89*1,0))/SUMPRODUCT(--ISNUMBER(D89:K89)),1))</f>
        <v/>
      </c>
    </row>
    <row r="90">
      <c r="A90" t="inlineStr">
        <is>
          <t>Manyara</t>
        </is>
      </c>
      <c r="B90" t="inlineStr">
        <is>
          <t>Simanjiro District</t>
        </is>
      </c>
      <c r="C90" t="inlineStr">
        <is>
          <t>C155</t>
        </is>
      </c>
      <c r="D90" s="7">
        <f>IF(SUMPRODUCT(ISNUMBER('Advanced 0-10'!D90:J90)*'Advanced Entry'!D$9:J$9)=0,"",ROUND(SUMPRODUCT(IFERROR('Advanced 0-10'!D90:J90*1,0)*'Advanced Entry'!D$9:J$9)/SUMPRODUCT(ISNUMBER('Advanced 0-10'!D90:J90)*'Advanced Entry'!D$9:J$9),1))</f>
        <v/>
      </c>
      <c r="E90" s="7">
        <f>IF(SUMPRODUCT(ISNUMBER('Advanced 0-10'!K90:O90)*'Advanced Entry'!K$9:O$9)=0,"",ROUND(SUMPRODUCT(IFERROR('Advanced 0-10'!K90:O90*1,0)*'Advanced Entry'!K$9:O$9)/SUMPRODUCT(ISNUMBER('Advanced 0-10'!K90:O90)*'Advanced Entry'!K$9:O$9),1))</f>
        <v/>
      </c>
      <c r="F90" s="7">
        <f>IF(SUMPRODUCT(ISNUMBER('Advanced 0-10'!P90:Q90)*'Advanced Entry'!P$9:Q$9)=0,"",ROUND(SUMPRODUCT(IFERROR('Advanced 0-10'!P90:Q90*1,0)*'Advanced Entry'!P$9:Q$9)/SUMPRODUCT(ISNUMBER('Advanced 0-10'!P90:Q90)*'Advanced Entry'!P$9:Q$9),1))</f>
        <v/>
      </c>
      <c r="G90" s="7">
        <f>IF(SUMPRODUCT(ISNUMBER('Advanced 0-10'!R90:S90)*'Advanced Entry'!R$9:S$9)=0,"",ROUND(SUMPRODUCT(IFERROR('Advanced 0-10'!R90:S90*1,0)*'Advanced Entry'!R$9:S$9)/SUMPRODUCT(ISNUMBER('Advanced 0-10'!R90:S90)*'Advanced Entry'!R$9:S$9),1))</f>
        <v/>
      </c>
      <c r="H90" s="7">
        <f>IF(SUMPRODUCT(ISNUMBER('Advanced 0-10'!T90:U90)*'Advanced Entry'!T$9:U$9)=0,"",ROUND(SUMPRODUCT(IFERROR('Advanced 0-10'!T90:U90*1,0)*'Advanced Entry'!T$9:U$9)/SUMPRODUCT(ISNUMBER('Advanced 0-10'!T90:U90)*'Advanced Entry'!T$9:U$9),1))</f>
        <v/>
      </c>
      <c r="I90" s="7">
        <f>IF(SUMPRODUCT(ISNUMBER('Advanced 0-10'!V90:Z90)*'Advanced Entry'!V$9:Z$9)=0,"",ROUND(SUMPRODUCT(IFERROR('Advanced 0-10'!V90:Z90*1,0)*'Advanced Entry'!V$9:Z$9)/SUMPRODUCT(ISNUMBER('Advanced 0-10'!V90:Z90)*'Advanced Entry'!V$9:Z$9),1))</f>
        <v/>
      </c>
      <c r="J90" s="7">
        <f>IF(SUMPRODUCT(ISNUMBER('Advanced 0-10'!AA90:AA90)*'Advanced Entry'!AA$9:AA$9)=0,"",ROUND(SUMPRODUCT(IFERROR('Advanced 0-10'!AA90:AA90*1,0)*'Advanced Entry'!AA$9:AA$9)/SUMPRODUCT(ISNUMBER('Advanced 0-10'!AA90:AA90)*'Advanced Entry'!AA$9:AA$9),1))</f>
        <v/>
      </c>
      <c r="K90" s="7">
        <f>IF(SUMPRODUCT(ISNUMBER('Advanced 0-10'!AB90:AB90)*'Advanced Entry'!AB$9:AB$9)=0,"",ROUND(SUMPRODUCT(IFERROR('Advanced 0-10'!AB90:AB90*1,0)*'Advanced Entry'!AB$9:AB$9)/SUMPRODUCT(ISNUMBER('Advanced 0-10'!AB90:AB90)*'Advanced Entry'!AB$9:AB$9),1))</f>
        <v/>
      </c>
      <c r="L90" s="19">
        <f>IF(SUMPRODUCT(--ISNUMBER(D90:K90))=0,"",ROUND(SUMPRODUCT(IFERROR(D90:K90*1,0))/SUMPRODUCT(--ISNUMBER(D90:K90)),1))</f>
        <v/>
      </c>
    </row>
    <row r="91">
      <c r="A91" t="inlineStr">
        <is>
          <t>Mara</t>
        </is>
      </c>
      <c r="B91" t="inlineStr">
        <is>
          <t>Bunda District</t>
        </is>
      </c>
      <c r="C91" t="inlineStr">
        <is>
          <t>C146</t>
        </is>
      </c>
      <c r="D91" s="7">
        <f>IF(SUMPRODUCT(ISNUMBER('Advanced 0-10'!D91:J91)*'Advanced Entry'!D$9:J$9)=0,"",ROUND(SUMPRODUCT(IFERROR('Advanced 0-10'!D91:J91*1,0)*'Advanced Entry'!D$9:J$9)/SUMPRODUCT(ISNUMBER('Advanced 0-10'!D91:J91)*'Advanced Entry'!D$9:J$9),1))</f>
        <v/>
      </c>
      <c r="E91" s="7">
        <f>IF(SUMPRODUCT(ISNUMBER('Advanced 0-10'!K91:O91)*'Advanced Entry'!K$9:O$9)=0,"",ROUND(SUMPRODUCT(IFERROR('Advanced 0-10'!K91:O91*1,0)*'Advanced Entry'!K$9:O$9)/SUMPRODUCT(ISNUMBER('Advanced 0-10'!K91:O91)*'Advanced Entry'!K$9:O$9),1))</f>
        <v/>
      </c>
      <c r="F91" s="7">
        <f>IF(SUMPRODUCT(ISNUMBER('Advanced 0-10'!P91:Q91)*'Advanced Entry'!P$9:Q$9)=0,"",ROUND(SUMPRODUCT(IFERROR('Advanced 0-10'!P91:Q91*1,0)*'Advanced Entry'!P$9:Q$9)/SUMPRODUCT(ISNUMBER('Advanced 0-10'!P91:Q91)*'Advanced Entry'!P$9:Q$9),1))</f>
        <v/>
      </c>
      <c r="G91" s="7">
        <f>IF(SUMPRODUCT(ISNUMBER('Advanced 0-10'!R91:S91)*'Advanced Entry'!R$9:S$9)=0,"",ROUND(SUMPRODUCT(IFERROR('Advanced 0-10'!R91:S91*1,0)*'Advanced Entry'!R$9:S$9)/SUMPRODUCT(ISNUMBER('Advanced 0-10'!R91:S91)*'Advanced Entry'!R$9:S$9),1))</f>
        <v/>
      </c>
      <c r="H91" s="7">
        <f>IF(SUMPRODUCT(ISNUMBER('Advanced 0-10'!T91:U91)*'Advanced Entry'!T$9:U$9)=0,"",ROUND(SUMPRODUCT(IFERROR('Advanced 0-10'!T91:U91*1,0)*'Advanced Entry'!T$9:U$9)/SUMPRODUCT(ISNUMBER('Advanced 0-10'!T91:U91)*'Advanced Entry'!T$9:U$9),1))</f>
        <v/>
      </c>
      <c r="I91" s="7">
        <f>IF(SUMPRODUCT(ISNUMBER('Advanced 0-10'!V91:Z91)*'Advanced Entry'!V$9:Z$9)=0,"",ROUND(SUMPRODUCT(IFERROR('Advanced 0-10'!V91:Z91*1,0)*'Advanced Entry'!V$9:Z$9)/SUMPRODUCT(ISNUMBER('Advanced 0-10'!V91:Z91)*'Advanced Entry'!V$9:Z$9),1))</f>
        <v/>
      </c>
      <c r="J91" s="7">
        <f>IF(SUMPRODUCT(ISNUMBER('Advanced 0-10'!AA91:AA91)*'Advanced Entry'!AA$9:AA$9)=0,"",ROUND(SUMPRODUCT(IFERROR('Advanced 0-10'!AA91:AA91*1,0)*'Advanced Entry'!AA$9:AA$9)/SUMPRODUCT(ISNUMBER('Advanced 0-10'!AA91:AA91)*'Advanced Entry'!AA$9:AA$9),1))</f>
        <v/>
      </c>
      <c r="K91" s="7">
        <f>IF(SUMPRODUCT(ISNUMBER('Advanced 0-10'!AB91:AB91)*'Advanced Entry'!AB$9:AB$9)=0,"",ROUND(SUMPRODUCT(IFERROR('Advanced 0-10'!AB91:AB91*1,0)*'Advanced Entry'!AB$9:AB$9)/SUMPRODUCT(ISNUMBER('Advanced 0-10'!AB91:AB91)*'Advanced Entry'!AB$9:AB$9),1))</f>
        <v/>
      </c>
      <c r="L91" s="19">
        <f>IF(SUMPRODUCT(--ISNUMBER(D91:K91))=0,"",ROUND(SUMPRODUCT(IFERROR(D91:K91*1,0))/SUMPRODUCT(--ISNUMBER(D91:K91)),1))</f>
        <v/>
      </c>
    </row>
    <row r="92">
      <c r="A92" t="inlineStr">
        <is>
          <t>Mara</t>
        </is>
      </c>
      <c r="B92" t="inlineStr">
        <is>
          <t>Bunda Town</t>
        </is>
      </c>
      <c r="C92" t="inlineStr">
        <is>
          <t>C147</t>
        </is>
      </c>
      <c r="D92" s="7">
        <f>IF(SUMPRODUCT(ISNUMBER('Advanced 0-10'!D92:J92)*'Advanced Entry'!D$9:J$9)=0,"",ROUND(SUMPRODUCT(IFERROR('Advanced 0-10'!D92:J92*1,0)*'Advanced Entry'!D$9:J$9)/SUMPRODUCT(ISNUMBER('Advanced 0-10'!D92:J92)*'Advanced Entry'!D$9:J$9),1))</f>
        <v/>
      </c>
      <c r="E92" s="7">
        <f>IF(SUMPRODUCT(ISNUMBER('Advanced 0-10'!K92:O92)*'Advanced Entry'!K$9:O$9)=0,"",ROUND(SUMPRODUCT(IFERROR('Advanced 0-10'!K92:O92*1,0)*'Advanced Entry'!K$9:O$9)/SUMPRODUCT(ISNUMBER('Advanced 0-10'!K92:O92)*'Advanced Entry'!K$9:O$9),1))</f>
        <v/>
      </c>
      <c r="F92" s="7">
        <f>IF(SUMPRODUCT(ISNUMBER('Advanced 0-10'!P92:Q92)*'Advanced Entry'!P$9:Q$9)=0,"",ROUND(SUMPRODUCT(IFERROR('Advanced 0-10'!P92:Q92*1,0)*'Advanced Entry'!P$9:Q$9)/SUMPRODUCT(ISNUMBER('Advanced 0-10'!P92:Q92)*'Advanced Entry'!P$9:Q$9),1))</f>
        <v/>
      </c>
      <c r="G92" s="7">
        <f>IF(SUMPRODUCT(ISNUMBER('Advanced 0-10'!R92:S92)*'Advanced Entry'!R$9:S$9)=0,"",ROUND(SUMPRODUCT(IFERROR('Advanced 0-10'!R92:S92*1,0)*'Advanced Entry'!R$9:S$9)/SUMPRODUCT(ISNUMBER('Advanced 0-10'!R92:S92)*'Advanced Entry'!R$9:S$9),1))</f>
        <v/>
      </c>
      <c r="H92" s="7">
        <f>IF(SUMPRODUCT(ISNUMBER('Advanced 0-10'!T92:U92)*'Advanced Entry'!T$9:U$9)=0,"",ROUND(SUMPRODUCT(IFERROR('Advanced 0-10'!T92:U92*1,0)*'Advanced Entry'!T$9:U$9)/SUMPRODUCT(ISNUMBER('Advanced 0-10'!T92:U92)*'Advanced Entry'!T$9:U$9),1))</f>
        <v/>
      </c>
      <c r="I92" s="7">
        <f>IF(SUMPRODUCT(ISNUMBER('Advanced 0-10'!V92:Z92)*'Advanced Entry'!V$9:Z$9)=0,"",ROUND(SUMPRODUCT(IFERROR('Advanced 0-10'!V92:Z92*1,0)*'Advanced Entry'!V$9:Z$9)/SUMPRODUCT(ISNUMBER('Advanced 0-10'!V92:Z92)*'Advanced Entry'!V$9:Z$9),1))</f>
        <v/>
      </c>
      <c r="J92" s="7">
        <f>IF(SUMPRODUCT(ISNUMBER('Advanced 0-10'!AA92:AA92)*'Advanced Entry'!AA$9:AA$9)=0,"",ROUND(SUMPRODUCT(IFERROR('Advanced 0-10'!AA92:AA92*1,0)*'Advanced Entry'!AA$9:AA$9)/SUMPRODUCT(ISNUMBER('Advanced 0-10'!AA92:AA92)*'Advanced Entry'!AA$9:AA$9),1))</f>
        <v/>
      </c>
      <c r="K92" s="7">
        <f>IF(SUMPRODUCT(ISNUMBER('Advanced 0-10'!AB92:AB92)*'Advanced Entry'!AB$9:AB$9)=0,"",ROUND(SUMPRODUCT(IFERROR('Advanced 0-10'!AB92:AB92*1,0)*'Advanced Entry'!AB$9:AB$9)/SUMPRODUCT(ISNUMBER('Advanced 0-10'!AB92:AB92)*'Advanced Entry'!AB$9:AB$9),1))</f>
        <v/>
      </c>
      <c r="L92" s="19">
        <f>IF(SUMPRODUCT(--ISNUMBER(D92:K92))=0,"",ROUND(SUMPRODUCT(IFERROR(D92:K92*1,0))/SUMPRODUCT(--ISNUMBER(D92:K92)),1))</f>
        <v/>
      </c>
    </row>
    <row r="93">
      <c r="A93" t="inlineStr">
        <is>
          <t>Mara</t>
        </is>
      </c>
      <c r="B93" t="inlineStr">
        <is>
          <t>Butiama District</t>
        </is>
      </c>
      <c r="C93" t="inlineStr">
        <is>
          <t>C148</t>
        </is>
      </c>
      <c r="D93" s="7">
        <f>IF(SUMPRODUCT(ISNUMBER('Advanced 0-10'!D93:J93)*'Advanced Entry'!D$9:J$9)=0,"",ROUND(SUMPRODUCT(IFERROR('Advanced 0-10'!D93:J93*1,0)*'Advanced Entry'!D$9:J$9)/SUMPRODUCT(ISNUMBER('Advanced 0-10'!D93:J93)*'Advanced Entry'!D$9:J$9),1))</f>
        <v/>
      </c>
      <c r="E93" s="7">
        <f>IF(SUMPRODUCT(ISNUMBER('Advanced 0-10'!K93:O93)*'Advanced Entry'!K$9:O$9)=0,"",ROUND(SUMPRODUCT(IFERROR('Advanced 0-10'!K93:O93*1,0)*'Advanced Entry'!K$9:O$9)/SUMPRODUCT(ISNUMBER('Advanced 0-10'!K93:O93)*'Advanced Entry'!K$9:O$9),1))</f>
        <v/>
      </c>
      <c r="F93" s="7">
        <f>IF(SUMPRODUCT(ISNUMBER('Advanced 0-10'!P93:Q93)*'Advanced Entry'!P$9:Q$9)=0,"",ROUND(SUMPRODUCT(IFERROR('Advanced 0-10'!P93:Q93*1,0)*'Advanced Entry'!P$9:Q$9)/SUMPRODUCT(ISNUMBER('Advanced 0-10'!P93:Q93)*'Advanced Entry'!P$9:Q$9),1))</f>
        <v/>
      </c>
      <c r="G93" s="7">
        <f>IF(SUMPRODUCT(ISNUMBER('Advanced 0-10'!R93:S93)*'Advanced Entry'!R$9:S$9)=0,"",ROUND(SUMPRODUCT(IFERROR('Advanced 0-10'!R93:S93*1,0)*'Advanced Entry'!R$9:S$9)/SUMPRODUCT(ISNUMBER('Advanced 0-10'!R93:S93)*'Advanced Entry'!R$9:S$9),1))</f>
        <v/>
      </c>
      <c r="H93" s="7">
        <f>IF(SUMPRODUCT(ISNUMBER('Advanced 0-10'!T93:U93)*'Advanced Entry'!T$9:U$9)=0,"",ROUND(SUMPRODUCT(IFERROR('Advanced 0-10'!T93:U93*1,0)*'Advanced Entry'!T$9:U$9)/SUMPRODUCT(ISNUMBER('Advanced 0-10'!T93:U93)*'Advanced Entry'!T$9:U$9),1))</f>
        <v/>
      </c>
      <c r="I93" s="7">
        <f>IF(SUMPRODUCT(ISNUMBER('Advanced 0-10'!V93:Z93)*'Advanced Entry'!V$9:Z$9)=0,"",ROUND(SUMPRODUCT(IFERROR('Advanced 0-10'!V93:Z93*1,0)*'Advanced Entry'!V$9:Z$9)/SUMPRODUCT(ISNUMBER('Advanced 0-10'!V93:Z93)*'Advanced Entry'!V$9:Z$9),1))</f>
        <v/>
      </c>
      <c r="J93" s="7">
        <f>IF(SUMPRODUCT(ISNUMBER('Advanced 0-10'!AA93:AA93)*'Advanced Entry'!AA$9:AA$9)=0,"",ROUND(SUMPRODUCT(IFERROR('Advanced 0-10'!AA93:AA93*1,0)*'Advanced Entry'!AA$9:AA$9)/SUMPRODUCT(ISNUMBER('Advanced 0-10'!AA93:AA93)*'Advanced Entry'!AA$9:AA$9),1))</f>
        <v/>
      </c>
      <c r="K93" s="7">
        <f>IF(SUMPRODUCT(ISNUMBER('Advanced 0-10'!AB93:AB93)*'Advanced Entry'!AB$9:AB$9)=0,"",ROUND(SUMPRODUCT(IFERROR('Advanced 0-10'!AB93:AB93*1,0)*'Advanced Entry'!AB$9:AB$9)/SUMPRODUCT(ISNUMBER('Advanced 0-10'!AB93:AB93)*'Advanced Entry'!AB$9:AB$9),1))</f>
        <v/>
      </c>
      <c r="L93" s="19">
        <f>IF(SUMPRODUCT(--ISNUMBER(D93:K93))=0,"",ROUND(SUMPRODUCT(IFERROR(D93:K93*1,0))/SUMPRODUCT(--ISNUMBER(D93:K93)),1))</f>
        <v/>
      </c>
    </row>
    <row r="94">
      <c r="A94" t="inlineStr">
        <is>
          <t>Mara</t>
        </is>
      </c>
      <c r="B94" t="inlineStr">
        <is>
          <t>Musoma District</t>
        </is>
      </c>
      <c r="C94" t="inlineStr">
        <is>
          <t>C144</t>
        </is>
      </c>
      <c r="D94" s="7">
        <f>IF(SUMPRODUCT(ISNUMBER('Advanced 0-10'!D94:J94)*'Advanced Entry'!D$9:J$9)=0,"",ROUND(SUMPRODUCT(IFERROR('Advanced 0-10'!D94:J94*1,0)*'Advanced Entry'!D$9:J$9)/SUMPRODUCT(ISNUMBER('Advanced 0-10'!D94:J94)*'Advanced Entry'!D$9:J$9),1))</f>
        <v/>
      </c>
      <c r="E94" s="7">
        <f>IF(SUMPRODUCT(ISNUMBER('Advanced 0-10'!K94:O94)*'Advanced Entry'!K$9:O$9)=0,"",ROUND(SUMPRODUCT(IFERROR('Advanced 0-10'!K94:O94*1,0)*'Advanced Entry'!K$9:O$9)/SUMPRODUCT(ISNUMBER('Advanced 0-10'!K94:O94)*'Advanced Entry'!K$9:O$9),1))</f>
        <v/>
      </c>
      <c r="F94" s="7">
        <f>IF(SUMPRODUCT(ISNUMBER('Advanced 0-10'!P94:Q94)*'Advanced Entry'!P$9:Q$9)=0,"",ROUND(SUMPRODUCT(IFERROR('Advanced 0-10'!P94:Q94*1,0)*'Advanced Entry'!P$9:Q$9)/SUMPRODUCT(ISNUMBER('Advanced 0-10'!P94:Q94)*'Advanced Entry'!P$9:Q$9),1))</f>
        <v/>
      </c>
      <c r="G94" s="7">
        <f>IF(SUMPRODUCT(ISNUMBER('Advanced 0-10'!R94:S94)*'Advanced Entry'!R$9:S$9)=0,"",ROUND(SUMPRODUCT(IFERROR('Advanced 0-10'!R94:S94*1,0)*'Advanced Entry'!R$9:S$9)/SUMPRODUCT(ISNUMBER('Advanced 0-10'!R94:S94)*'Advanced Entry'!R$9:S$9),1))</f>
        <v/>
      </c>
      <c r="H94" s="7">
        <f>IF(SUMPRODUCT(ISNUMBER('Advanced 0-10'!T94:U94)*'Advanced Entry'!T$9:U$9)=0,"",ROUND(SUMPRODUCT(IFERROR('Advanced 0-10'!T94:U94*1,0)*'Advanced Entry'!T$9:U$9)/SUMPRODUCT(ISNUMBER('Advanced 0-10'!T94:U94)*'Advanced Entry'!T$9:U$9),1))</f>
        <v/>
      </c>
      <c r="I94" s="7">
        <f>IF(SUMPRODUCT(ISNUMBER('Advanced 0-10'!V94:Z94)*'Advanced Entry'!V$9:Z$9)=0,"",ROUND(SUMPRODUCT(IFERROR('Advanced 0-10'!V94:Z94*1,0)*'Advanced Entry'!V$9:Z$9)/SUMPRODUCT(ISNUMBER('Advanced 0-10'!V94:Z94)*'Advanced Entry'!V$9:Z$9),1))</f>
        <v/>
      </c>
      <c r="J94" s="7">
        <f>IF(SUMPRODUCT(ISNUMBER('Advanced 0-10'!AA94:AA94)*'Advanced Entry'!AA$9:AA$9)=0,"",ROUND(SUMPRODUCT(IFERROR('Advanced 0-10'!AA94:AA94*1,0)*'Advanced Entry'!AA$9:AA$9)/SUMPRODUCT(ISNUMBER('Advanced 0-10'!AA94:AA94)*'Advanced Entry'!AA$9:AA$9),1))</f>
        <v/>
      </c>
      <c r="K94" s="7">
        <f>IF(SUMPRODUCT(ISNUMBER('Advanced 0-10'!AB94:AB94)*'Advanced Entry'!AB$9:AB$9)=0,"",ROUND(SUMPRODUCT(IFERROR('Advanced 0-10'!AB94:AB94*1,0)*'Advanced Entry'!AB$9:AB$9)/SUMPRODUCT(ISNUMBER('Advanced 0-10'!AB94:AB94)*'Advanced Entry'!AB$9:AB$9),1))</f>
        <v/>
      </c>
      <c r="L94" s="19">
        <f>IF(SUMPRODUCT(--ISNUMBER(D94:K94))=0,"",ROUND(SUMPRODUCT(IFERROR(D94:K94*1,0))/SUMPRODUCT(--ISNUMBER(D94:K94)),1))</f>
        <v/>
      </c>
    </row>
    <row r="95">
      <c r="A95" t="inlineStr">
        <is>
          <t>Mara</t>
        </is>
      </c>
      <c r="B95" t="inlineStr">
        <is>
          <t>Musoma Municipal</t>
        </is>
      </c>
      <c r="C95" t="inlineStr">
        <is>
          <t>C145</t>
        </is>
      </c>
      <c r="D95" s="7">
        <f>IF(SUMPRODUCT(ISNUMBER('Advanced 0-10'!D95:J95)*'Advanced Entry'!D$9:J$9)=0,"",ROUND(SUMPRODUCT(IFERROR('Advanced 0-10'!D95:J95*1,0)*'Advanced Entry'!D$9:J$9)/SUMPRODUCT(ISNUMBER('Advanced 0-10'!D95:J95)*'Advanced Entry'!D$9:J$9),1))</f>
        <v/>
      </c>
      <c r="E95" s="7">
        <f>IF(SUMPRODUCT(ISNUMBER('Advanced 0-10'!K95:O95)*'Advanced Entry'!K$9:O$9)=0,"",ROUND(SUMPRODUCT(IFERROR('Advanced 0-10'!K95:O95*1,0)*'Advanced Entry'!K$9:O$9)/SUMPRODUCT(ISNUMBER('Advanced 0-10'!K95:O95)*'Advanced Entry'!K$9:O$9),1))</f>
        <v/>
      </c>
      <c r="F95" s="7">
        <f>IF(SUMPRODUCT(ISNUMBER('Advanced 0-10'!P95:Q95)*'Advanced Entry'!P$9:Q$9)=0,"",ROUND(SUMPRODUCT(IFERROR('Advanced 0-10'!P95:Q95*1,0)*'Advanced Entry'!P$9:Q$9)/SUMPRODUCT(ISNUMBER('Advanced 0-10'!P95:Q95)*'Advanced Entry'!P$9:Q$9),1))</f>
        <v/>
      </c>
      <c r="G95" s="7">
        <f>IF(SUMPRODUCT(ISNUMBER('Advanced 0-10'!R95:S95)*'Advanced Entry'!R$9:S$9)=0,"",ROUND(SUMPRODUCT(IFERROR('Advanced 0-10'!R95:S95*1,0)*'Advanced Entry'!R$9:S$9)/SUMPRODUCT(ISNUMBER('Advanced 0-10'!R95:S95)*'Advanced Entry'!R$9:S$9),1))</f>
        <v/>
      </c>
      <c r="H95" s="7">
        <f>IF(SUMPRODUCT(ISNUMBER('Advanced 0-10'!T95:U95)*'Advanced Entry'!T$9:U$9)=0,"",ROUND(SUMPRODUCT(IFERROR('Advanced 0-10'!T95:U95*1,0)*'Advanced Entry'!T$9:U$9)/SUMPRODUCT(ISNUMBER('Advanced 0-10'!T95:U95)*'Advanced Entry'!T$9:U$9),1))</f>
        <v/>
      </c>
      <c r="I95" s="7">
        <f>IF(SUMPRODUCT(ISNUMBER('Advanced 0-10'!V95:Z95)*'Advanced Entry'!V$9:Z$9)=0,"",ROUND(SUMPRODUCT(IFERROR('Advanced 0-10'!V95:Z95*1,0)*'Advanced Entry'!V$9:Z$9)/SUMPRODUCT(ISNUMBER('Advanced 0-10'!V95:Z95)*'Advanced Entry'!V$9:Z$9),1))</f>
        <v/>
      </c>
      <c r="J95" s="7">
        <f>IF(SUMPRODUCT(ISNUMBER('Advanced 0-10'!AA95:AA95)*'Advanced Entry'!AA$9:AA$9)=0,"",ROUND(SUMPRODUCT(IFERROR('Advanced 0-10'!AA95:AA95*1,0)*'Advanced Entry'!AA$9:AA$9)/SUMPRODUCT(ISNUMBER('Advanced 0-10'!AA95:AA95)*'Advanced Entry'!AA$9:AA$9),1))</f>
        <v/>
      </c>
      <c r="K95" s="7">
        <f>IF(SUMPRODUCT(ISNUMBER('Advanced 0-10'!AB95:AB95)*'Advanced Entry'!AB$9:AB$9)=0,"",ROUND(SUMPRODUCT(IFERROR('Advanced 0-10'!AB95:AB95*1,0)*'Advanced Entry'!AB$9:AB$9)/SUMPRODUCT(ISNUMBER('Advanced 0-10'!AB95:AB95)*'Advanced Entry'!AB$9:AB$9),1))</f>
        <v/>
      </c>
      <c r="L95" s="19">
        <f>IF(SUMPRODUCT(--ISNUMBER(D95:K95))=0,"",ROUND(SUMPRODUCT(IFERROR(D95:K95*1,0))/SUMPRODUCT(--ISNUMBER(D95:K95)),1))</f>
        <v/>
      </c>
    </row>
    <row r="96">
      <c r="A96" t="inlineStr">
        <is>
          <t>Mara</t>
        </is>
      </c>
      <c r="B96" t="inlineStr">
        <is>
          <t>Rorya District</t>
        </is>
      </c>
      <c r="C96" t="inlineStr">
        <is>
          <t>C149</t>
        </is>
      </c>
      <c r="D96" s="7">
        <f>IF(SUMPRODUCT(ISNUMBER('Advanced 0-10'!D96:J96)*'Advanced Entry'!D$9:J$9)=0,"",ROUND(SUMPRODUCT(IFERROR('Advanced 0-10'!D96:J96*1,0)*'Advanced Entry'!D$9:J$9)/SUMPRODUCT(ISNUMBER('Advanced 0-10'!D96:J96)*'Advanced Entry'!D$9:J$9),1))</f>
        <v/>
      </c>
      <c r="E96" s="7">
        <f>IF(SUMPRODUCT(ISNUMBER('Advanced 0-10'!K96:O96)*'Advanced Entry'!K$9:O$9)=0,"",ROUND(SUMPRODUCT(IFERROR('Advanced 0-10'!K96:O96*1,0)*'Advanced Entry'!K$9:O$9)/SUMPRODUCT(ISNUMBER('Advanced 0-10'!K96:O96)*'Advanced Entry'!K$9:O$9),1))</f>
        <v/>
      </c>
      <c r="F96" s="7">
        <f>IF(SUMPRODUCT(ISNUMBER('Advanced 0-10'!P96:Q96)*'Advanced Entry'!P$9:Q$9)=0,"",ROUND(SUMPRODUCT(IFERROR('Advanced 0-10'!P96:Q96*1,0)*'Advanced Entry'!P$9:Q$9)/SUMPRODUCT(ISNUMBER('Advanced 0-10'!P96:Q96)*'Advanced Entry'!P$9:Q$9),1))</f>
        <v/>
      </c>
      <c r="G96" s="7">
        <f>IF(SUMPRODUCT(ISNUMBER('Advanced 0-10'!R96:S96)*'Advanced Entry'!R$9:S$9)=0,"",ROUND(SUMPRODUCT(IFERROR('Advanced 0-10'!R96:S96*1,0)*'Advanced Entry'!R$9:S$9)/SUMPRODUCT(ISNUMBER('Advanced 0-10'!R96:S96)*'Advanced Entry'!R$9:S$9),1))</f>
        <v/>
      </c>
      <c r="H96" s="7">
        <f>IF(SUMPRODUCT(ISNUMBER('Advanced 0-10'!T96:U96)*'Advanced Entry'!T$9:U$9)=0,"",ROUND(SUMPRODUCT(IFERROR('Advanced 0-10'!T96:U96*1,0)*'Advanced Entry'!T$9:U$9)/SUMPRODUCT(ISNUMBER('Advanced 0-10'!T96:U96)*'Advanced Entry'!T$9:U$9),1))</f>
        <v/>
      </c>
      <c r="I96" s="7">
        <f>IF(SUMPRODUCT(ISNUMBER('Advanced 0-10'!V96:Z96)*'Advanced Entry'!V$9:Z$9)=0,"",ROUND(SUMPRODUCT(IFERROR('Advanced 0-10'!V96:Z96*1,0)*'Advanced Entry'!V$9:Z$9)/SUMPRODUCT(ISNUMBER('Advanced 0-10'!V96:Z96)*'Advanced Entry'!V$9:Z$9),1))</f>
        <v/>
      </c>
      <c r="J96" s="7">
        <f>IF(SUMPRODUCT(ISNUMBER('Advanced 0-10'!AA96:AA96)*'Advanced Entry'!AA$9:AA$9)=0,"",ROUND(SUMPRODUCT(IFERROR('Advanced 0-10'!AA96:AA96*1,0)*'Advanced Entry'!AA$9:AA$9)/SUMPRODUCT(ISNUMBER('Advanced 0-10'!AA96:AA96)*'Advanced Entry'!AA$9:AA$9),1))</f>
        <v/>
      </c>
      <c r="K96" s="7">
        <f>IF(SUMPRODUCT(ISNUMBER('Advanced 0-10'!AB96:AB96)*'Advanced Entry'!AB$9:AB$9)=0,"",ROUND(SUMPRODUCT(IFERROR('Advanced 0-10'!AB96:AB96*1,0)*'Advanced Entry'!AB$9:AB$9)/SUMPRODUCT(ISNUMBER('Advanced 0-10'!AB96:AB96)*'Advanced Entry'!AB$9:AB$9),1))</f>
        <v/>
      </c>
      <c r="L96" s="19">
        <f>IF(SUMPRODUCT(--ISNUMBER(D96:K96))=0,"",ROUND(SUMPRODUCT(IFERROR(D96:K96*1,0))/SUMPRODUCT(--ISNUMBER(D96:K96)),1))</f>
        <v/>
      </c>
    </row>
    <row r="97">
      <c r="A97" t="inlineStr">
        <is>
          <t>Mara</t>
        </is>
      </c>
      <c r="B97" t="inlineStr">
        <is>
          <t>Serengeti District</t>
        </is>
      </c>
      <c r="C97" t="inlineStr">
        <is>
          <t>C143</t>
        </is>
      </c>
      <c r="D97" s="7">
        <f>IF(SUMPRODUCT(ISNUMBER('Advanced 0-10'!D97:J97)*'Advanced Entry'!D$9:J$9)=0,"",ROUND(SUMPRODUCT(IFERROR('Advanced 0-10'!D97:J97*1,0)*'Advanced Entry'!D$9:J$9)/SUMPRODUCT(ISNUMBER('Advanced 0-10'!D97:J97)*'Advanced Entry'!D$9:J$9),1))</f>
        <v/>
      </c>
      <c r="E97" s="7">
        <f>IF(SUMPRODUCT(ISNUMBER('Advanced 0-10'!K97:O97)*'Advanced Entry'!K$9:O$9)=0,"",ROUND(SUMPRODUCT(IFERROR('Advanced 0-10'!K97:O97*1,0)*'Advanced Entry'!K$9:O$9)/SUMPRODUCT(ISNUMBER('Advanced 0-10'!K97:O97)*'Advanced Entry'!K$9:O$9),1))</f>
        <v/>
      </c>
      <c r="F97" s="7">
        <f>IF(SUMPRODUCT(ISNUMBER('Advanced 0-10'!P97:Q97)*'Advanced Entry'!P$9:Q$9)=0,"",ROUND(SUMPRODUCT(IFERROR('Advanced 0-10'!P97:Q97*1,0)*'Advanced Entry'!P$9:Q$9)/SUMPRODUCT(ISNUMBER('Advanced 0-10'!P97:Q97)*'Advanced Entry'!P$9:Q$9),1))</f>
        <v/>
      </c>
      <c r="G97" s="7">
        <f>IF(SUMPRODUCT(ISNUMBER('Advanced 0-10'!R97:S97)*'Advanced Entry'!R$9:S$9)=0,"",ROUND(SUMPRODUCT(IFERROR('Advanced 0-10'!R97:S97*1,0)*'Advanced Entry'!R$9:S$9)/SUMPRODUCT(ISNUMBER('Advanced 0-10'!R97:S97)*'Advanced Entry'!R$9:S$9),1))</f>
        <v/>
      </c>
      <c r="H97" s="7">
        <f>IF(SUMPRODUCT(ISNUMBER('Advanced 0-10'!T97:U97)*'Advanced Entry'!T$9:U$9)=0,"",ROUND(SUMPRODUCT(IFERROR('Advanced 0-10'!T97:U97*1,0)*'Advanced Entry'!T$9:U$9)/SUMPRODUCT(ISNUMBER('Advanced 0-10'!T97:U97)*'Advanced Entry'!T$9:U$9),1))</f>
        <v/>
      </c>
      <c r="I97" s="7">
        <f>IF(SUMPRODUCT(ISNUMBER('Advanced 0-10'!V97:Z97)*'Advanced Entry'!V$9:Z$9)=0,"",ROUND(SUMPRODUCT(IFERROR('Advanced 0-10'!V97:Z97*1,0)*'Advanced Entry'!V$9:Z$9)/SUMPRODUCT(ISNUMBER('Advanced 0-10'!V97:Z97)*'Advanced Entry'!V$9:Z$9),1))</f>
        <v/>
      </c>
      <c r="J97" s="7">
        <f>IF(SUMPRODUCT(ISNUMBER('Advanced 0-10'!AA97:AA97)*'Advanced Entry'!AA$9:AA$9)=0,"",ROUND(SUMPRODUCT(IFERROR('Advanced 0-10'!AA97:AA97*1,0)*'Advanced Entry'!AA$9:AA$9)/SUMPRODUCT(ISNUMBER('Advanced 0-10'!AA97:AA97)*'Advanced Entry'!AA$9:AA$9),1))</f>
        <v/>
      </c>
      <c r="K97" s="7">
        <f>IF(SUMPRODUCT(ISNUMBER('Advanced 0-10'!AB97:AB97)*'Advanced Entry'!AB$9:AB$9)=0,"",ROUND(SUMPRODUCT(IFERROR('Advanced 0-10'!AB97:AB97*1,0)*'Advanced Entry'!AB$9:AB$9)/SUMPRODUCT(ISNUMBER('Advanced 0-10'!AB97:AB97)*'Advanced Entry'!AB$9:AB$9),1))</f>
        <v/>
      </c>
      <c r="L97" s="19">
        <f>IF(SUMPRODUCT(--ISNUMBER(D97:K97))=0,"",ROUND(SUMPRODUCT(IFERROR(D97:K97*1,0))/SUMPRODUCT(--ISNUMBER(D97:K97)),1))</f>
        <v/>
      </c>
    </row>
    <row r="98">
      <c r="A98" t="inlineStr">
        <is>
          <t>Mara</t>
        </is>
      </c>
      <c r="B98" t="inlineStr">
        <is>
          <t>Tarime District</t>
        </is>
      </c>
      <c r="C98" t="inlineStr">
        <is>
          <t>C141</t>
        </is>
      </c>
      <c r="D98" s="7">
        <f>IF(SUMPRODUCT(ISNUMBER('Advanced 0-10'!D98:J98)*'Advanced Entry'!D$9:J$9)=0,"",ROUND(SUMPRODUCT(IFERROR('Advanced 0-10'!D98:J98*1,0)*'Advanced Entry'!D$9:J$9)/SUMPRODUCT(ISNUMBER('Advanced 0-10'!D98:J98)*'Advanced Entry'!D$9:J$9),1))</f>
        <v/>
      </c>
      <c r="E98" s="7">
        <f>IF(SUMPRODUCT(ISNUMBER('Advanced 0-10'!K98:O98)*'Advanced Entry'!K$9:O$9)=0,"",ROUND(SUMPRODUCT(IFERROR('Advanced 0-10'!K98:O98*1,0)*'Advanced Entry'!K$9:O$9)/SUMPRODUCT(ISNUMBER('Advanced 0-10'!K98:O98)*'Advanced Entry'!K$9:O$9),1))</f>
        <v/>
      </c>
      <c r="F98" s="7">
        <f>IF(SUMPRODUCT(ISNUMBER('Advanced 0-10'!P98:Q98)*'Advanced Entry'!P$9:Q$9)=0,"",ROUND(SUMPRODUCT(IFERROR('Advanced 0-10'!P98:Q98*1,0)*'Advanced Entry'!P$9:Q$9)/SUMPRODUCT(ISNUMBER('Advanced 0-10'!P98:Q98)*'Advanced Entry'!P$9:Q$9),1))</f>
        <v/>
      </c>
      <c r="G98" s="7">
        <f>IF(SUMPRODUCT(ISNUMBER('Advanced 0-10'!R98:S98)*'Advanced Entry'!R$9:S$9)=0,"",ROUND(SUMPRODUCT(IFERROR('Advanced 0-10'!R98:S98*1,0)*'Advanced Entry'!R$9:S$9)/SUMPRODUCT(ISNUMBER('Advanced 0-10'!R98:S98)*'Advanced Entry'!R$9:S$9),1))</f>
        <v/>
      </c>
      <c r="H98" s="7">
        <f>IF(SUMPRODUCT(ISNUMBER('Advanced 0-10'!T98:U98)*'Advanced Entry'!T$9:U$9)=0,"",ROUND(SUMPRODUCT(IFERROR('Advanced 0-10'!T98:U98*1,0)*'Advanced Entry'!T$9:U$9)/SUMPRODUCT(ISNUMBER('Advanced 0-10'!T98:U98)*'Advanced Entry'!T$9:U$9),1))</f>
        <v/>
      </c>
      <c r="I98" s="7">
        <f>IF(SUMPRODUCT(ISNUMBER('Advanced 0-10'!V98:Z98)*'Advanced Entry'!V$9:Z$9)=0,"",ROUND(SUMPRODUCT(IFERROR('Advanced 0-10'!V98:Z98*1,0)*'Advanced Entry'!V$9:Z$9)/SUMPRODUCT(ISNUMBER('Advanced 0-10'!V98:Z98)*'Advanced Entry'!V$9:Z$9),1))</f>
        <v/>
      </c>
      <c r="J98" s="7">
        <f>IF(SUMPRODUCT(ISNUMBER('Advanced 0-10'!AA98:AA98)*'Advanced Entry'!AA$9:AA$9)=0,"",ROUND(SUMPRODUCT(IFERROR('Advanced 0-10'!AA98:AA98*1,0)*'Advanced Entry'!AA$9:AA$9)/SUMPRODUCT(ISNUMBER('Advanced 0-10'!AA98:AA98)*'Advanced Entry'!AA$9:AA$9),1))</f>
        <v/>
      </c>
      <c r="K98" s="7">
        <f>IF(SUMPRODUCT(ISNUMBER('Advanced 0-10'!AB98:AB98)*'Advanced Entry'!AB$9:AB$9)=0,"",ROUND(SUMPRODUCT(IFERROR('Advanced 0-10'!AB98:AB98*1,0)*'Advanced Entry'!AB$9:AB$9)/SUMPRODUCT(ISNUMBER('Advanced 0-10'!AB98:AB98)*'Advanced Entry'!AB$9:AB$9),1))</f>
        <v/>
      </c>
      <c r="L98" s="19">
        <f>IF(SUMPRODUCT(--ISNUMBER(D98:K98))=0,"",ROUND(SUMPRODUCT(IFERROR(D98:K98*1,0))/SUMPRODUCT(--ISNUMBER(D98:K98)),1))</f>
        <v/>
      </c>
    </row>
    <row r="99">
      <c r="A99" t="inlineStr">
        <is>
          <t>Mara</t>
        </is>
      </c>
      <c r="B99" t="inlineStr">
        <is>
          <t>Tarime Town</t>
        </is>
      </c>
      <c r="C99" t="inlineStr">
        <is>
          <t>C142</t>
        </is>
      </c>
      <c r="D99" s="7">
        <f>IF(SUMPRODUCT(ISNUMBER('Advanced 0-10'!D99:J99)*'Advanced Entry'!D$9:J$9)=0,"",ROUND(SUMPRODUCT(IFERROR('Advanced 0-10'!D99:J99*1,0)*'Advanced Entry'!D$9:J$9)/SUMPRODUCT(ISNUMBER('Advanced 0-10'!D99:J99)*'Advanced Entry'!D$9:J$9),1))</f>
        <v/>
      </c>
      <c r="E99" s="7">
        <f>IF(SUMPRODUCT(ISNUMBER('Advanced 0-10'!K99:O99)*'Advanced Entry'!K$9:O$9)=0,"",ROUND(SUMPRODUCT(IFERROR('Advanced 0-10'!K99:O99*1,0)*'Advanced Entry'!K$9:O$9)/SUMPRODUCT(ISNUMBER('Advanced 0-10'!K99:O99)*'Advanced Entry'!K$9:O$9),1))</f>
        <v/>
      </c>
      <c r="F99" s="7">
        <f>IF(SUMPRODUCT(ISNUMBER('Advanced 0-10'!P99:Q99)*'Advanced Entry'!P$9:Q$9)=0,"",ROUND(SUMPRODUCT(IFERROR('Advanced 0-10'!P99:Q99*1,0)*'Advanced Entry'!P$9:Q$9)/SUMPRODUCT(ISNUMBER('Advanced 0-10'!P99:Q99)*'Advanced Entry'!P$9:Q$9),1))</f>
        <v/>
      </c>
      <c r="G99" s="7">
        <f>IF(SUMPRODUCT(ISNUMBER('Advanced 0-10'!R99:S99)*'Advanced Entry'!R$9:S$9)=0,"",ROUND(SUMPRODUCT(IFERROR('Advanced 0-10'!R99:S99*1,0)*'Advanced Entry'!R$9:S$9)/SUMPRODUCT(ISNUMBER('Advanced 0-10'!R99:S99)*'Advanced Entry'!R$9:S$9),1))</f>
        <v/>
      </c>
      <c r="H99" s="7">
        <f>IF(SUMPRODUCT(ISNUMBER('Advanced 0-10'!T99:U99)*'Advanced Entry'!T$9:U$9)=0,"",ROUND(SUMPRODUCT(IFERROR('Advanced 0-10'!T99:U99*1,0)*'Advanced Entry'!T$9:U$9)/SUMPRODUCT(ISNUMBER('Advanced 0-10'!T99:U99)*'Advanced Entry'!T$9:U$9),1))</f>
        <v/>
      </c>
      <c r="I99" s="7">
        <f>IF(SUMPRODUCT(ISNUMBER('Advanced 0-10'!V99:Z99)*'Advanced Entry'!V$9:Z$9)=0,"",ROUND(SUMPRODUCT(IFERROR('Advanced 0-10'!V99:Z99*1,0)*'Advanced Entry'!V$9:Z$9)/SUMPRODUCT(ISNUMBER('Advanced 0-10'!V99:Z99)*'Advanced Entry'!V$9:Z$9),1))</f>
        <v/>
      </c>
      <c r="J99" s="7">
        <f>IF(SUMPRODUCT(ISNUMBER('Advanced 0-10'!AA99:AA99)*'Advanced Entry'!AA$9:AA$9)=0,"",ROUND(SUMPRODUCT(IFERROR('Advanced 0-10'!AA99:AA99*1,0)*'Advanced Entry'!AA$9:AA$9)/SUMPRODUCT(ISNUMBER('Advanced 0-10'!AA99:AA99)*'Advanced Entry'!AA$9:AA$9),1))</f>
        <v/>
      </c>
      <c r="K99" s="7">
        <f>IF(SUMPRODUCT(ISNUMBER('Advanced 0-10'!AB99:AB99)*'Advanced Entry'!AB$9:AB$9)=0,"",ROUND(SUMPRODUCT(IFERROR('Advanced 0-10'!AB99:AB99*1,0)*'Advanced Entry'!AB$9:AB$9)/SUMPRODUCT(ISNUMBER('Advanced 0-10'!AB99:AB99)*'Advanced Entry'!AB$9:AB$9),1))</f>
        <v/>
      </c>
      <c r="L99" s="19">
        <f>IF(SUMPRODUCT(--ISNUMBER(D99:K99))=0,"",ROUND(SUMPRODUCT(IFERROR(D99:K99*1,0))/SUMPRODUCT(--ISNUMBER(D99:K99)),1))</f>
        <v/>
      </c>
    </row>
    <row r="100">
      <c r="A100" t="inlineStr">
        <is>
          <t>Mbeya</t>
        </is>
      </c>
      <c r="B100" t="inlineStr">
        <is>
          <t>Busokelo District</t>
        </is>
      </c>
      <c r="C100" t="inlineStr">
        <is>
          <t>C090</t>
        </is>
      </c>
      <c r="D100" s="7">
        <f>IF(SUMPRODUCT(ISNUMBER('Advanced 0-10'!D100:J100)*'Advanced Entry'!D$9:J$9)=0,"",ROUND(SUMPRODUCT(IFERROR('Advanced 0-10'!D100:J100*1,0)*'Advanced Entry'!D$9:J$9)/SUMPRODUCT(ISNUMBER('Advanced 0-10'!D100:J100)*'Advanced Entry'!D$9:J$9),1))</f>
        <v/>
      </c>
      <c r="E100" s="7">
        <f>IF(SUMPRODUCT(ISNUMBER('Advanced 0-10'!K100:O100)*'Advanced Entry'!K$9:O$9)=0,"",ROUND(SUMPRODUCT(IFERROR('Advanced 0-10'!K100:O100*1,0)*'Advanced Entry'!K$9:O$9)/SUMPRODUCT(ISNUMBER('Advanced 0-10'!K100:O100)*'Advanced Entry'!K$9:O$9),1))</f>
        <v/>
      </c>
      <c r="F100" s="7">
        <f>IF(SUMPRODUCT(ISNUMBER('Advanced 0-10'!P100:Q100)*'Advanced Entry'!P$9:Q$9)=0,"",ROUND(SUMPRODUCT(IFERROR('Advanced 0-10'!P100:Q100*1,0)*'Advanced Entry'!P$9:Q$9)/SUMPRODUCT(ISNUMBER('Advanced 0-10'!P100:Q100)*'Advanced Entry'!P$9:Q$9),1))</f>
        <v/>
      </c>
      <c r="G100" s="7">
        <f>IF(SUMPRODUCT(ISNUMBER('Advanced 0-10'!R100:S100)*'Advanced Entry'!R$9:S$9)=0,"",ROUND(SUMPRODUCT(IFERROR('Advanced 0-10'!R100:S100*1,0)*'Advanced Entry'!R$9:S$9)/SUMPRODUCT(ISNUMBER('Advanced 0-10'!R100:S100)*'Advanced Entry'!R$9:S$9),1))</f>
        <v/>
      </c>
      <c r="H100" s="7">
        <f>IF(SUMPRODUCT(ISNUMBER('Advanced 0-10'!T100:U100)*'Advanced Entry'!T$9:U$9)=0,"",ROUND(SUMPRODUCT(IFERROR('Advanced 0-10'!T100:U100*1,0)*'Advanced Entry'!T$9:U$9)/SUMPRODUCT(ISNUMBER('Advanced 0-10'!T100:U100)*'Advanced Entry'!T$9:U$9),1))</f>
        <v/>
      </c>
      <c r="I100" s="7">
        <f>IF(SUMPRODUCT(ISNUMBER('Advanced 0-10'!V100:Z100)*'Advanced Entry'!V$9:Z$9)=0,"",ROUND(SUMPRODUCT(IFERROR('Advanced 0-10'!V100:Z100*1,0)*'Advanced Entry'!V$9:Z$9)/SUMPRODUCT(ISNUMBER('Advanced 0-10'!V100:Z100)*'Advanced Entry'!V$9:Z$9),1))</f>
        <v/>
      </c>
      <c r="J100" s="7">
        <f>IF(SUMPRODUCT(ISNUMBER('Advanced 0-10'!AA100:AA100)*'Advanced Entry'!AA$9:AA$9)=0,"",ROUND(SUMPRODUCT(IFERROR('Advanced 0-10'!AA100:AA100*1,0)*'Advanced Entry'!AA$9:AA$9)/SUMPRODUCT(ISNUMBER('Advanced 0-10'!AA100:AA100)*'Advanced Entry'!AA$9:AA$9),1))</f>
        <v/>
      </c>
      <c r="K100" s="7">
        <f>IF(SUMPRODUCT(ISNUMBER('Advanced 0-10'!AB100:AB100)*'Advanced Entry'!AB$9:AB$9)=0,"",ROUND(SUMPRODUCT(IFERROR('Advanced 0-10'!AB100:AB100*1,0)*'Advanced Entry'!AB$9:AB$9)/SUMPRODUCT(ISNUMBER('Advanced 0-10'!AB100:AB100)*'Advanced Entry'!AB$9:AB$9),1))</f>
        <v/>
      </c>
      <c r="L100" s="19">
        <f>IF(SUMPRODUCT(--ISNUMBER(D100:K100))=0,"",ROUND(SUMPRODUCT(IFERROR(D100:K100*1,0))/SUMPRODUCT(--ISNUMBER(D100:K100)),1))</f>
        <v/>
      </c>
    </row>
    <row r="101">
      <c r="A101" t="inlineStr">
        <is>
          <t>Mbeya</t>
        </is>
      </c>
      <c r="B101" t="inlineStr">
        <is>
          <t>Chunya District</t>
        </is>
      </c>
      <c r="C101" t="inlineStr">
        <is>
          <t>C085</t>
        </is>
      </c>
      <c r="D101" s="7">
        <f>IF(SUMPRODUCT(ISNUMBER('Advanced 0-10'!D101:J101)*'Advanced Entry'!D$9:J$9)=0,"",ROUND(SUMPRODUCT(IFERROR('Advanced 0-10'!D101:J101*1,0)*'Advanced Entry'!D$9:J$9)/SUMPRODUCT(ISNUMBER('Advanced 0-10'!D101:J101)*'Advanced Entry'!D$9:J$9),1))</f>
        <v/>
      </c>
      <c r="E101" s="7">
        <f>IF(SUMPRODUCT(ISNUMBER('Advanced 0-10'!K101:O101)*'Advanced Entry'!K$9:O$9)=0,"",ROUND(SUMPRODUCT(IFERROR('Advanced 0-10'!K101:O101*1,0)*'Advanced Entry'!K$9:O$9)/SUMPRODUCT(ISNUMBER('Advanced 0-10'!K101:O101)*'Advanced Entry'!K$9:O$9),1))</f>
        <v/>
      </c>
      <c r="F101" s="7">
        <f>IF(SUMPRODUCT(ISNUMBER('Advanced 0-10'!P101:Q101)*'Advanced Entry'!P$9:Q$9)=0,"",ROUND(SUMPRODUCT(IFERROR('Advanced 0-10'!P101:Q101*1,0)*'Advanced Entry'!P$9:Q$9)/SUMPRODUCT(ISNUMBER('Advanced 0-10'!P101:Q101)*'Advanced Entry'!P$9:Q$9),1))</f>
        <v/>
      </c>
      <c r="G101" s="7">
        <f>IF(SUMPRODUCT(ISNUMBER('Advanced 0-10'!R101:S101)*'Advanced Entry'!R$9:S$9)=0,"",ROUND(SUMPRODUCT(IFERROR('Advanced 0-10'!R101:S101*1,0)*'Advanced Entry'!R$9:S$9)/SUMPRODUCT(ISNUMBER('Advanced 0-10'!R101:S101)*'Advanced Entry'!R$9:S$9),1))</f>
        <v/>
      </c>
      <c r="H101" s="7">
        <f>IF(SUMPRODUCT(ISNUMBER('Advanced 0-10'!T101:U101)*'Advanced Entry'!T$9:U$9)=0,"",ROUND(SUMPRODUCT(IFERROR('Advanced 0-10'!T101:U101*1,0)*'Advanced Entry'!T$9:U$9)/SUMPRODUCT(ISNUMBER('Advanced 0-10'!T101:U101)*'Advanced Entry'!T$9:U$9),1))</f>
        <v/>
      </c>
      <c r="I101" s="7">
        <f>IF(SUMPRODUCT(ISNUMBER('Advanced 0-10'!V101:Z101)*'Advanced Entry'!V$9:Z$9)=0,"",ROUND(SUMPRODUCT(IFERROR('Advanced 0-10'!V101:Z101*1,0)*'Advanced Entry'!V$9:Z$9)/SUMPRODUCT(ISNUMBER('Advanced 0-10'!V101:Z101)*'Advanced Entry'!V$9:Z$9),1))</f>
        <v/>
      </c>
      <c r="J101" s="7">
        <f>IF(SUMPRODUCT(ISNUMBER('Advanced 0-10'!AA101:AA101)*'Advanced Entry'!AA$9:AA$9)=0,"",ROUND(SUMPRODUCT(IFERROR('Advanced 0-10'!AA101:AA101*1,0)*'Advanced Entry'!AA$9:AA$9)/SUMPRODUCT(ISNUMBER('Advanced 0-10'!AA101:AA101)*'Advanced Entry'!AA$9:AA$9),1))</f>
        <v/>
      </c>
      <c r="K101" s="7">
        <f>IF(SUMPRODUCT(ISNUMBER('Advanced 0-10'!AB101:AB101)*'Advanced Entry'!AB$9:AB$9)=0,"",ROUND(SUMPRODUCT(IFERROR('Advanced 0-10'!AB101:AB101*1,0)*'Advanced Entry'!AB$9:AB$9)/SUMPRODUCT(ISNUMBER('Advanced 0-10'!AB101:AB101)*'Advanced Entry'!AB$9:AB$9),1))</f>
        <v/>
      </c>
      <c r="L101" s="19">
        <f>IF(SUMPRODUCT(--ISNUMBER(D101:K101))=0,"",ROUND(SUMPRODUCT(IFERROR(D101:K101*1,0))/SUMPRODUCT(--ISNUMBER(D101:K101)),1))</f>
        <v/>
      </c>
    </row>
    <row r="102">
      <c r="A102" t="inlineStr">
        <is>
          <t>Mbeya</t>
        </is>
      </c>
      <c r="B102" t="inlineStr">
        <is>
          <t>Kyela District</t>
        </is>
      </c>
      <c r="C102" t="inlineStr">
        <is>
          <t>C088</t>
        </is>
      </c>
      <c r="D102" s="7">
        <f>IF(SUMPRODUCT(ISNUMBER('Advanced 0-10'!D102:J102)*'Advanced Entry'!D$9:J$9)=0,"",ROUND(SUMPRODUCT(IFERROR('Advanced 0-10'!D102:J102*1,0)*'Advanced Entry'!D$9:J$9)/SUMPRODUCT(ISNUMBER('Advanced 0-10'!D102:J102)*'Advanced Entry'!D$9:J$9),1))</f>
        <v/>
      </c>
      <c r="E102" s="7">
        <f>IF(SUMPRODUCT(ISNUMBER('Advanced 0-10'!K102:O102)*'Advanced Entry'!K$9:O$9)=0,"",ROUND(SUMPRODUCT(IFERROR('Advanced 0-10'!K102:O102*1,0)*'Advanced Entry'!K$9:O$9)/SUMPRODUCT(ISNUMBER('Advanced 0-10'!K102:O102)*'Advanced Entry'!K$9:O$9),1))</f>
        <v/>
      </c>
      <c r="F102" s="7">
        <f>IF(SUMPRODUCT(ISNUMBER('Advanced 0-10'!P102:Q102)*'Advanced Entry'!P$9:Q$9)=0,"",ROUND(SUMPRODUCT(IFERROR('Advanced 0-10'!P102:Q102*1,0)*'Advanced Entry'!P$9:Q$9)/SUMPRODUCT(ISNUMBER('Advanced 0-10'!P102:Q102)*'Advanced Entry'!P$9:Q$9),1))</f>
        <v/>
      </c>
      <c r="G102" s="7">
        <f>IF(SUMPRODUCT(ISNUMBER('Advanced 0-10'!R102:S102)*'Advanced Entry'!R$9:S$9)=0,"",ROUND(SUMPRODUCT(IFERROR('Advanced 0-10'!R102:S102*1,0)*'Advanced Entry'!R$9:S$9)/SUMPRODUCT(ISNUMBER('Advanced 0-10'!R102:S102)*'Advanced Entry'!R$9:S$9),1))</f>
        <v/>
      </c>
      <c r="H102" s="7">
        <f>IF(SUMPRODUCT(ISNUMBER('Advanced 0-10'!T102:U102)*'Advanced Entry'!T$9:U$9)=0,"",ROUND(SUMPRODUCT(IFERROR('Advanced 0-10'!T102:U102*1,0)*'Advanced Entry'!T$9:U$9)/SUMPRODUCT(ISNUMBER('Advanced 0-10'!T102:U102)*'Advanced Entry'!T$9:U$9),1))</f>
        <v/>
      </c>
      <c r="I102" s="7">
        <f>IF(SUMPRODUCT(ISNUMBER('Advanced 0-10'!V102:Z102)*'Advanced Entry'!V$9:Z$9)=0,"",ROUND(SUMPRODUCT(IFERROR('Advanced 0-10'!V102:Z102*1,0)*'Advanced Entry'!V$9:Z$9)/SUMPRODUCT(ISNUMBER('Advanced 0-10'!V102:Z102)*'Advanced Entry'!V$9:Z$9),1))</f>
        <v/>
      </c>
      <c r="J102" s="7">
        <f>IF(SUMPRODUCT(ISNUMBER('Advanced 0-10'!AA102:AA102)*'Advanced Entry'!AA$9:AA$9)=0,"",ROUND(SUMPRODUCT(IFERROR('Advanced 0-10'!AA102:AA102*1,0)*'Advanced Entry'!AA$9:AA$9)/SUMPRODUCT(ISNUMBER('Advanced 0-10'!AA102:AA102)*'Advanced Entry'!AA$9:AA$9),1))</f>
        <v/>
      </c>
      <c r="K102" s="7">
        <f>IF(SUMPRODUCT(ISNUMBER('Advanced 0-10'!AB102:AB102)*'Advanced Entry'!AB$9:AB$9)=0,"",ROUND(SUMPRODUCT(IFERROR('Advanced 0-10'!AB102:AB102*1,0)*'Advanced Entry'!AB$9:AB$9)/SUMPRODUCT(ISNUMBER('Advanced 0-10'!AB102:AB102)*'Advanced Entry'!AB$9:AB$9),1))</f>
        <v/>
      </c>
      <c r="L102" s="19">
        <f>IF(SUMPRODUCT(--ISNUMBER(D102:K102))=0,"",ROUND(SUMPRODUCT(IFERROR(D102:K102*1,0))/SUMPRODUCT(--ISNUMBER(D102:K102)),1))</f>
        <v/>
      </c>
    </row>
    <row r="103">
      <c r="A103" t="inlineStr">
        <is>
          <t>Mbeya</t>
        </is>
      </c>
      <c r="B103" t="inlineStr">
        <is>
          <t>Mbarali District</t>
        </is>
      </c>
      <c r="C103" t="inlineStr">
        <is>
          <t>C091</t>
        </is>
      </c>
      <c r="D103" s="7">
        <f>IF(SUMPRODUCT(ISNUMBER('Advanced 0-10'!D103:J103)*'Advanced Entry'!D$9:J$9)=0,"",ROUND(SUMPRODUCT(IFERROR('Advanced 0-10'!D103:J103*1,0)*'Advanced Entry'!D$9:J$9)/SUMPRODUCT(ISNUMBER('Advanced 0-10'!D103:J103)*'Advanced Entry'!D$9:J$9),1))</f>
        <v/>
      </c>
      <c r="E103" s="7">
        <f>IF(SUMPRODUCT(ISNUMBER('Advanced 0-10'!K103:O103)*'Advanced Entry'!K$9:O$9)=0,"",ROUND(SUMPRODUCT(IFERROR('Advanced 0-10'!K103:O103*1,0)*'Advanced Entry'!K$9:O$9)/SUMPRODUCT(ISNUMBER('Advanced 0-10'!K103:O103)*'Advanced Entry'!K$9:O$9),1))</f>
        <v/>
      </c>
      <c r="F103" s="7">
        <f>IF(SUMPRODUCT(ISNUMBER('Advanced 0-10'!P103:Q103)*'Advanced Entry'!P$9:Q$9)=0,"",ROUND(SUMPRODUCT(IFERROR('Advanced 0-10'!P103:Q103*1,0)*'Advanced Entry'!P$9:Q$9)/SUMPRODUCT(ISNUMBER('Advanced 0-10'!P103:Q103)*'Advanced Entry'!P$9:Q$9),1))</f>
        <v/>
      </c>
      <c r="G103" s="7">
        <f>IF(SUMPRODUCT(ISNUMBER('Advanced 0-10'!R103:S103)*'Advanced Entry'!R$9:S$9)=0,"",ROUND(SUMPRODUCT(IFERROR('Advanced 0-10'!R103:S103*1,0)*'Advanced Entry'!R$9:S$9)/SUMPRODUCT(ISNUMBER('Advanced 0-10'!R103:S103)*'Advanced Entry'!R$9:S$9),1))</f>
        <v/>
      </c>
      <c r="H103" s="7">
        <f>IF(SUMPRODUCT(ISNUMBER('Advanced 0-10'!T103:U103)*'Advanced Entry'!T$9:U$9)=0,"",ROUND(SUMPRODUCT(IFERROR('Advanced 0-10'!T103:U103*1,0)*'Advanced Entry'!T$9:U$9)/SUMPRODUCT(ISNUMBER('Advanced 0-10'!T103:U103)*'Advanced Entry'!T$9:U$9),1))</f>
        <v/>
      </c>
      <c r="I103" s="7">
        <f>IF(SUMPRODUCT(ISNUMBER('Advanced 0-10'!V103:Z103)*'Advanced Entry'!V$9:Z$9)=0,"",ROUND(SUMPRODUCT(IFERROR('Advanced 0-10'!V103:Z103*1,0)*'Advanced Entry'!V$9:Z$9)/SUMPRODUCT(ISNUMBER('Advanced 0-10'!V103:Z103)*'Advanced Entry'!V$9:Z$9),1))</f>
        <v/>
      </c>
      <c r="J103" s="7">
        <f>IF(SUMPRODUCT(ISNUMBER('Advanced 0-10'!AA103:AA103)*'Advanced Entry'!AA$9:AA$9)=0,"",ROUND(SUMPRODUCT(IFERROR('Advanced 0-10'!AA103:AA103*1,0)*'Advanced Entry'!AA$9:AA$9)/SUMPRODUCT(ISNUMBER('Advanced 0-10'!AA103:AA103)*'Advanced Entry'!AA$9:AA$9),1))</f>
        <v/>
      </c>
      <c r="K103" s="7">
        <f>IF(SUMPRODUCT(ISNUMBER('Advanced 0-10'!AB103:AB103)*'Advanced Entry'!AB$9:AB$9)=0,"",ROUND(SUMPRODUCT(IFERROR('Advanced 0-10'!AB103:AB103*1,0)*'Advanced Entry'!AB$9:AB$9)/SUMPRODUCT(ISNUMBER('Advanced 0-10'!AB103:AB103)*'Advanced Entry'!AB$9:AB$9),1))</f>
        <v/>
      </c>
      <c r="L103" s="19">
        <f>IF(SUMPRODUCT(--ISNUMBER(D103:K103))=0,"",ROUND(SUMPRODUCT(IFERROR(D103:K103*1,0))/SUMPRODUCT(--ISNUMBER(D103:K103)),1))</f>
        <v/>
      </c>
    </row>
    <row r="104">
      <c r="A104" t="inlineStr">
        <is>
          <t>Mbeya</t>
        </is>
      </c>
      <c r="B104" t="inlineStr">
        <is>
          <t>Mbeya City</t>
        </is>
      </c>
      <c r="C104" t="inlineStr">
        <is>
          <t>C087</t>
        </is>
      </c>
      <c r="D104" s="7">
        <f>IF(SUMPRODUCT(ISNUMBER('Advanced 0-10'!D104:J104)*'Advanced Entry'!D$9:J$9)=0,"",ROUND(SUMPRODUCT(IFERROR('Advanced 0-10'!D104:J104*1,0)*'Advanced Entry'!D$9:J$9)/SUMPRODUCT(ISNUMBER('Advanced 0-10'!D104:J104)*'Advanced Entry'!D$9:J$9),1))</f>
        <v/>
      </c>
      <c r="E104" s="7">
        <f>IF(SUMPRODUCT(ISNUMBER('Advanced 0-10'!K104:O104)*'Advanced Entry'!K$9:O$9)=0,"",ROUND(SUMPRODUCT(IFERROR('Advanced 0-10'!K104:O104*1,0)*'Advanced Entry'!K$9:O$9)/SUMPRODUCT(ISNUMBER('Advanced 0-10'!K104:O104)*'Advanced Entry'!K$9:O$9),1))</f>
        <v/>
      </c>
      <c r="F104" s="7">
        <f>IF(SUMPRODUCT(ISNUMBER('Advanced 0-10'!P104:Q104)*'Advanced Entry'!P$9:Q$9)=0,"",ROUND(SUMPRODUCT(IFERROR('Advanced 0-10'!P104:Q104*1,0)*'Advanced Entry'!P$9:Q$9)/SUMPRODUCT(ISNUMBER('Advanced 0-10'!P104:Q104)*'Advanced Entry'!P$9:Q$9),1))</f>
        <v/>
      </c>
      <c r="G104" s="7">
        <f>IF(SUMPRODUCT(ISNUMBER('Advanced 0-10'!R104:S104)*'Advanced Entry'!R$9:S$9)=0,"",ROUND(SUMPRODUCT(IFERROR('Advanced 0-10'!R104:S104*1,0)*'Advanced Entry'!R$9:S$9)/SUMPRODUCT(ISNUMBER('Advanced 0-10'!R104:S104)*'Advanced Entry'!R$9:S$9),1))</f>
        <v/>
      </c>
      <c r="H104" s="7">
        <f>IF(SUMPRODUCT(ISNUMBER('Advanced 0-10'!T104:U104)*'Advanced Entry'!T$9:U$9)=0,"",ROUND(SUMPRODUCT(IFERROR('Advanced 0-10'!T104:U104*1,0)*'Advanced Entry'!T$9:U$9)/SUMPRODUCT(ISNUMBER('Advanced 0-10'!T104:U104)*'Advanced Entry'!T$9:U$9),1))</f>
        <v/>
      </c>
      <c r="I104" s="7">
        <f>IF(SUMPRODUCT(ISNUMBER('Advanced 0-10'!V104:Z104)*'Advanced Entry'!V$9:Z$9)=0,"",ROUND(SUMPRODUCT(IFERROR('Advanced 0-10'!V104:Z104*1,0)*'Advanced Entry'!V$9:Z$9)/SUMPRODUCT(ISNUMBER('Advanced 0-10'!V104:Z104)*'Advanced Entry'!V$9:Z$9),1))</f>
        <v/>
      </c>
      <c r="J104" s="7">
        <f>IF(SUMPRODUCT(ISNUMBER('Advanced 0-10'!AA104:AA104)*'Advanced Entry'!AA$9:AA$9)=0,"",ROUND(SUMPRODUCT(IFERROR('Advanced 0-10'!AA104:AA104*1,0)*'Advanced Entry'!AA$9:AA$9)/SUMPRODUCT(ISNUMBER('Advanced 0-10'!AA104:AA104)*'Advanced Entry'!AA$9:AA$9),1))</f>
        <v/>
      </c>
      <c r="K104" s="7">
        <f>IF(SUMPRODUCT(ISNUMBER('Advanced 0-10'!AB104:AB104)*'Advanced Entry'!AB$9:AB$9)=0,"",ROUND(SUMPRODUCT(IFERROR('Advanced 0-10'!AB104:AB104*1,0)*'Advanced Entry'!AB$9:AB$9)/SUMPRODUCT(ISNUMBER('Advanced 0-10'!AB104:AB104)*'Advanced Entry'!AB$9:AB$9),1))</f>
        <v/>
      </c>
      <c r="L104" s="19">
        <f>IF(SUMPRODUCT(--ISNUMBER(D104:K104))=0,"",ROUND(SUMPRODUCT(IFERROR(D104:K104*1,0))/SUMPRODUCT(--ISNUMBER(D104:K104)),1))</f>
        <v/>
      </c>
    </row>
    <row r="105">
      <c r="A105" t="inlineStr">
        <is>
          <t>Mbeya</t>
        </is>
      </c>
      <c r="B105" t="inlineStr">
        <is>
          <t>Mbeya District</t>
        </is>
      </c>
      <c r="C105" t="inlineStr">
        <is>
          <t>C086</t>
        </is>
      </c>
      <c r="D105" s="7">
        <f>IF(SUMPRODUCT(ISNUMBER('Advanced 0-10'!D105:J105)*'Advanced Entry'!D$9:J$9)=0,"",ROUND(SUMPRODUCT(IFERROR('Advanced 0-10'!D105:J105*1,0)*'Advanced Entry'!D$9:J$9)/SUMPRODUCT(ISNUMBER('Advanced 0-10'!D105:J105)*'Advanced Entry'!D$9:J$9),1))</f>
        <v/>
      </c>
      <c r="E105" s="7">
        <f>IF(SUMPRODUCT(ISNUMBER('Advanced 0-10'!K105:O105)*'Advanced Entry'!K$9:O$9)=0,"",ROUND(SUMPRODUCT(IFERROR('Advanced 0-10'!K105:O105*1,0)*'Advanced Entry'!K$9:O$9)/SUMPRODUCT(ISNUMBER('Advanced 0-10'!K105:O105)*'Advanced Entry'!K$9:O$9),1))</f>
        <v/>
      </c>
      <c r="F105" s="7">
        <f>IF(SUMPRODUCT(ISNUMBER('Advanced 0-10'!P105:Q105)*'Advanced Entry'!P$9:Q$9)=0,"",ROUND(SUMPRODUCT(IFERROR('Advanced 0-10'!P105:Q105*1,0)*'Advanced Entry'!P$9:Q$9)/SUMPRODUCT(ISNUMBER('Advanced 0-10'!P105:Q105)*'Advanced Entry'!P$9:Q$9),1))</f>
        <v/>
      </c>
      <c r="G105" s="7">
        <f>IF(SUMPRODUCT(ISNUMBER('Advanced 0-10'!R105:S105)*'Advanced Entry'!R$9:S$9)=0,"",ROUND(SUMPRODUCT(IFERROR('Advanced 0-10'!R105:S105*1,0)*'Advanced Entry'!R$9:S$9)/SUMPRODUCT(ISNUMBER('Advanced 0-10'!R105:S105)*'Advanced Entry'!R$9:S$9),1))</f>
        <v/>
      </c>
      <c r="H105" s="7">
        <f>IF(SUMPRODUCT(ISNUMBER('Advanced 0-10'!T105:U105)*'Advanced Entry'!T$9:U$9)=0,"",ROUND(SUMPRODUCT(IFERROR('Advanced 0-10'!T105:U105*1,0)*'Advanced Entry'!T$9:U$9)/SUMPRODUCT(ISNUMBER('Advanced 0-10'!T105:U105)*'Advanced Entry'!T$9:U$9),1))</f>
        <v/>
      </c>
      <c r="I105" s="7">
        <f>IF(SUMPRODUCT(ISNUMBER('Advanced 0-10'!V105:Z105)*'Advanced Entry'!V$9:Z$9)=0,"",ROUND(SUMPRODUCT(IFERROR('Advanced 0-10'!V105:Z105*1,0)*'Advanced Entry'!V$9:Z$9)/SUMPRODUCT(ISNUMBER('Advanced 0-10'!V105:Z105)*'Advanced Entry'!V$9:Z$9),1))</f>
        <v/>
      </c>
      <c r="J105" s="7">
        <f>IF(SUMPRODUCT(ISNUMBER('Advanced 0-10'!AA105:AA105)*'Advanced Entry'!AA$9:AA$9)=0,"",ROUND(SUMPRODUCT(IFERROR('Advanced 0-10'!AA105:AA105*1,0)*'Advanced Entry'!AA$9:AA$9)/SUMPRODUCT(ISNUMBER('Advanced 0-10'!AA105:AA105)*'Advanced Entry'!AA$9:AA$9),1))</f>
        <v/>
      </c>
      <c r="K105" s="7">
        <f>IF(SUMPRODUCT(ISNUMBER('Advanced 0-10'!AB105:AB105)*'Advanced Entry'!AB$9:AB$9)=0,"",ROUND(SUMPRODUCT(IFERROR('Advanced 0-10'!AB105:AB105*1,0)*'Advanced Entry'!AB$9:AB$9)/SUMPRODUCT(ISNUMBER('Advanced 0-10'!AB105:AB105)*'Advanced Entry'!AB$9:AB$9),1))</f>
        <v/>
      </c>
      <c r="L105" s="19">
        <f>IF(SUMPRODUCT(--ISNUMBER(D105:K105))=0,"",ROUND(SUMPRODUCT(IFERROR(D105:K105*1,0))/SUMPRODUCT(--ISNUMBER(D105:K105)),1))</f>
        <v/>
      </c>
    </row>
    <row r="106">
      <c r="A106" t="inlineStr">
        <is>
          <t>Mbeya</t>
        </is>
      </c>
      <c r="B106" t="inlineStr">
        <is>
          <t>Rungwe District</t>
        </is>
      </c>
      <c r="C106" t="inlineStr">
        <is>
          <t>C089</t>
        </is>
      </c>
      <c r="D106" s="7">
        <f>IF(SUMPRODUCT(ISNUMBER('Advanced 0-10'!D106:J106)*'Advanced Entry'!D$9:J$9)=0,"",ROUND(SUMPRODUCT(IFERROR('Advanced 0-10'!D106:J106*1,0)*'Advanced Entry'!D$9:J$9)/SUMPRODUCT(ISNUMBER('Advanced 0-10'!D106:J106)*'Advanced Entry'!D$9:J$9),1))</f>
        <v/>
      </c>
      <c r="E106" s="7">
        <f>IF(SUMPRODUCT(ISNUMBER('Advanced 0-10'!K106:O106)*'Advanced Entry'!K$9:O$9)=0,"",ROUND(SUMPRODUCT(IFERROR('Advanced 0-10'!K106:O106*1,0)*'Advanced Entry'!K$9:O$9)/SUMPRODUCT(ISNUMBER('Advanced 0-10'!K106:O106)*'Advanced Entry'!K$9:O$9),1))</f>
        <v/>
      </c>
      <c r="F106" s="7">
        <f>IF(SUMPRODUCT(ISNUMBER('Advanced 0-10'!P106:Q106)*'Advanced Entry'!P$9:Q$9)=0,"",ROUND(SUMPRODUCT(IFERROR('Advanced 0-10'!P106:Q106*1,0)*'Advanced Entry'!P$9:Q$9)/SUMPRODUCT(ISNUMBER('Advanced 0-10'!P106:Q106)*'Advanced Entry'!P$9:Q$9),1))</f>
        <v/>
      </c>
      <c r="G106" s="7">
        <f>IF(SUMPRODUCT(ISNUMBER('Advanced 0-10'!R106:S106)*'Advanced Entry'!R$9:S$9)=0,"",ROUND(SUMPRODUCT(IFERROR('Advanced 0-10'!R106:S106*1,0)*'Advanced Entry'!R$9:S$9)/SUMPRODUCT(ISNUMBER('Advanced 0-10'!R106:S106)*'Advanced Entry'!R$9:S$9),1))</f>
        <v/>
      </c>
      <c r="H106" s="7">
        <f>IF(SUMPRODUCT(ISNUMBER('Advanced 0-10'!T106:U106)*'Advanced Entry'!T$9:U$9)=0,"",ROUND(SUMPRODUCT(IFERROR('Advanced 0-10'!T106:U106*1,0)*'Advanced Entry'!T$9:U$9)/SUMPRODUCT(ISNUMBER('Advanced 0-10'!T106:U106)*'Advanced Entry'!T$9:U$9),1))</f>
        <v/>
      </c>
      <c r="I106" s="7">
        <f>IF(SUMPRODUCT(ISNUMBER('Advanced 0-10'!V106:Z106)*'Advanced Entry'!V$9:Z$9)=0,"",ROUND(SUMPRODUCT(IFERROR('Advanced 0-10'!V106:Z106*1,0)*'Advanced Entry'!V$9:Z$9)/SUMPRODUCT(ISNUMBER('Advanced 0-10'!V106:Z106)*'Advanced Entry'!V$9:Z$9),1))</f>
        <v/>
      </c>
      <c r="J106" s="7">
        <f>IF(SUMPRODUCT(ISNUMBER('Advanced 0-10'!AA106:AA106)*'Advanced Entry'!AA$9:AA$9)=0,"",ROUND(SUMPRODUCT(IFERROR('Advanced 0-10'!AA106:AA106*1,0)*'Advanced Entry'!AA$9:AA$9)/SUMPRODUCT(ISNUMBER('Advanced 0-10'!AA106:AA106)*'Advanced Entry'!AA$9:AA$9),1))</f>
        <v/>
      </c>
      <c r="K106" s="7">
        <f>IF(SUMPRODUCT(ISNUMBER('Advanced 0-10'!AB106:AB106)*'Advanced Entry'!AB$9:AB$9)=0,"",ROUND(SUMPRODUCT(IFERROR('Advanced 0-10'!AB106:AB106*1,0)*'Advanced Entry'!AB$9:AB$9)/SUMPRODUCT(ISNUMBER('Advanced 0-10'!AB106:AB106)*'Advanced Entry'!AB$9:AB$9),1))</f>
        <v/>
      </c>
      <c r="L106" s="19">
        <f>IF(SUMPRODUCT(--ISNUMBER(D106:K106))=0,"",ROUND(SUMPRODUCT(IFERROR(D106:K106*1,0))/SUMPRODUCT(--ISNUMBER(D106:K106)),1))</f>
        <v/>
      </c>
    </row>
    <row r="107">
      <c r="A107" t="inlineStr">
        <is>
          <t>Mjini Magharibi</t>
        </is>
      </c>
      <c r="B107" t="inlineStr">
        <is>
          <t>Magharibi A Municipal</t>
        </is>
      </c>
      <c r="C107" t="inlineStr">
        <is>
          <t>C190</t>
        </is>
      </c>
      <c r="D107" s="7">
        <f>IF(SUMPRODUCT(ISNUMBER('Advanced 0-10'!D107:J107)*'Advanced Entry'!D$9:J$9)=0,"",ROUND(SUMPRODUCT(IFERROR('Advanced 0-10'!D107:J107*1,0)*'Advanced Entry'!D$9:J$9)/SUMPRODUCT(ISNUMBER('Advanced 0-10'!D107:J107)*'Advanced Entry'!D$9:J$9),1))</f>
        <v/>
      </c>
      <c r="E107" s="7">
        <f>IF(SUMPRODUCT(ISNUMBER('Advanced 0-10'!K107:O107)*'Advanced Entry'!K$9:O$9)=0,"",ROUND(SUMPRODUCT(IFERROR('Advanced 0-10'!K107:O107*1,0)*'Advanced Entry'!K$9:O$9)/SUMPRODUCT(ISNUMBER('Advanced 0-10'!K107:O107)*'Advanced Entry'!K$9:O$9),1))</f>
        <v/>
      </c>
      <c r="F107" s="7">
        <f>IF(SUMPRODUCT(ISNUMBER('Advanced 0-10'!P107:Q107)*'Advanced Entry'!P$9:Q$9)=0,"",ROUND(SUMPRODUCT(IFERROR('Advanced 0-10'!P107:Q107*1,0)*'Advanced Entry'!P$9:Q$9)/SUMPRODUCT(ISNUMBER('Advanced 0-10'!P107:Q107)*'Advanced Entry'!P$9:Q$9),1))</f>
        <v/>
      </c>
      <c r="G107" s="7">
        <f>IF(SUMPRODUCT(ISNUMBER('Advanced 0-10'!R107:S107)*'Advanced Entry'!R$9:S$9)=0,"",ROUND(SUMPRODUCT(IFERROR('Advanced 0-10'!R107:S107*1,0)*'Advanced Entry'!R$9:S$9)/SUMPRODUCT(ISNUMBER('Advanced 0-10'!R107:S107)*'Advanced Entry'!R$9:S$9),1))</f>
        <v/>
      </c>
      <c r="H107" s="7">
        <f>IF(SUMPRODUCT(ISNUMBER('Advanced 0-10'!T107:U107)*'Advanced Entry'!T$9:U$9)=0,"",ROUND(SUMPRODUCT(IFERROR('Advanced 0-10'!T107:U107*1,0)*'Advanced Entry'!T$9:U$9)/SUMPRODUCT(ISNUMBER('Advanced 0-10'!T107:U107)*'Advanced Entry'!T$9:U$9),1))</f>
        <v/>
      </c>
      <c r="I107" s="7">
        <f>IF(SUMPRODUCT(ISNUMBER('Advanced 0-10'!V107:Z107)*'Advanced Entry'!V$9:Z$9)=0,"",ROUND(SUMPRODUCT(IFERROR('Advanced 0-10'!V107:Z107*1,0)*'Advanced Entry'!V$9:Z$9)/SUMPRODUCT(ISNUMBER('Advanced 0-10'!V107:Z107)*'Advanced Entry'!V$9:Z$9),1))</f>
        <v/>
      </c>
      <c r="J107" s="7">
        <f>IF(SUMPRODUCT(ISNUMBER('Advanced 0-10'!AA107:AA107)*'Advanced Entry'!AA$9:AA$9)=0,"",ROUND(SUMPRODUCT(IFERROR('Advanced 0-10'!AA107:AA107*1,0)*'Advanced Entry'!AA$9:AA$9)/SUMPRODUCT(ISNUMBER('Advanced 0-10'!AA107:AA107)*'Advanced Entry'!AA$9:AA$9),1))</f>
        <v/>
      </c>
      <c r="K107" s="7">
        <f>IF(SUMPRODUCT(ISNUMBER('Advanced 0-10'!AB107:AB107)*'Advanced Entry'!AB$9:AB$9)=0,"",ROUND(SUMPRODUCT(IFERROR('Advanced 0-10'!AB107:AB107*1,0)*'Advanced Entry'!AB$9:AB$9)/SUMPRODUCT(ISNUMBER('Advanced 0-10'!AB107:AB107)*'Advanced Entry'!AB$9:AB$9),1))</f>
        <v/>
      </c>
      <c r="L107" s="19">
        <f>IF(SUMPRODUCT(--ISNUMBER(D107:K107))=0,"",ROUND(SUMPRODUCT(IFERROR(D107:K107*1,0))/SUMPRODUCT(--ISNUMBER(D107:K107)),1))</f>
        <v/>
      </c>
    </row>
    <row r="108">
      <c r="A108" t="inlineStr">
        <is>
          <t>Mjini Magharibi</t>
        </is>
      </c>
      <c r="B108" t="inlineStr">
        <is>
          <t>Magharibi B Municipal</t>
        </is>
      </c>
      <c r="C108" t="inlineStr">
        <is>
          <t>C191</t>
        </is>
      </c>
      <c r="D108" s="7">
        <f>IF(SUMPRODUCT(ISNUMBER('Advanced 0-10'!D108:J108)*'Advanced Entry'!D$9:J$9)=0,"",ROUND(SUMPRODUCT(IFERROR('Advanced 0-10'!D108:J108*1,0)*'Advanced Entry'!D$9:J$9)/SUMPRODUCT(ISNUMBER('Advanced 0-10'!D108:J108)*'Advanced Entry'!D$9:J$9),1))</f>
        <v/>
      </c>
      <c r="E108" s="7">
        <f>IF(SUMPRODUCT(ISNUMBER('Advanced 0-10'!K108:O108)*'Advanced Entry'!K$9:O$9)=0,"",ROUND(SUMPRODUCT(IFERROR('Advanced 0-10'!K108:O108*1,0)*'Advanced Entry'!K$9:O$9)/SUMPRODUCT(ISNUMBER('Advanced 0-10'!K108:O108)*'Advanced Entry'!K$9:O$9),1))</f>
        <v/>
      </c>
      <c r="F108" s="7">
        <f>IF(SUMPRODUCT(ISNUMBER('Advanced 0-10'!P108:Q108)*'Advanced Entry'!P$9:Q$9)=0,"",ROUND(SUMPRODUCT(IFERROR('Advanced 0-10'!P108:Q108*1,0)*'Advanced Entry'!P$9:Q$9)/SUMPRODUCT(ISNUMBER('Advanced 0-10'!P108:Q108)*'Advanced Entry'!P$9:Q$9),1))</f>
        <v/>
      </c>
      <c r="G108" s="7">
        <f>IF(SUMPRODUCT(ISNUMBER('Advanced 0-10'!R108:S108)*'Advanced Entry'!R$9:S$9)=0,"",ROUND(SUMPRODUCT(IFERROR('Advanced 0-10'!R108:S108*1,0)*'Advanced Entry'!R$9:S$9)/SUMPRODUCT(ISNUMBER('Advanced 0-10'!R108:S108)*'Advanced Entry'!R$9:S$9),1))</f>
        <v/>
      </c>
      <c r="H108" s="7">
        <f>IF(SUMPRODUCT(ISNUMBER('Advanced 0-10'!T108:U108)*'Advanced Entry'!T$9:U$9)=0,"",ROUND(SUMPRODUCT(IFERROR('Advanced 0-10'!T108:U108*1,0)*'Advanced Entry'!T$9:U$9)/SUMPRODUCT(ISNUMBER('Advanced 0-10'!T108:U108)*'Advanced Entry'!T$9:U$9),1))</f>
        <v/>
      </c>
      <c r="I108" s="7">
        <f>IF(SUMPRODUCT(ISNUMBER('Advanced 0-10'!V108:Z108)*'Advanced Entry'!V$9:Z$9)=0,"",ROUND(SUMPRODUCT(IFERROR('Advanced 0-10'!V108:Z108*1,0)*'Advanced Entry'!V$9:Z$9)/SUMPRODUCT(ISNUMBER('Advanced 0-10'!V108:Z108)*'Advanced Entry'!V$9:Z$9),1))</f>
        <v/>
      </c>
      <c r="J108" s="7">
        <f>IF(SUMPRODUCT(ISNUMBER('Advanced 0-10'!AA108:AA108)*'Advanced Entry'!AA$9:AA$9)=0,"",ROUND(SUMPRODUCT(IFERROR('Advanced 0-10'!AA108:AA108*1,0)*'Advanced Entry'!AA$9:AA$9)/SUMPRODUCT(ISNUMBER('Advanced 0-10'!AA108:AA108)*'Advanced Entry'!AA$9:AA$9),1))</f>
        <v/>
      </c>
      <c r="K108" s="7">
        <f>IF(SUMPRODUCT(ISNUMBER('Advanced 0-10'!AB108:AB108)*'Advanced Entry'!AB$9:AB$9)=0,"",ROUND(SUMPRODUCT(IFERROR('Advanced 0-10'!AB108:AB108*1,0)*'Advanced Entry'!AB$9:AB$9)/SUMPRODUCT(ISNUMBER('Advanced 0-10'!AB108:AB108)*'Advanced Entry'!AB$9:AB$9),1))</f>
        <v/>
      </c>
      <c r="L108" s="19">
        <f>IF(SUMPRODUCT(--ISNUMBER(D108:K108))=0,"",ROUND(SUMPRODUCT(IFERROR(D108:K108*1,0))/SUMPRODUCT(--ISNUMBER(D108:K108)),1))</f>
        <v/>
      </c>
    </row>
    <row r="109">
      <c r="A109" t="inlineStr">
        <is>
          <t>Mjini Magharibi</t>
        </is>
      </c>
      <c r="B109" t="inlineStr">
        <is>
          <t>Mjini Municipal</t>
        </is>
      </c>
      <c r="C109" t="inlineStr">
        <is>
          <t>C189</t>
        </is>
      </c>
      <c r="D109" s="7">
        <f>IF(SUMPRODUCT(ISNUMBER('Advanced 0-10'!D109:J109)*'Advanced Entry'!D$9:J$9)=0,"",ROUND(SUMPRODUCT(IFERROR('Advanced 0-10'!D109:J109*1,0)*'Advanced Entry'!D$9:J$9)/SUMPRODUCT(ISNUMBER('Advanced 0-10'!D109:J109)*'Advanced Entry'!D$9:J$9),1))</f>
        <v/>
      </c>
      <c r="E109" s="7">
        <f>IF(SUMPRODUCT(ISNUMBER('Advanced 0-10'!K109:O109)*'Advanced Entry'!K$9:O$9)=0,"",ROUND(SUMPRODUCT(IFERROR('Advanced 0-10'!K109:O109*1,0)*'Advanced Entry'!K$9:O$9)/SUMPRODUCT(ISNUMBER('Advanced 0-10'!K109:O109)*'Advanced Entry'!K$9:O$9),1))</f>
        <v/>
      </c>
      <c r="F109" s="7">
        <f>IF(SUMPRODUCT(ISNUMBER('Advanced 0-10'!P109:Q109)*'Advanced Entry'!P$9:Q$9)=0,"",ROUND(SUMPRODUCT(IFERROR('Advanced 0-10'!P109:Q109*1,0)*'Advanced Entry'!P$9:Q$9)/SUMPRODUCT(ISNUMBER('Advanced 0-10'!P109:Q109)*'Advanced Entry'!P$9:Q$9),1))</f>
        <v/>
      </c>
      <c r="G109" s="7">
        <f>IF(SUMPRODUCT(ISNUMBER('Advanced 0-10'!R109:S109)*'Advanced Entry'!R$9:S$9)=0,"",ROUND(SUMPRODUCT(IFERROR('Advanced 0-10'!R109:S109*1,0)*'Advanced Entry'!R$9:S$9)/SUMPRODUCT(ISNUMBER('Advanced 0-10'!R109:S109)*'Advanced Entry'!R$9:S$9),1))</f>
        <v/>
      </c>
      <c r="H109" s="7">
        <f>IF(SUMPRODUCT(ISNUMBER('Advanced 0-10'!T109:U109)*'Advanced Entry'!T$9:U$9)=0,"",ROUND(SUMPRODUCT(IFERROR('Advanced 0-10'!T109:U109*1,0)*'Advanced Entry'!T$9:U$9)/SUMPRODUCT(ISNUMBER('Advanced 0-10'!T109:U109)*'Advanced Entry'!T$9:U$9),1))</f>
        <v/>
      </c>
      <c r="I109" s="7">
        <f>IF(SUMPRODUCT(ISNUMBER('Advanced 0-10'!V109:Z109)*'Advanced Entry'!V$9:Z$9)=0,"",ROUND(SUMPRODUCT(IFERROR('Advanced 0-10'!V109:Z109*1,0)*'Advanced Entry'!V$9:Z$9)/SUMPRODUCT(ISNUMBER('Advanced 0-10'!V109:Z109)*'Advanced Entry'!V$9:Z$9),1))</f>
        <v/>
      </c>
      <c r="J109" s="7">
        <f>IF(SUMPRODUCT(ISNUMBER('Advanced 0-10'!AA109:AA109)*'Advanced Entry'!AA$9:AA$9)=0,"",ROUND(SUMPRODUCT(IFERROR('Advanced 0-10'!AA109:AA109*1,0)*'Advanced Entry'!AA$9:AA$9)/SUMPRODUCT(ISNUMBER('Advanced 0-10'!AA109:AA109)*'Advanced Entry'!AA$9:AA$9),1))</f>
        <v/>
      </c>
      <c r="K109" s="7">
        <f>IF(SUMPRODUCT(ISNUMBER('Advanced 0-10'!AB109:AB109)*'Advanced Entry'!AB$9:AB$9)=0,"",ROUND(SUMPRODUCT(IFERROR('Advanced 0-10'!AB109:AB109*1,0)*'Advanced Entry'!AB$9:AB$9)/SUMPRODUCT(ISNUMBER('Advanced 0-10'!AB109:AB109)*'Advanced Entry'!AB$9:AB$9),1))</f>
        <v/>
      </c>
      <c r="L109" s="19">
        <f>IF(SUMPRODUCT(--ISNUMBER(D109:K109))=0,"",ROUND(SUMPRODUCT(IFERROR(D109:K109*1,0))/SUMPRODUCT(--ISNUMBER(D109:K109)),1))</f>
        <v/>
      </c>
    </row>
    <row r="110">
      <c r="A110" t="inlineStr">
        <is>
          <t>Morogoro</t>
        </is>
      </c>
      <c r="B110" t="inlineStr">
        <is>
          <t>Gairo District</t>
        </is>
      </c>
      <c r="C110" t="inlineStr">
        <is>
          <t>C042</t>
        </is>
      </c>
      <c r="D110" s="7">
        <f>IF(SUMPRODUCT(ISNUMBER('Advanced 0-10'!D110:J110)*'Advanced Entry'!D$9:J$9)=0,"",ROUND(SUMPRODUCT(IFERROR('Advanced 0-10'!D110:J110*1,0)*'Advanced Entry'!D$9:J$9)/SUMPRODUCT(ISNUMBER('Advanced 0-10'!D110:J110)*'Advanced Entry'!D$9:J$9),1))</f>
        <v/>
      </c>
      <c r="E110" s="7">
        <f>IF(SUMPRODUCT(ISNUMBER('Advanced 0-10'!K110:O110)*'Advanced Entry'!K$9:O$9)=0,"",ROUND(SUMPRODUCT(IFERROR('Advanced 0-10'!K110:O110*1,0)*'Advanced Entry'!K$9:O$9)/SUMPRODUCT(ISNUMBER('Advanced 0-10'!K110:O110)*'Advanced Entry'!K$9:O$9),1))</f>
        <v/>
      </c>
      <c r="F110" s="7">
        <f>IF(SUMPRODUCT(ISNUMBER('Advanced 0-10'!P110:Q110)*'Advanced Entry'!P$9:Q$9)=0,"",ROUND(SUMPRODUCT(IFERROR('Advanced 0-10'!P110:Q110*1,0)*'Advanced Entry'!P$9:Q$9)/SUMPRODUCT(ISNUMBER('Advanced 0-10'!P110:Q110)*'Advanced Entry'!P$9:Q$9),1))</f>
        <v/>
      </c>
      <c r="G110" s="7">
        <f>IF(SUMPRODUCT(ISNUMBER('Advanced 0-10'!R110:S110)*'Advanced Entry'!R$9:S$9)=0,"",ROUND(SUMPRODUCT(IFERROR('Advanced 0-10'!R110:S110*1,0)*'Advanced Entry'!R$9:S$9)/SUMPRODUCT(ISNUMBER('Advanced 0-10'!R110:S110)*'Advanced Entry'!R$9:S$9),1))</f>
        <v/>
      </c>
      <c r="H110" s="7">
        <f>IF(SUMPRODUCT(ISNUMBER('Advanced 0-10'!T110:U110)*'Advanced Entry'!T$9:U$9)=0,"",ROUND(SUMPRODUCT(IFERROR('Advanced 0-10'!T110:U110*1,0)*'Advanced Entry'!T$9:U$9)/SUMPRODUCT(ISNUMBER('Advanced 0-10'!T110:U110)*'Advanced Entry'!T$9:U$9),1))</f>
        <v/>
      </c>
      <c r="I110" s="7">
        <f>IF(SUMPRODUCT(ISNUMBER('Advanced 0-10'!V110:Z110)*'Advanced Entry'!V$9:Z$9)=0,"",ROUND(SUMPRODUCT(IFERROR('Advanced 0-10'!V110:Z110*1,0)*'Advanced Entry'!V$9:Z$9)/SUMPRODUCT(ISNUMBER('Advanced 0-10'!V110:Z110)*'Advanced Entry'!V$9:Z$9),1))</f>
        <v/>
      </c>
      <c r="J110" s="7">
        <f>IF(SUMPRODUCT(ISNUMBER('Advanced 0-10'!AA110:AA110)*'Advanced Entry'!AA$9:AA$9)=0,"",ROUND(SUMPRODUCT(IFERROR('Advanced 0-10'!AA110:AA110*1,0)*'Advanced Entry'!AA$9:AA$9)/SUMPRODUCT(ISNUMBER('Advanced 0-10'!AA110:AA110)*'Advanced Entry'!AA$9:AA$9),1))</f>
        <v/>
      </c>
      <c r="K110" s="7">
        <f>IF(SUMPRODUCT(ISNUMBER('Advanced 0-10'!AB110:AB110)*'Advanced Entry'!AB$9:AB$9)=0,"",ROUND(SUMPRODUCT(IFERROR('Advanced 0-10'!AB110:AB110*1,0)*'Advanced Entry'!AB$9:AB$9)/SUMPRODUCT(ISNUMBER('Advanced 0-10'!AB110:AB110)*'Advanced Entry'!AB$9:AB$9),1))</f>
        <v/>
      </c>
      <c r="L110" s="19">
        <f>IF(SUMPRODUCT(--ISNUMBER(D110:K110))=0,"",ROUND(SUMPRODUCT(IFERROR(D110:K110*1,0))/SUMPRODUCT(--ISNUMBER(D110:K110)),1))</f>
        <v/>
      </c>
    </row>
    <row r="111">
      <c r="A111" t="inlineStr">
        <is>
          <t>Morogoro</t>
        </is>
      </c>
      <c r="B111" t="inlineStr">
        <is>
          <t>Ifakara Town</t>
        </is>
      </c>
      <c r="C111" t="inlineStr">
        <is>
          <t>C038</t>
        </is>
      </c>
      <c r="D111" s="7">
        <f>IF(SUMPRODUCT(ISNUMBER('Advanced 0-10'!D111:J111)*'Advanced Entry'!D$9:J$9)=0,"",ROUND(SUMPRODUCT(IFERROR('Advanced 0-10'!D111:J111*1,0)*'Advanced Entry'!D$9:J$9)/SUMPRODUCT(ISNUMBER('Advanced 0-10'!D111:J111)*'Advanced Entry'!D$9:J$9),1))</f>
        <v/>
      </c>
      <c r="E111" s="7">
        <f>IF(SUMPRODUCT(ISNUMBER('Advanced 0-10'!K111:O111)*'Advanced Entry'!K$9:O$9)=0,"",ROUND(SUMPRODUCT(IFERROR('Advanced 0-10'!K111:O111*1,0)*'Advanced Entry'!K$9:O$9)/SUMPRODUCT(ISNUMBER('Advanced 0-10'!K111:O111)*'Advanced Entry'!K$9:O$9),1))</f>
        <v/>
      </c>
      <c r="F111" s="7">
        <f>IF(SUMPRODUCT(ISNUMBER('Advanced 0-10'!P111:Q111)*'Advanced Entry'!P$9:Q$9)=0,"",ROUND(SUMPRODUCT(IFERROR('Advanced 0-10'!P111:Q111*1,0)*'Advanced Entry'!P$9:Q$9)/SUMPRODUCT(ISNUMBER('Advanced 0-10'!P111:Q111)*'Advanced Entry'!P$9:Q$9),1))</f>
        <v/>
      </c>
      <c r="G111" s="7">
        <f>IF(SUMPRODUCT(ISNUMBER('Advanced 0-10'!R111:S111)*'Advanced Entry'!R$9:S$9)=0,"",ROUND(SUMPRODUCT(IFERROR('Advanced 0-10'!R111:S111*1,0)*'Advanced Entry'!R$9:S$9)/SUMPRODUCT(ISNUMBER('Advanced 0-10'!R111:S111)*'Advanced Entry'!R$9:S$9),1))</f>
        <v/>
      </c>
      <c r="H111" s="7">
        <f>IF(SUMPRODUCT(ISNUMBER('Advanced 0-10'!T111:U111)*'Advanced Entry'!T$9:U$9)=0,"",ROUND(SUMPRODUCT(IFERROR('Advanced 0-10'!T111:U111*1,0)*'Advanced Entry'!T$9:U$9)/SUMPRODUCT(ISNUMBER('Advanced 0-10'!T111:U111)*'Advanced Entry'!T$9:U$9),1))</f>
        <v/>
      </c>
      <c r="I111" s="7">
        <f>IF(SUMPRODUCT(ISNUMBER('Advanced 0-10'!V111:Z111)*'Advanced Entry'!V$9:Z$9)=0,"",ROUND(SUMPRODUCT(IFERROR('Advanced 0-10'!V111:Z111*1,0)*'Advanced Entry'!V$9:Z$9)/SUMPRODUCT(ISNUMBER('Advanced 0-10'!V111:Z111)*'Advanced Entry'!V$9:Z$9),1))</f>
        <v/>
      </c>
      <c r="J111" s="7">
        <f>IF(SUMPRODUCT(ISNUMBER('Advanced 0-10'!AA111:AA111)*'Advanced Entry'!AA$9:AA$9)=0,"",ROUND(SUMPRODUCT(IFERROR('Advanced 0-10'!AA111:AA111*1,0)*'Advanced Entry'!AA$9:AA$9)/SUMPRODUCT(ISNUMBER('Advanced 0-10'!AA111:AA111)*'Advanced Entry'!AA$9:AA$9),1))</f>
        <v/>
      </c>
      <c r="K111" s="7">
        <f>IF(SUMPRODUCT(ISNUMBER('Advanced 0-10'!AB111:AB111)*'Advanced Entry'!AB$9:AB$9)=0,"",ROUND(SUMPRODUCT(IFERROR('Advanced 0-10'!AB111:AB111*1,0)*'Advanced Entry'!AB$9:AB$9)/SUMPRODUCT(ISNUMBER('Advanced 0-10'!AB111:AB111)*'Advanced Entry'!AB$9:AB$9),1))</f>
        <v/>
      </c>
      <c r="L111" s="19">
        <f>IF(SUMPRODUCT(--ISNUMBER(D111:K111))=0,"",ROUND(SUMPRODUCT(IFERROR(D111:K111*1,0))/SUMPRODUCT(--ISNUMBER(D111:K111)),1))</f>
        <v/>
      </c>
    </row>
    <row r="112">
      <c r="A112" t="inlineStr">
        <is>
          <t>Morogoro</t>
        </is>
      </c>
      <c r="B112" t="inlineStr">
        <is>
          <t>Kilosa District</t>
        </is>
      </c>
      <c r="C112" t="inlineStr">
        <is>
          <t>C034</t>
        </is>
      </c>
      <c r="D112" s="7">
        <f>IF(SUMPRODUCT(ISNUMBER('Advanced 0-10'!D112:J112)*'Advanced Entry'!D$9:J$9)=0,"",ROUND(SUMPRODUCT(IFERROR('Advanced 0-10'!D112:J112*1,0)*'Advanced Entry'!D$9:J$9)/SUMPRODUCT(ISNUMBER('Advanced 0-10'!D112:J112)*'Advanced Entry'!D$9:J$9),1))</f>
        <v/>
      </c>
      <c r="E112" s="7">
        <f>IF(SUMPRODUCT(ISNUMBER('Advanced 0-10'!K112:O112)*'Advanced Entry'!K$9:O$9)=0,"",ROUND(SUMPRODUCT(IFERROR('Advanced 0-10'!K112:O112*1,0)*'Advanced Entry'!K$9:O$9)/SUMPRODUCT(ISNUMBER('Advanced 0-10'!K112:O112)*'Advanced Entry'!K$9:O$9),1))</f>
        <v/>
      </c>
      <c r="F112" s="7">
        <f>IF(SUMPRODUCT(ISNUMBER('Advanced 0-10'!P112:Q112)*'Advanced Entry'!P$9:Q$9)=0,"",ROUND(SUMPRODUCT(IFERROR('Advanced 0-10'!P112:Q112*1,0)*'Advanced Entry'!P$9:Q$9)/SUMPRODUCT(ISNUMBER('Advanced 0-10'!P112:Q112)*'Advanced Entry'!P$9:Q$9),1))</f>
        <v/>
      </c>
      <c r="G112" s="7">
        <f>IF(SUMPRODUCT(ISNUMBER('Advanced 0-10'!R112:S112)*'Advanced Entry'!R$9:S$9)=0,"",ROUND(SUMPRODUCT(IFERROR('Advanced 0-10'!R112:S112*1,0)*'Advanced Entry'!R$9:S$9)/SUMPRODUCT(ISNUMBER('Advanced 0-10'!R112:S112)*'Advanced Entry'!R$9:S$9),1))</f>
        <v/>
      </c>
      <c r="H112" s="7">
        <f>IF(SUMPRODUCT(ISNUMBER('Advanced 0-10'!T112:U112)*'Advanced Entry'!T$9:U$9)=0,"",ROUND(SUMPRODUCT(IFERROR('Advanced 0-10'!T112:U112*1,0)*'Advanced Entry'!T$9:U$9)/SUMPRODUCT(ISNUMBER('Advanced 0-10'!T112:U112)*'Advanced Entry'!T$9:U$9),1))</f>
        <v/>
      </c>
      <c r="I112" s="7">
        <f>IF(SUMPRODUCT(ISNUMBER('Advanced 0-10'!V112:Z112)*'Advanced Entry'!V$9:Z$9)=0,"",ROUND(SUMPRODUCT(IFERROR('Advanced 0-10'!V112:Z112*1,0)*'Advanced Entry'!V$9:Z$9)/SUMPRODUCT(ISNUMBER('Advanced 0-10'!V112:Z112)*'Advanced Entry'!V$9:Z$9),1))</f>
        <v/>
      </c>
      <c r="J112" s="7">
        <f>IF(SUMPRODUCT(ISNUMBER('Advanced 0-10'!AA112:AA112)*'Advanced Entry'!AA$9:AA$9)=0,"",ROUND(SUMPRODUCT(IFERROR('Advanced 0-10'!AA112:AA112*1,0)*'Advanced Entry'!AA$9:AA$9)/SUMPRODUCT(ISNUMBER('Advanced 0-10'!AA112:AA112)*'Advanced Entry'!AA$9:AA$9),1))</f>
        <v/>
      </c>
      <c r="K112" s="7">
        <f>IF(SUMPRODUCT(ISNUMBER('Advanced 0-10'!AB112:AB112)*'Advanced Entry'!AB$9:AB$9)=0,"",ROUND(SUMPRODUCT(IFERROR('Advanced 0-10'!AB112:AB112*1,0)*'Advanced Entry'!AB$9:AB$9)/SUMPRODUCT(ISNUMBER('Advanced 0-10'!AB112:AB112)*'Advanced Entry'!AB$9:AB$9),1))</f>
        <v/>
      </c>
      <c r="L112" s="19">
        <f>IF(SUMPRODUCT(--ISNUMBER(D112:K112))=0,"",ROUND(SUMPRODUCT(IFERROR(D112:K112*1,0))/SUMPRODUCT(--ISNUMBER(D112:K112)),1))</f>
        <v/>
      </c>
    </row>
    <row r="113">
      <c r="A113" t="inlineStr">
        <is>
          <t>Morogoro</t>
        </is>
      </c>
      <c r="B113" t="inlineStr">
        <is>
          <t>Malinyi District</t>
        </is>
      </c>
      <c r="C113" t="inlineStr">
        <is>
          <t>C040</t>
        </is>
      </c>
      <c r="D113" s="7">
        <f>IF(SUMPRODUCT(ISNUMBER('Advanced 0-10'!D113:J113)*'Advanced Entry'!D$9:J$9)=0,"",ROUND(SUMPRODUCT(IFERROR('Advanced 0-10'!D113:J113*1,0)*'Advanced Entry'!D$9:J$9)/SUMPRODUCT(ISNUMBER('Advanced 0-10'!D113:J113)*'Advanced Entry'!D$9:J$9),1))</f>
        <v/>
      </c>
      <c r="E113" s="7">
        <f>IF(SUMPRODUCT(ISNUMBER('Advanced 0-10'!K113:O113)*'Advanced Entry'!K$9:O$9)=0,"",ROUND(SUMPRODUCT(IFERROR('Advanced 0-10'!K113:O113*1,0)*'Advanced Entry'!K$9:O$9)/SUMPRODUCT(ISNUMBER('Advanced 0-10'!K113:O113)*'Advanced Entry'!K$9:O$9),1))</f>
        <v/>
      </c>
      <c r="F113" s="7">
        <f>IF(SUMPRODUCT(ISNUMBER('Advanced 0-10'!P113:Q113)*'Advanced Entry'!P$9:Q$9)=0,"",ROUND(SUMPRODUCT(IFERROR('Advanced 0-10'!P113:Q113*1,0)*'Advanced Entry'!P$9:Q$9)/SUMPRODUCT(ISNUMBER('Advanced 0-10'!P113:Q113)*'Advanced Entry'!P$9:Q$9),1))</f>
        <v/>
      </c>
      <c r="G113" s="7">
        <f>IF(SUMPRODUCT(ISNUMBER('Advanced 0-10'!R113:S113)*'Advanced Entry'!R$9:S$9)=0,"",ROUND(SUMPRODUCT(IFERROR('Advanced 0-10'!R113:S113*1,0)*'Advanced Entry'!R$9:S$9)/SUMPRODUCT(ISNUMBER('Advanced 0-10'!R113:S113)*'Advanced Entry'!R$9:S$9),1))</f>
        <v/>
      </c>
      <c r="H113" s="7">
        <f>IF(SUMPRODUCT(ISNUMBER('Advanced 0-10'!T113:U113)*'Advanced Entry'!T$9:U$9)=0,"",ROUND(SUMPRODUCT(IFERROR('Advanced 0-10'!T113:U113*1,0)*'Advanced Entry'!T$9:U$9)/SUMPRODUCT(ISNUMBER('Advanced 0-10'!T113:U113)*'Advanced Entry'!T$9:U$9),1))</f>
        <v/>
      </c>
      <c r="I113" s="7">
        <f>IF(SUMPRODUCT(ISNUMBER('Advanced 0-10'!V113:Z113)*'Advanced Entry'!V$9:Z$9)=0,"",ROUND(SUMPRODUCT(IFERROR('Advanced 0-10'!V113:Z113*1,0)*'Advanced Entry'!V$9:Z$9)/SUMPRODUCT(ISNUMBER('Advanced 0-10'!V113:Z113)*'Advanced Entry'!V$9:Z$9),1))</f>
        <v/>
      </c>
      <c r="J113" s="7">
        <f>IF(SUMPRODUCT(ISNUMBER('Advanced 0-10'!AA113:AA113)*'Advanced Entry'!AA$9:AA$9)=0,"",ROUND(SUMPRODUCT(IFERROR('Advanced 0-10'!AA113:AA113*1,0)*'Advanced Entry'!AA$9:AA$9)/SUMPRODUCT(ISNUMBER('Advanced 0-10'!AA113:AA113)*'Advanced Entry'!AA$9:AA$9),1))</f>
        <v/>
      </c>
      <c r="K113" s="7">
        <f>IF(SUMPRODUCT(ISNUMBER('Advanced 0-10'!AB113:AB113)*'Advanced Entry'!AB$9:AB$9)=0,"",ROUND(SUMPRODUCT(IFERROR('Advanced 0-10'!AB113:AB113*1,0)*'Advanced Entry'!AB$9:AB$9)/SUMPRODUCT(ISNUMBER('Advanced 0-10'!AB113:AB113)*'Advanced Entry'!AB$9:AB$9),1))</f>
        <v/>
      </c>
      <c r="L113" s="19">
        <f>IF(SUMPRODUCT(--ISNUMBER(D113:K113))=0,"",ROUND(SUMPRODUCT(IFERROR(D113:K113*1,0))/SUMPRODUCT(--ISNUMBER(D113:K113)),1))</f>
        <v/>
      </c>
    </row>
    <row r="114">
      <c r="A114" t="inlineStr">
        <is>
          <t>Morogoro</t>
        </is>
      </c>
      <c r="B114" t="inlineStr">
        <is>
          <t>Mlimba District</t>
        </is>
      </c>
      <c r="C114" t="inlineStr">
        <is>
          <t>C037</t>
        </is>
      </c>
      <c r="D114" s="7">
        <f>IF(SUMPRODUCT(ISNUMBER('Advanced 0-10'!D114:J114)*'Advanced Entry'!D$9:J$9)=0,"",ROUND(SUMPRODUCT(IFERROR('Advanced 0-10'!D114:J114*1,0)*'Advanced Entry'!D$9:J$9)/SUMPRODUCT(ISNUMBER('Advanced 0-10'!D114:J114)*'Advanced Entry'!D$9:J$9),1))</f>
        <v/>
      </c>
      <c r="E114" s="7">
        <f>IF(SUMPRODUCT(ISNUMBER('Advanced 0-10'!K114:O114)*'Advanced Entry'!K$9:O$9)=0,"",ROUND(SUMPRODUCT(IFERROR('Advanced 0-10'!K114:O114*1,0)*'Advanced Entry'!K$9:O$9)/SUMPRODUCT(ISNUMBER('Advanced 0-10'!K114:O114)*'Advanced Entry'!K$9:O$9),1))</f>
        <v/>
      </c>
      <c r="F114" s="7">
        <f>IF(SUMPRODUCT(ISNUMBER('Advanced 0-10'!P114:Q114)*'Advanced Entry'!P$9:Q$9)=0,"",ROUND(SUMPRODUCT(IFERROR('Advanced 0-10'!P114:Q114*1,0)*'Advanced Entry'!P$9:Q$9)/SUMPRODUCT(ISNUMBER('Advanced 0-10'!P114:Q114)*'Advanced Entry'!P$9:Q$9),1))</f>
        <v/>
      </c>
      <c r="G114" s="7">
        <f>IF(SUMPRODUCT(ISNUMBER('Advanced 0-10'!R114:S114)*'Advanced Entry'!R$9:S$9)=0,"",ROUND(SUMPRODUCT(IFERROR('Advanced 0-10'!R114:S114*1,0)*'Advanced Entry'!R$9:S$9)/SUMPRODUCT(ISNUMBER('Advanced 0-10'!R114:S114)*'Advanced Entry'!R$9:S$9),1))</f>
        <v/>
      </c>
      <c r="H114" s="7">
        <f>IF(SUMPRODUCT(ISNUMBER('Advanced 0-10'!T114:U114)*'Advanced Entry'!T$9:U$9)=0,"",ROUND(SUMPRODUCT(IFERROR('Advanced 0-10'!T114:U114*1,0)*'Advanced Entry'!T$9:U$9)/SUMPRODUCT(ISNUMBER('Advanced 0-10'!T114:U114)*'Advanced Entry'!T$9:U$9),1))</f>
        <v/>
      </c>
      <c r="I114" s="7">
        <f>IF(SUMPRODUCT(ISNUMBER('Advanced 0-10'!V114:Z114)*'Advanced Entry'!V$9:Z$9)=0,"",ROUND(SUMPRODUCT(IFERROR('Advanced 0-10'!V114:Z114*1,0)*'Advanced Entry'!V$9:Z$9)/SUMPRODUCT(ISNUMBER('Advanced 0-10'!V114:Z114)*'Advanced Entry'!V$9:Z$9),1))</f>
        <v/>
      </c>
      <c r="J114" s="7">
        <f>IF(SUMPRODUCT(ISNUMBER('Advanced 0-10'!AA114:AA114)*'Advanced Entry'!AA$9:AA$9)=0,"",ROUND(SUMPRODUCT(IFERROR('Advanced 0-10'!AA114:AA114*1,0)*'Advanced Entry'!AA$9:AA$9)/SUMPRODUCT(ISNUMBER('Advanced 0-10'!AA114:AA114)*'Advanced Entry'!AA$9:AA$9),1))</f>
        <v/>
      </c>
      <c r="K114" s="7">
        <f>IF(SUMPRODUCT(ISNUMBER('Advanced 0-10'!AB114:AB114)*'Advanced Entry'!AB$9:AB$9)=0,"",ROUND(SUMPRODUCT(IFERROR('Advanced 0-10'!AB114:AB114*1,0)*'Advanced Entry'!AB$9:AB$9)/SUMPRODUCT(ISNUMBER('Advanced 0-10'!AB114:AB114)*'Advanced Entry'!AB$9:AB$9),1))</f>
        <v/>
      </c>
      <c r="L114" s="19">
        <f>IF(SUMPRODUCT(--ISNUMBER(D114:K114))=0,"",ROUND(SUMPRODUCT(IFERROR(D114:K114*1,0))/SUMPRODUCT(--ISNUMBER(D114:K114)),1))</f>
        <v/>
      </c>
    </row>
    <row r="115">
      <c r="A115" t="inlineStr">
        <is>
          <t>Morogoro</t>
        </is>
      </c>
      <c r="B115" t="inlineStr">
        <is>
          <t>Morogoro District</t>
        </is>
      </c>
      <c r="C115" t="inlineStr">
        <is>
          <t>C035</t>
        </is>
      </c>
      <c r="D115" s="7">
        <f>IF(SUMPRODUCT(ISNUMBER('Advanced 0-10'!D115:J115)*'Advanced Entry'!D$9:J$9)=0,"",ROUND(SUMPRODUCT(IFERROR('Advanced 0-10'!D115:J115*1,0)*'Advanced Entry'!D$9:J$9)/SUMPRODUCT(ISNUMBER('Advanced 0-10'!D115:J115)*'Advanced Entry'!D$9:J$9),1))</f>
        <v/>
      </c>
      <c r="E115" s="7">
        <f>IF(SUMPRODUCT(ISNUMBER('Advanced 0-10'!K115:O115)*'Advanced Entry'!K$9:O$9)=0,"",ROUND(SUMPRODUCT(IFERROR('Advanced 0-10'!K115:O115*1,0)*'Advanced Entry'!K$9:O$9)/SUMPRODUCT(ISNUMBER('Advanced 0-10'!K115:O115)*'Advanced Entry'!K$9:O$9),1))</f>
        <v/>
      </c>
      <c r="F115" s="7">
        <f>IF(SUMPRODUCT(ISNUMBER('Advanced 0-10'!P115:Q115)*'Advanced Entry'!P$9:Q$9)=0,"",ROUND(SUMPRODUCT(IFERROR('Advanced 0-10'!P115:Q115*1,0)*'Advanced Entry'!P$9:Q$9)/SUMPRODUCT(ISNUMBER('Advanced 0-10'!P115:Q115)*'Advanced Entry'!P$9:Q$9),1))</f>
        <v/>
      </c>
      <c r="G115" s="7">
        <f>IF(SUMPRODUCT(ISNUMBER('Advanced 0-10'!R115:S115)*'Advanced Entry'!R$9:S$9)=0,"",ROUND(SUMPRODUCT(IFERROR('Advanced 0-10'!R115:S115*1,0)*'Advanced Entry'!R$9:S$9)/SUMPRODUCT(ISNUMBER('Advanced 0-10'!R115:S115)*'Advanced Entry'!R$9:S$9),1))</f>
        <v/>
      </c>
      <c r="H115" s="7">
        <f>IF(SUMPRODUCT(ISNUMBER('Advanced 0-10'!T115:U115)*'Advanced Entry'!T$9:U$9)=0,"",ROUND(SUMPRODUCT(IFERROR('Advanced 0-10'!T115:U115*1,0)*'Advanced Entry'!T$9:U$9)/SUMPRODUCT(ISNUMBER('Advanced 0-10'!T115:U115)*'Advanced Entry'!T$9:U$9),1))</f>
        <v/>
      </c>
      <c r="I115" s="7">
        <f>IF(SUMPRODUCT(ISNUMBER('Advanced 0-10'!V115:Z115)*'Advanced Entry'!V$9:Z$9)=0,"",ROUND(SUMPRODUCT(IFERROR('Advanced 0-10'!V115:Z115*1,0)*'Advanced Entry'!V$9:Z$9)/SUMPRODUCT(ISNUMBER('Advanced 0-10'!V115:Z115)*'Advanced Entry'!V$9:Z$9),1))</f>
        <v/>
      </c>
      <c r="J115" s="7">
        <f>IF(SUMPRODUCT(ISNUMBER('Advanced 0-10'!AA115:AA115)*'Advanced Entry'!AA$9:AA$9)=0,"",ROUND(SUMPRODUCT(IFERROR('Advanced 0-10'!AA115:AA115*1,0)*'Advanced Entry'!AA$9:AA$9)/SUMPRODUCT(ISNUMBER('Advanced 0-10'!AA115:AA115)*'Advanced Entry'!AA$9:AA$9),1))</f>
        <v/>
      </c>
      <c r="K115" s="7">
        <f>IF(SUMPRODUCT(ISNUMBER('Advanced 0-10'!AB115:AB115)*'Advanced Entry'!AB$9:AB$9)=0,"",ROUND(SUMPRODUCT(IFERROR('Advanced 0-10'!AB115:AB115*1,0)*'Advanced Entry'!AB$9:AB$9)/SUMPRODUCT(ISNUMBER('Advanced 0-10'!AB115:AB115)*'Advanced Entry'!AB$9:AB$9),1))</f>
        <v/>
      </c>
      <c r="L115" s="19">
        <f>IF(SUMPRODUCT(--ISNUMBER(D115:K115))=0,"",ROUND(SUMPRODUCT(IFERROR(D115:K115*1,0))/SUMPRODUCT(--ISNUMBER(D115:K115)),1))</f>
        <v/>
      </c>
    </row>
    <row r="116">
      <c r="A116" t="inlineStr">
        <is>
          <t>Morogoro</t>
        </is>
      </c>
      <c r="B116" t="inlineStr">
        <is>
          <t>Morogoro Municipal</t>
        </is>
      </c>
      <c r="C116" t="inlineStr">
        <is>
          <t>C036</t>
        </is>
      </c>
      <c r="D116" s="7">
        <f>IF(SUMPRODUCT(ISNUMBER('Advanced 0-10'!D116:J116)*'Advanced Entry'!D$9:J$9)=0,"",ROUND(SUMPRODUCT(IFERROR('Advanced 0-10'!D116:J116*1,0)*'Advanced Entry'!D$9:J$9)/SUMPRODUCT(ISNUMBER('Advanced 0-10'!D116:J116)*'Advanced Entry'!D$9:J$9),1))</f>
        <v/>
      </c>
      <c r="E116" s="7">
        <f>IF(SUMPRODUCT(ISNUMBER('Advanced 0-10'!K116:O116)*'Advanced Entry'!K$9:O$9)=0,"",ROUND(SUMPRODUCT(IFERROR('Advanced 0-10'!K116:O116*1,0)*'Advanced Entry'!K$9:O$9)/SUMPRODUCT(ISNUMBER('Advanced 0-10'!K116:O116)*'Advanced Entry'!K$9:O$9),1))</f>
        <v/>
      </c>
      <c r="F116" s="7">
        <f>IF(SUMPRODUCT(ISNUMBER('Advanced 0-10'!P116:Q116)*'Advanced Entry'!P$9:Q$9)=0,"",ROUND(SUMPRODUCT(IFERROR('Advanced 0-10'!P116:Q116*1,0)*'Advanced Entry'!P$9:Q$9)/SUMPRODUCT(ISNUMBER('Advanced 0-10'!P116:Q116)*'Advanced Entry'!P$9:Q$9),1))</f>
        <v/>
      </c>
      <c r="G116" s="7">
        <f>IF(SUMPRODUCT(ISNUMBER('Advanced 0-10'!R116:S116)*'Advanced Entry'!R$9:S$9)=0,"",ROUND(SUMPRODUCT(IFERROR('Advanced 0-10'!R116:S116*1,0)*'Advanced Entry'!R$9:S$9)/SUMPRODUCT(ISNUMBER('Advanced 0-10'!R116:S116)*'Advanced Entry'!R$9:S$9),1))</f>
        <v/>
      </c>
      <c r="H116" s="7">
        <f>IF(SUMPRODUCT(ISNUMBER('Advanced 0-10'!T116:U116)*'Advanced Entry'!T$9:U$9)=0,"",ROUND(SUMPRODUCT(IFERROR('Advanced 0-10'!T116:U116*1,0)*'Advanced Entry'!T$9:U$9)/SUMPRODUCT(ISNUMBER('Advanced 0-10'!T116:U116)*'Advanced Entry'!T$9:U$9),1))</f>
        <v/>
      </c>
      <c r="I116" s="7">
        <f>IF(SUMPRODUCT(ISNUMBER('Advanced 0-10'!V116:Z116)*'Advanced Entry'!V$9:Z$9)=0,"",ROUND(SUMPRODUCT(IFERROR('Advanced 0-10'!V116:Z116*1,0)*'Advanced Entry'!V$9:Z$9)/SUMPRODUCT(ISNUMBER('Advanced 0-10'!V116:Z116)*'Advanced Entry'!V$9:Z$9),1))</f>
        <v/>
      </c>
      <c r="J116" s="7">
        <f>IF(SUMPRODUCT(ISNUMBER('Advanced 0-10'!AA116:AA116)*'Advanced Entry'!AA$9:AA$9)=0,"",ROUND(SUMPRODUCT(IFERROR('Advanced 0-10'!AA116:AA116*1,0)*'Advanced Entry'!AA$9:AA$9)/SUMPRODUCT(ISNUMBER('Advanced 0-10'!AA116:AA116)*'Advanced Entry'!AA$9:AA$9),1))</f>
        <v/>
      </c>
      <c r="K116" s="7">
        <f>IF(SUMPRODUCT(ISNUMBER('Advanced 0-10'!AB116:AB116)*'Advanced Entry'!AB$9:AB$9)=0,"",ROUND(SUMPRODUCT(IFERROR('Advanced 0-10'!AB116:AB116*1,0)*'Advanced Entry'!AB$9:AB$9)/SUMPRODUCT(ISNUMBER('Advanced 0-10'!AB116:AB116)*'Advanced Entry'!AB$9:AB$9),1))</f>
        <v/>
      </c>
      <c r="L116" s="19">
        <f>IF(SUMPRODUCT(--ISNUMBER(D116:K116))=0,"",ROUND(SUMPRODUCT(IFERROR(D116:K116*1,0))/SUMPRODUCT(--ISNUMBER(D116:K116)),1))</f>
        <v/>
      </c>
    </row>
    <row r="117">
      <c r="A117" t="inlineStr">
        <is>
          <t>Morogoro</t>
        </is>
      </c>
      <c r="B117" t="inlineStr">
        <is>
          <t>Mvomero District</t>
        </is>
      </c>
      <c r="C117" t="inlineStr">
        <is>
          <t>C041</t>
        </is>
      </c>
      <c r="D117" s="7">
        <f>IF(SUMPRODUCT(ISNUMBER('Advanced 0-10'!D117:J117)*'Advanced Entry'!D$9:J$9)=0,"",ROUND(SUMPRODUCT(IFERROR('Advanced 0-10'!D117:J117*1,0)*'Advanced Entry'!D$9:J$9)/SUMPRODUCT(ISNUMBER('Advanced 0-10'!D117:J117)*'Advanced Entry'!D$9:J$9),1))</f>
        <v/>
      </c>
      <c r="E117" s="7">
        <f>IF(SUMPRODUCT(ISNUMBER('Advanced 0-10'!K117:O117)*'Advanced Entry'!K$9:O$9)=0,"",ROUND(SUMPRODUCT(IFERROR('Advanced 0-10'!K117:O117*1,0)*'Advanced Entry'!K$9:O$9)/SUMPRODUCT(ISNUMBER('Advanced 0-10'!K117:O117)*'Advanced Entry'!K$9:O$9),1))</f>
        <v/>
      </c>
      <c r="F117" s="7">
        <f>IF(SUMPRODUCT(ISNUMBER('Advanced 0-10'!P117:Q117)*'Advanced Entry'!P$9:Q$9)=0,"",ROUND(SUMPRODUCT(IFERROR('Advanced 0-10'!P117:Q117*1,0)*'Advanced Entry'!P$9:Q$9)/SUMPRODUCT(ISNUMBER('Advanced 0-10'!P117:Q117)*'Advanced Entry'!P$9:Q$9),1))</f>
        <v/>
      </c>
      <c r="G117" s="7">
        <f>IF(SUMPRODUCT(ISNUMBER('Advanced 0-10'!R117:S117)*'Advanced Entry'!R$9:S$9)=0,"",ROUND(SUMPRODUCT(IFERROR('Advanced 0-10'!R117:S117*1,0)*'Advanced Entry'!R$9:S$9)/SUMPRODUCT(ISNUMBER('Advanced 0-10'!R117:S117)*'Advanced Entry'!R$9:S$9),1))</f>
        <v/>
      </c>
      <c r="H117" s="7">
        <f>IF(SUMPRODUCT(ISNUMBER('Advanced 0-10'!T117:U117)*'Advanced Entry'!T$9:U$9)=0,"",ROUND(SUMPRODUCT(IFERROR('Advanced 0-10'!T117:U117*1,0)*'Advanced Entry'!T$9:U$9)/SUMPRODUCT(ISNUMBER('Advanced 0-10'!T117:U117)*'Advanced Entry'!T$9:U$9),1))</f>
        <v/>
      </c>
      <c r="I117" s="7">
        <f>IF(SUMPRODUCT(ISNUMBER('Advanced 0-10'!V117:Z117)*'Advanced Entry'!V$9:Z$9)=0,"",ROUND(SUMPRODUCT(IFERROR('Advanced 0-10'!V117:Z117*1,0)*'Advanced Entry'!V$9:Z$9)/SUMPRODUCT(ISNUMBER('Advanced 0-10'!V117:Z117)*'Advanced Entry'!V$9:Z$9),1))</f>
        <v/>
      </c>
      <c r="J117" s="7">
        <f>IF(SUMPRODUCT(ISNUMBER('Advanced 0-10'!AA117:AA117)*'Advanced Entry'!AA$9:AA$9)=0,"",ROUND(SUMPRODUCT(IFERROR('Advanced 0-10'!AA117:AA117*1,0)*'Advanced Entry'!AA$9:AA$9)/SUMPRODUCT(ISNUMBER('Advanced 0-10'!AA117:AA117)*'Advanced Entry'!AA$9:AA$9),1))</f>
        <v/>
      </c>
      <c r="K117" s="7">
        <f>IF(SUMPRODUCT(ISNUMBER('Advanced 0-10'!AB117:AB117)*'Advanced Entry'!AB$9:AB$9)=0,"",ROUND(SUMPRODUCT(IFERROR('Advanced 0-10'!AB117:AB117*1,0)*'Advanced Entry'!AB$9:AB$9)/SUMPRODUCT(ISNUMBER('Advanced 0-10'!AB117:AB117)*'Advanced Entry'!AB$9:AB$9),1))</f>
        <v/>
      </c>
      <c r="L117" s="19">
        <f>IF(SUMPRODUCT(--ISNUMBER(D117:K117))=0,"",ROUND(SUMPRODUCT(IFERROR(D117:K117*1,0))/SUMPRODUCT(--ISNUMBER(D117:K117)),1))</f>
        <v/>
      </c>
    </row>
    <row r="118">
      <c r="A118" t="inlineStr">
        <is>
          <t>Morogoro</t>
        </is>
      </c>
      <c r="B118" t="inlineStr">
        <is>
          <t>Ulanga District</t>
        </is>
      </c>
      <c r="C118" t="inlineStr">
        <is>
          <t>C039</t>
        </is>
      </c>
      <c r="D118" s="7">
        <f>IF(SUMPRODUCT(ISNUMBER('Advanced 0-10'!D118:J118)*'Advanced Entry'!D$9:J$9)=0,"",ROUND(SUMPRODUCT(IFERROR('Advanced 0-10'!D118:J118*1,0)*'Advanced Entry'!D$9:J$9)/SUMPRODUCT(ISNUMBER('Advanced 0-10'!D118:J118)*'Advanced Entry'!D$9:J$9),1))</f>
        <v/>
      </c>
      <c r="E118" s="7">
        <f>IF(SUMPRODUCT(ISNUMBER('Advanced 0-10'!K118:O118)*'Advanced Entry'!K$9:O$9)=0,"",ROUND(SUMPRODUCT(IFERROR('Advanced 0-10'!K118:O118*1,0)*'Advanced Entry'!K$9:O$9)/SUMPRODUCT(ISNUMBER('Advanced 0-10'!K118:O118)*'Advanced Entry'!K$9:O$9),1))</f>
        <v/>
      </c>
      <c r="F118" s="7">
        <f>IF(SUMPRODUCT(ISNUMBER('Advanced 0-10'!P118:Q118)*'Advanced Entry'!P$9:Q$9)=0,"",ROUND(SUMPRODUCT(IFERROR('Advanced 0-10'!P118:Q118*1,0)*'Advanced Entry'!P$9:Q$9)/SUMPRODUCT(ISNUMBER('Advanced 0-10'!P118:Q118)*'Advanced Entry'!P$9:Q$9),1))</f>
        <v/>
      </c>
      <c r="G118" s="7">
        <f>IF(SUMPRODUCT(ISNUMBER('Advanced 0-10'!R118:S118)*'Advanced Entry'!R$9:S$9)=0,"",ROUND(SUMPRODUCT(IFERROR('Advanced 0-10'!R118:S118*1,0)*'Advanced Entry'!R$9:S$9)/SUMPRODUCT(ISNUMBER('Advanced 0-10'!R118:S118)*'Advanced Entry'!R$9:S$9),1))</f>
        <v/>
      </c>
      <c r="H118" s="7">
        <f>IF(SUMPRODUCT(ISNUMBER('Advanced 0-10'!T118:U118)*'Advanced Entry'!T$9:U$9)=0,"",ROUND(SUMPRODUCT(IFERROR('Advanced 0-10'!T118:U118*1,0)*'Advanced Entry'!T$9:U$9)/SUMPRODUCT(ISNUMBER('Advanced 0-10'!T118:U118)*'Advanced Entry'!T$9:U$9),1))</f>
        <v/>
      </c>
      <c r="I118" s="7">
        <f>IF(SUMPRODUCT(ISNUMBER('Advanced 0-10'!V118:Z118)*'Advanced Entry'!V$9:Z$9)=0,"",ROUND(SUMPRODUCT(IFERROR('Advanced 0-10'!V118:Z118*1,0)*'Advanced Entry'!V$9:Z$9)/SUMPRODUCT(ISNUMBER('Advanced 0-10'!V118:Z118)*'Advanced Entry'!V$9:Z$9),1))</f>
        <v/>
      </c>
      <c r="J118" s="7">
        <f>IF(SUMPRODUCT(ISNUMBER('Advanced 0-10'!AA118:AA118)*'Advanced Entry'!AA$9:AA$9)=0,"",ROUND(SUMPRODUCT(IFERROR('Advanced 0-10'!AA118:AA118*1,0)*'Advanced Entry'!AA$9:AA$9)/SUMPRODUCT(ISNUMBER('Advanced 0-10'!AA118:AA118)*'Advanced Entry'!AA$9:AA$9),1))</f>
        <v/>
      </c>
      <c r="K118" s="7">
        <f>IF(SUMPRODUCT(ISNUMBER('Advanced 0-10'!AB118:AB118)*'Advanced Entry'!AB$9:AB$9)=0,"",ROUND(SUMPRODUCT(IFERROR('Advanced 0-10'!AB118:AB118*1,0)*'Advanced Entry'!AB$9:AB$9)/SUMPRODUCT(ISNUMBER('Advanced 0-10'!AB118:AB118)*'Advanced Entry'!AB$9:AB$9),1))</f>
        <v/>
      </c>
      <c r="L118" s="19">
        <f>IF(SUMPRODUCT(--ISNUMBER(D118:K118))=0,"",ROUND(SUMPRODUCT(IFERROR(D118:K118*1,0))/SUMPRODUCT(--ISNUMBER(D118:K118)),1))</f>
        <v/>
      </c>
    </row>
    <row r="119">
      <c r="A119" t="inlineStr">
        <is>
          <t>Mtwara</t>
        </is>
      </c>
      <c r="B119" t="inlineStr">
        <is>
          <t>Masasi District</t>
        </is>
      </c>
      <c r="C119" t="inlineStr">
        <is>
          <t>C068</t>
        </is>
      </c>
      <c r="D119" s="7">
        <f>IF(SUMPRODUCT(ISNUMBER('Advanced 0-10'!D119:J119)*'Advanced Entry'!D$9:J$9)=0,"",ROUND(SUMPRODUCT(IFERROR('Advanced 0-10'!D119:J119*1,0)*'Advanced Entry'!D$9:J$9)/SUMPRODUCT(ISNUMBER('Advanced 0-10'!D119:J119)*'Advanced Entry'!D$9:J$9),1))</f>
        <v/>
      </c>
      <c r="E119" s="7">
        <f>IF(SUMPRODUCT(ISNUMBER('Advanced 0-10'!K119:O119)*'Advanced Entry'!K$9:O$9)=0,"",ROUND(SUMPRODUCT(IFERROR('Advanced 0-10'!K119:O119*1,0)*'Advanced Entry'!K$9:O$9)/SUMPRODUCT(ISNUMBER('Advanced 0-10'!K119:O119)*'Advanced Entry'!K$9:O$9),1))</f>
        <v/>
      </c>
      <c r="F119" s="7">
        <f>IF(SUMPRODUCT(ISNUMBER('Advanced 0-10'!P119:Q119)*'Advanced Entry'!P$9:Q$9)=0,"",ROUND(SUMPRODUCT(IFERROR('Advanced 0-10'!P119:Q119*1,0)*'Advanced Entry'!P$9:Q$9)/SUMPRODUCT(ISNUMBER('Advanced 0-10'!P119:Q119)*'Advanced Entry'!P$9:Q$9),1))</f>
        <v/>
      </c>
      <c r="G119" s="7">
        <f>IF(SUMPRODUCT(ISNUMBER('Advanced 0-10'!R119:S119)*'Advanced Entry'!R$9:S$9)=0,"",ROUND(SUMPRODUCT(IFERROR('Advanced 0-10'!R119:S119*1,0)*'Advanced Entry'!R$9:S$9)/SUMPRODUCT(ISNUMBER('Advanced 0-10'!R119:S119)*'Advanced Entry'!R$9:S$9),1))</f>
        <v/>
      </c>
      <c r="H119" s="7">
        <f>IF(SUMPRODUCT(ISNUMBER('Advanced 0-10'!T119:U119)*'Advanced Entry'!T$9:U$9)=0,"",ROUND(SUMPRODUCT(IFERROR('Advanced 0-10'!T119:U119*1,0)*'Advanced Entry'!T$9:U$9)/SUMPRODUCT(ISNUMBER('Advanced 0-10'!T119:U119)*'Advanced Entry'!T$9:U$9),1))</f>
        <v/>
      </c>
      <c r="I119" s="7">
        <f>IF(SUMPRODUCT(ISNUMBER('Advanced 0-10'!V119:Z119)*'Advanced Entry'!V$9:Z$9)=0,"",ROUND(SUMPRODUCT(IFERROR('Advanced 0-10'!V119:Z119*1,0)*'Advanced Entry'!V$9:Z$9)/SUMPRODUCT(ISNUMBER('Advanced 0-10'!V119:Z119)*'Advanced Entry'!V$9:Z$9),1))</f>
        <v/>
      </c>
      <c r="J119" s="7">
        <f>IF(SUMPRODUCT(ISNUMBER('Advanced 0-10'!AA119:AA119)*'Advanced Entry'!AA$9:AA$9)=0,"",ROUND(SUMPRODUCT(IFERROR('Advanced 0-10'!AA119:AA119*1,0)*'Advanced Entry'!AA$9:AA$9)/SUMPRODUCT(ISNUMBER('Advanced 0-10'!AA119:AA119)*'Advanced Entry'!AA$9:AA$9),1))</f>
        <v/>
      </c>
      <c r="K119" s="7">
        <f>IF(SUMPRODUCT(ISNUMBER('Advanced 0-10'!AB119:AB119)*'Advanced Entry'!AB$9:AB$9)=0,"",ROUND(SUMPRODUCT(IFERROR('Advanced 0-10'!AB119:AB119*1,0)*'Advanced Entry'!AB$9:AB$9)/SUMPRODUCT(ISNUMBER('Advanced 0-10'!AB119:AB119)*'Advanced Entry'!AB$9:AB$9),1))</f>
        <v/>
      </c>
      <c r="L119" s="19">
        <f>IF(SUMPRODUCT(--ISNUMBER(D119:K119))=0,"",ROUND(SUMPRODUCT(IFERROR(D119:K119*1,0))/SUMPRODUCT(--ISNUMBER(D119:K119)),1))</f>
        <v/>
      </c>
    </row>
    <row r="120">
      <c r="A120" t="inlineStr">
        <is>
          <t>Mtwara</t>
        </is>
      </c>
      <c r="B120" t="inlineStr">
        <is>
          <t>Masasi Town</t>
        </is>
      </c>
      <c r="C120" t="inlineStr">
        <is>
          <t>C069</t>
        </is>
      </c>
      <c r="D120" s="7">
        <f>IF(SUMPRODUCT(ISNUMBER('Advanced 0-10'!D120:J120)*'Advanced Entry'!D$9:J$9)=0,"",ROUND(SUMPRODUCT(IFERROR('Advanced 0-10'!D120:J120*1,0)*'Advanced Entry'!D$9:J$9)/SUMPRODUCT(ISNUMBER('Advanced 0-10'!D120:J120)*'Advanced Entry'!D$9:J$9),1))</f>
        <v/>
      </c>
      <c r="E120" s="7">
        <f>IF(SUMPRODUCT(ISNUMBER('Advanced 0-10'!K120:O120)*'Advanced Entry'!K$9:O$9)=0,"",ROUND(SUMPRODUCT(IFERROR('Advanced 0-10'!K120:O120*1,0)*'Advanced Entry'!K$9:O$9)/SUMPRODUCT(ISNUMBER('Advanced 0-10'!K120:O120)*'Advanced Entry'!K$9:O$9),1))</f>
        <v/>
      </c>
      <c r="F120" s="7">
        <f>IF(SUMPRODUCT(ISNUMBER('Advanced 0-10'!P120:Q120)*'Advanced Entry'!P$9:Q$9)=0,"",ROUND(SUMPRODUCT(IFERROR('Advanced 0-10'!P120:Q120*1,0)*'Advanced Entry'!P$9:Q$9)/SUMPRODUCT(ISNUMBER('Advanced 0-10'!P120:Q120)*'Advanced Entry'!P$9:Q$9),1))</f>
        <v/>
      </c>
      <c r="G120" s="7">
        <f>IF(SUMPRODUCT(ISNUMBER('Advanced 0-10'!R120:S120)*'Advanced Entry'!R$9:S$9)=0,"",ROUND(SUMPRODUCT(IFERROR('Advanced 0-10'!R120:S120*1,0)*'Advanced Entry'!R$9:S$9)/SUMPRODUCT(ISNUMBER('Advanced 0-10'!R120:S120)*'Advanced Entry'!R$9:S$9),1))</f>
        <v/>
      </c>
      <c r="H120" s="7">
        <f>IF(SUMPRODUCT(ISNUMBER('Advanced 0-10'!T120:U120)*'Advanced Entry'!T$9:U$9)=0,"",ROUND(SUMPRODUCT(IFERROR('Advanced 0-10'!T120:U120*1,0)*'Advanced Entry'!T$9:U$9)/SUMPRODUCT(ISNUMBER('Advanced 0-10'!T120:U120)*'Advanced Entry'!T$9:U$9),1))</f>
        <v/>
      </c>
      <c r="I120" s="7">
        <f>IF(SUMPRODUCT(ISNUMBER('Advanced 0-10'!V120:Z120)*'Advanced Entry'!V$9:Z$9)=0,"",ROUND(SUMPRODUCT(IFERROR('Advanced 0-10'!V120:Z120*1,0)*'Advanced Entry'!V$9:Z$9)/SUMPRODUCT(ISNUMBER('Advanced 0-10'!V120:Z120)*'Advanced Entry'!V$9:Z$9),1))</f>
        <v/>
      </c>
      <c r="J120" s="7">
        <f>IF(SUMPRODUCT(ISNUMBER('Advanced 0-10'!AA120:AA120)*'Advanced Entry'!AA$9:AA$9)=0,"",ROUND(SUMPRODUCT(IFERROR('Advanced 0-10'!AA120:AA120*1,0)*'Advanced Entry'!AA$9:AA$9)/SUMPRODUCT(ISNUMBER('Advanced 0-10'!AA120:AA120)*'Advanced Entry'!AA$9:AA$9),1))</f>
        <v/>
      </c>
      <c r="K120" s="7">
        <f>IF(SUMPRODUCT(ISNUMBER('Advanced 0-10'!AB120:AB120)*'Advanced Entry'!AB$9:AB$9)=0,"",ROUND(SUMPRODUCT(IFERROR('Advanced 0-10'!AB120:AB120*1,0)*'Advanced Entry'!AB$9:AB$9)/SUMPRODUCT(ISNUMBER('Advanced 0-10'!AB120:AB120)*'Advanced Entry'!AB$9:AB$9),1))</f>
        <v/>
      </c>
      <c r="L120" s="19">
        <f>IF(SUMPRODUCT(--ISNUMBER(D120:K120))=0,"",ROUND(SUMPRODUCT(IFERROR(D120:K120*1,0))/SUMPRODUCT(--ISNUMBER(D120:K120)),1))</f>
        <v/>
      </c>
    </row>
    <row r="121">
      <c r="A121" t="inlineStr">
        <is>
          <t>Mtwara</t>
        </is>
      </c>
      <c r="B121" t="inlineStr">
        <is>
          <t>Mtwara District</t>
        </is>
      </c>
      <c r="C121" t="inlineStr">
        <is>
          <t>C063</t>
        </is>
      </c>
      <c r="D121" s="7">
        <f>IF(SUMPRODUCT(ISNUMBER('Advanced 0-10'!D121:J121)*'Advanced Entry'!D$9:J$9)=0,"",ROUND(SUMPRODUCT(IFERROR('Advanced 0-10'!D121:J121*1,0)*'Advanced Entry'!D$9:J$9)/SUMPRODUCT(ISNUMBER('Advanced 0-10'!D121:J121)*'Advanced Entry'!D$9:J$9),1))</f>
        <v/>
      </c>
      <c r="E121" s="7">
        <f>IF(SUMPRODUCT(ISNUMBER('Advanced 0-10'!K121:O121)*'Advanced Entry'!K$9:O$9)=0,"",ROUND(SUMPRODUCT(IFERROR('Advanced 0-10'!K121:O121*1,0)*'Advanced Entry'!K$9:O$9)/SUMPRODUCT(ISNUMBER('Advanced 0-10'!K121:O121)*'Advanced Entry'!K$9:O$9),1))</f>
        <v/>
      </c>
      <c r="F121" s="7">
        <f>IF(SUMPRODUCT(ISNUMBER('Advanced 0-10'!P121:Q121)*'Advanced Entry'!P$9:Q$9)=0,"",ROUND(SUMPRODUCT(IFERROR('Advanced 0-10'!P121:Q121*1,0)*'Advanced Entry'!P$9:Q$9)/SUMPRODUCT(ISNUMBER('Advanced 0-10'!P121:Q121)*'Advanced Entry'!P$9:Q$9),1))</f>
        <v/>
      </c>
      <c r="G121" s="7">
        <f>IF(SUMPRODUCT(ISNUMBER('Advanced 0-10'!R121:S121)*'Advanced Entry'!R$9:S$9)=0,"",ROUND(SUMPRODUCT(IFERROR('Advanced 0-10'!R121:S121*1,0)*'Advanced Entry'!R$9:S$9)/SUMPRODUCT(ISNUMBER('Advanced 0-10'!R121:S121)*'Advanced Entry'!R$9:S$9),1))</f>
        <v/>
      </c>
      <c r="H121" s="7">
        <f>IF(SUMPRODUCT(ISNUMBER('Advanced 0-10'!T121:U121)*'Advanced Entry'!T$9:U$9)=0,"",ROUND(SUMPRODUCT(IFERROR('Advanced 0-10'!T121:U121*1,0)*'Advanced Entry'!T$9:U$9)/SUMPRODUCT(ISNUMBER('Advanced 0-10'!T121:U121)*'Advanced Entry'!T$9:U$9),1))</f>
        <v/>
      </c>
      <c r="I121" s="7">
        <f>IF(SUMPRODUCT(ISNUMBER('Advanced 0-10'!V121:Z121)*'Advanced Entry'!V$9:Z$9)=0,"",ROUND(SUMPRODUCT(IFERROR('Advanced 0-10'!V121:Z121*1,0)*'Advanced Entry'!V$9:Z$9)/SUMPRODUCT(ISNUMBER('Advanced 0-10'!V121:Z121)*'Advanced Entry'!V$9:Z$9),1))</f>
        <v/>
      </c>
      <c r="J121" s="7">
        <f>IF(SUMPRODUCT(ISNUMBER('Advanced 0-10'!AA121:AA121)*'Advanced Entry'!AA$9:AA$9)=0,"",ROUND(SUMPRODUCT(IFERROR('Advanced 0-10'!AA121:AA121*1,0)*'Advanced Entry'!AA$9:AA$9)/SUMPRODUCT(ISNUMBER('Advanced 0-10'!AA121:AA121)*'Advanced Entry'!AA$9:AA$9),1))</f>
        <v/>
      </c>
      <c r="K121" s="7">
        <f>IF(SUMPRODUCT(ISNUMBER('Advanced 0-10'!AB121:AB121)*'Advanced Entry'!AB$9:AB$9)=0,"",ROUND(SUMPRODUCT(IFERROR('Advanced 0-10'!AB121:AB121*1,0)*'Advanced Entry'!AB$9:AB$9)/SUMPRODUCT(ISNUMBER('Advanced 0-10'!AB121:AB121)*'Advanced Entry'!AB$9:AB$9),1))</f>
        <v/>
      </c>
      <c r="L121" s="19">
        <f>IF(SUMPRODUCT(--ISNUMBER(D121:K121))=0,"",ROUND(SUMPRODUCT(IFERROR(D121:K121*1,0))/SUMPRODUCT(--ISNUMBER(D121:K121)),1))</f>
        <v/>
      </c>
    </row>
    <row r="122">
      <c r="A122" t="inlineStr">
        <is>
          <t>Mtwara</t>
        </is>
      </c>
      <c r="B122" t="inlineStr">
        <is>
          <t>Mtwara Mikindani Municipal</t>
        </is>
      </c>
      <c r="C122" t="inlineStr">
        <is>
          <t>C065</t>
        </is>
      </c>
      <c r="D122" s="7">
        <f>IF(SUMPRODUCT(ISNUMBER('Advanced 0-10'!D122:J122)*'Advanced Entry'!D$9:J$9)=0,"",ROUND(SUMPRODUCT(IFERROR('Advanced 0-10'!D122:J122*1,0)*'Advanced Entry'!D$9:J$9)/SUMPRODUCT(ISNUMBER('Advanced 0-10'!D122:J122)*'Advanced Entry'!D$9:J$9),1))</f>
        <v/>
      </c>
      <c r="E122" s="7">
        <f>IF(SUMPRODUCT(ISNUMBER('Advanced 0-10'!K122:O122)*'Advanced Entry'!K$9:O$9)=0,"",ROUND(SUMPRODUCT(IFERROR('Advanced 0-10'!K122:O122*1,0)*'Advanced Entry'!K$9:O$9)/SUMPRODUCT(ISNUMBER('Advanced 0-10'!K122:O122)*'Advanced Entry'!K$9:O$9),1))</f>
        <v/>
      </c>
      <c r="F122" s="7">
        <f>IF(SUMPRODUCT(ISNUMBER('Advanced 0-10'!P122:Q122)*'Advanced Entry'!P$9:Q$9)=0,"",ROUND(SUMPRODUCT(IFERROR('Advanced 0-10'!P122:Q122*1,0)*'Advanced Entry'!P$9:Q$9)/SUMPRODUCT(ISNUMBER('Advanced 0-10'!P122:Q122)*'Advanced Entry'!P$9:Q$9),1))</f>
        <v/>
      </c>
      <c r="G122" s="7">
        <f>IF(SUMPRODUCT(ISNUMBER('Advanced 0-10'!R122:S122)*'Advanced Entry'!R$9:S$9)=0,"",ROUND(SUMPRODUCT(IFERROR('Advanced 0-10'!R122:S122*1,0)*'Advanced Entry'!R$9:S$9)/SUMPRODUCT(ISNUMBER('Advanced 0-10'!R122:S122)*'Advanced Entry'!R$9:S$9),1))</f>
        <v/>
      </c>
      <c r="H122" s="7">
        <f>IF(SUMPRODUCT(ISNUMBER('Advanced 0-10'!T122:U122)*'Advanced Entry'!T$9:U$9)=0,"",ROUND(SUMPRODUCT(IFERROR('Advanced 0-10'!T122:U122*1,0)*'Advanced Entry'!T$9:U$9)/SUMPRODUCT(ISNUMBER('Advanced 0-10'!T122:U122)*'Advanced Entry'!T$9:U$9),1))</f>
        <v/>
      </c>
      <c r="I122" s="7">
        <f>IF(SUMPRODUCT(ISNUMBER('Advanced 0-10'!V122:Z122)*'Advanced Entry'!V$9:Z$9)=0,"",ROUND(SUMPRODUCT(IFERROR('Advanced 0-10'!V122:Z122*1,0)*'Advanced Entry'!V$9:Z$9)/SUMPRODUCT(ISNUMBER('Advanced 0-10'!V122:Z122)*'Advanced Entry'!V$9:Z$9),1))</f>
        <v/>
      </c>
      <c r="J122" s="7">
        <f>IF(SUMPRODUCT(ISNUMBER('Advanced 0-10'!AA122:AA122)*'Advanced Entry'!AA$9:AA$9)=0,"",ROUND(SUMPRODUCT(IFERROR('Advanced 0-10'!AA122:AA122*1,0)*'Advanced Entry'!AA$9:AA$9)/SUMPRODUCT(ISNUMBER('Advanced 0-10'!AA122:AA122)*'Advanced Entry'!AA$9:AA$9),1))</f>
        <v/>
      </c>
      <c r="K122" s="7">
        <f>IF(SUMPRODUCT(ISNUMBER('Advanced 0-10'!AB122:AB122)*'Advanced Entry'!AB$9:AB$9)=0,"",ROUND(SUMPRODUCT(IFERROR('Advanced 0-10'!AB122:AB122*1,0)*'Advanced Entry'!AB$9:AB$9)/SUMPRODUCT(ISNUMBER('Advanced 0-10'!AB122:AB122)*'Advanced Entry'!AB$9:AB$9),1))</f>
        <v/>
      </c>
      <c r="L122" s="19">
        <f>IF(SUMPRODUCT(--ISNUMBER(D122:K122))=0,"",ROUND(SUMPRODUCT(IFERROR(D122:K122*1,0))/SUMPRODUCT(--ISNUMBER(D122:K122)),1))</f>
        <v/>
      </c>
    </row>
    <row r="123">
      <c r="A123" t="inlineStr">
        <is>
          <t>Mtwara</t>
        </is>
      </c>
      <c r="B123" t="inlineStr">
        <is>
          <t>Nanyamba Town</t>
        </is>
      </c>
      <c r="C123" t="inlineStr">
        <is>
          <t>C064</t>
        </is>
      </c>
      <c r="D123" s="7">
        <f>IF(SUMPRODUCT(ISNUMBER('Advanced 0-10'!D123:J123)*'Advanced Entry'!D$9:J$9)=0,"",ROUND(SUMPRODUCT(IFERROR('Advanced 0-10'!D123:J123*1,0)*'Advanced Entry'!D$9:J$9)/SUMPRODUCT(ISNUMBER('Advanced 0-10'!D123:J123)*'Advanced Entry'!D$9:J$9),1))</f>
        <v/>
      </c>
      <c r="E123" s="7">
        <f>IF(SUMPRODUCT(ISNUMBER('Advanced 0-10'!K123:O123)*'Advanced Entry'!K$9:O$9)=0,"",ROUND(SUMPRODUCT(IFERROR('Advanced 0-10'!K123:O123*1,0)*'Advanced Entry'!K$9:O$9)/SUMPRODUCT(ISNUMBER('Advanced 0-10'!K123:O123)*'Advanced Entry'!K$9:O$9),1))</f>
        <v/>
      </c>
      <c r="F123" s="7">
        <f>IF(SUMPRODUCT(ISNUMBER('Advanced 0-10'!P123:Q123)*'Advanced Entry'!P$9:Q$9)=0,"",ROUND(SUMPRODUCT(IFERROR('Advanced 0-10'!P123:Q123*1,0)*'Advanced Entry'!P$9:Q$9)/SUMPRODUCT(ISNUMBER('Advanced 0-10'!P123:Q123)*'Advanced Entry'!P$9:Q$9),1))</f>
        <v/>
      </c>
      <c r="G123" s="7">
        <f>IF(SUMPRODUCT(ISNUMBER('Advanced 0-10'!R123:S123)*'Advanced Entry'!R$9:S$9)=0,"",ROUND(SUMPRODUCT(IFERROR('Advanced 0-10'!R123:S123*1,0)*'Advanced Entry'!R$9:S$9)/SUMPRODUCT(ISNUMBER('Advanced 0-10'!R123:S123)*'Advanced Entry'!R$9:S$9),1))</f>
        <v/>
      </c>
      <c r="H123" s="7">
        <f>IF(SUMPRODUCT(ISNUMBER('Advanced 0-10'!T123:U123)*'Advanced Entry'!T$9:U$9)=0,"",ROUND(SUMPRODUCT(IFERROR('Advanced 0-10'!T123:U123*1,0)*'Advanced Entry'!T$9:U$9)/SUMPRODUCT(ISNUMBER('Advanced 0-10'!T123:U123)*'Advanced Entry'!T$9:U$9),1))</f>
        <v/>
      </c>
      <c r="I123" s="7">
        <f>IF(SUMPRODUCT(ISNUMBER('Advanced 0-10'!V123:Z123)*'Advanced Entry'!V$9:Z$9)=0,"",ROUND(SUMPRODUCT(IFERROR('Advanced 0-10'!V123:Z123*1,0)*'Advanced Entry'!V$9:Z$9)/SUMPRODUCT(ISNUMBER('Advanced 0-10'!V123:Z123)*'Advanced Entry'!V$9:Z$9),1))</f>
        <v/>
      </c>
      <c r="J123" s="7">
        <f>IF(SUMPRODUCT(ISNUMBER('Advanced 0-10'!AA123:AA123)*'Advanced Entry'!AA$9:AA$9)=0,"",ROUND(SUMPRODUCT(IFERROR('Advanced 0-10'!AA123:AA123*1,0)*'Advanced Entry'!AA$9:AA$9)/SUMPRODUCT(ISNUMBER('Advanced 0-10'!AA123:AA123)*'Advanced Entry'!AA$9:AA$9),1))</f>
        <v/>
      </c>
      <c r="K123" s="7">
        <f>IF(SUMPRODUCT(ISNUMBER('Advanced 0-10'!AB123:AB123)*'Advanced Entry'!AB$9:AB$9)=0,"",ROUND(SUMPRODUCT(IFERROR('Advanced 0-10'!AB123:AB123*1,0)*'Advanced Entry'!AB$9:AB$9)/SUMPRODUCT(ISNUMBER('Advanced 0-10'!AB123:AB123)*'Advanced Entry'!AB$9:AB$9),1))</f>
        <v/>
      </c>
      <c r="L123" s="19">
        <f>IF(SUMPRODUCT(--ISNUMBER(D123:K123))=0,"",ROUND(SUMPRODUCT(IFERROR(D123:K123*1,0))/SUMPRODUCT(--ISNUMBER(D123:K123)),1))</f>
        <v/>
      </c>
    </row>
    <row r="124">
      <c r="A124" t="inlineStr">
        <is>
          <t>Mtwara</t>
        </is>
      </c>
      <c r="B124" t="inlineStr">
        <is>
          <t>Nanyumbu District</t>
        </is>
      </c>
      <c r="C124" t="inlineStr">
        <is>
          <t>C071</t>
        </is>
      </c>
      <c r="D124" s="7">
        <f>IF(SUMPRODUCT(ISNUMBER('Advanced 0-10'!D124:J124)*'Advanced Entry'!D$9:J$9)=0,"",ROUND(SUMPRODUCT(IFERROR('Advanced 0-10'!D124:J124*1,0)*'Advanced Entry'!D$9:J$9)/SUMPRODUCT(ISNUMBER('Advanced 0-10'!D124:J124)*'Advanced Entry'!D$9:J$9),1))</f>
        <v/>
      </c>
      <c r="E124" s="7">
        <f>IF(SUMPRODUCT(ISNUMBER('Advanced 0-10'!K124:O124)*'Advanced Entry'!K$9:O$9)=0,"",ROUND(SUMPRODUCT(IFERROR('Advanced 0-10'!K124:O124*1,0)*'Advanced Entry'!K$9:O$9)/SUMPRODUCT(ISNUMBER('Advanced 0-10'!K124:O124)*'Advanced Entry'!K$9:O$9),1))</f>
        <v/>
      </c>
      <c r="F124" s="7">
        <f>IF(SUMPRODUCT(ISNUMBER('Advanced 0-10'!P124:Q124)*'Advanced Entry'!P$9:Q$9)=0,"",ROUND(SUMPRODUCT(IFERROR('Advanced 0-10'!P124:Q124*1,0)*'Advanced Entry'!P$9:Q$9)/SUMPRODUCT(ISNUMBER('Advanced 0-10'!P124:Q124)*'Advanced Entry'!P$9:Q$9),1))</f>
        <v/>
      </c>
      <c r="G124" s="7">
        <f>IF(SUMPRODUCT(ISNUMBER('Advanced 0-10'!R124:S124)*'Advanced Entry'!R$9:S$9)=0,"",ROUND(SUMPRODUCT(IFERROR('Advanced 0-10'!R124:S124*1,0)*'Advanced Entry'!R$9:S$9)/SUMPRODUCT(ISNUMBER('Advanced 0-10'!R124:S124)*'Advanced Entry'!R$9:S$9),1))</f>
        <v/>
      </c>
      <c r="H124" s="7">
        <f>IF(SUMPRODUCT(ISNUMBER('Advanced 0-10'!T124:U124)*'Advanced Entry'!T$9:U$9)=0,"",ROUND(SUMPRODUCT(IFERROR('Advanced 0-10'!T124:U124*1,0)*'Advanced Entry'!T$9:U$9)/SUMPRODUCT(ISNUMBER('Advanced 0-10'!T124:U124)*'Advanced Entry'!T$9:U$9),1))</f>
        <v/>
      </c>
      <c r="I124" s="7">
        <f>IF(SUMPRODUCT(ISNUMBER('Advanced 0-10'!V124:Z124)*'Advanced Entry'!V$9:Z$9)=0,"",ROUND(SUMPRODUCT(IFERROR('Advanced 0-10'!V124:Z124*1,0)*'Advanced Entry'!V$9:Z$9)/SUMPRODUCT(ISNUMBER('Advanced 0-10'!V124:Z124)*'Advanced Entry'!V$9:Z$9),1))</f>
        <v/>
      </c>
      <c r="J124" s="7">
        <f>IF(SUMPRODUCT(ISNUMBER('Advanced 0-10'!AA124:AA124)*'Advanced Entry'!AA$9:AA$9)=0,"",ROUND(SUMPRODUCT(IFERROR('Advanced 0-10'!AA124:AA124*1,0)*'Advanced Entry'!AA$9:AA$9)/SUMPRODUCT(ISNUMBER('Advanced 0-10'!AA124:AA124)*'Advanced Entry'!AA$9:AA$9),1))</f>
        <v/>
      </c>
      <c r="K124" s="7">
        <f>IF(SUMPRODUCT(ISNUMBER('Advanced 0-10'!AB124:AB124)*'Advanced Entry'!AB$9:AB$9)=0,"",ROUND(SUMPRODUCT(IFERROR('Advanced 0-10'!AB124:AB124*1,0)*'Advanced Entry'!AB$9:AB$9)/SUMPRODUCT(ISNUMBER('Advanced 0-10'!AB124:AB124)*'Advanced Entry'!AB$9:AB$9),1))</f>
        <v/>
      </c>
      <c r="L124" s="19">
        <f>IF(SUMPRODUCT(--ISNUMBER(D124:K124))=0,"",ROUND(SUMPRODUCT(IFERROR(D124:K124*1,0))/SUMPRODUCT(--ISNUMBER(D124:K124)),1))</f>
        <v/>
      </c>
    </row>
    <row r="125">
      <c r="A125" t="inlineStr">
        <is>
          <t>Mtwara</t>
        </is>
      </c>
      <c r="B125" t="inlineStr">
        <is>
          <t>Newala District</t>
        </is>
      </c>
      <c r="C125" t="inlineStr">
        <is>
          <t>C066</t>
        </is>
      </c>
      <c r="D125" s="7">
        <f>IF(SUMPRODUCT(ISNUMBER('Advanced 0-10'!D125:J125)*'Advanced Entry'!D$9:J$9)=0,"",ROUND(SUMPRODUCT(IFERROR('Advanced 0-10'!D125:J125*1,0)*'Advanced Entry'!D$9:J$9)/SUMPRODUCT(ISNUMBER('Advanced 0-10'!D125:J125)*'Advanced Entry'!D$9:J$9),1))</f>
        <v/>
      </c>
      <c r="E125" s="7">
        <f>IF(SUMPRODUCT(ISNUMBER('Advanced 0-10'!K125:O125)*'Advanced Entry'!K$9:O$9)=0,"",ROUND(SUMPRODUCT(IFERROR('Advanced 0-10'!K125:O125*1,0)*'Advanced Entry'!K$9:O$9)/SUMPRODUCT(ISNUMBER('Advanced 0-10'!K125:O125)*'Advanced Entry'!K$9:O$9),1))</f>
        <v/>
      </c>
      <c r="F125" s="7">
        <f>IF(SUMPRODUCT(ISNUMBER('Advanced 0-10'!P125:Q125)*'Advanced Entry'!P$9:Q$9)=0,"",ROUND(SUMPRODUCT(IFERROR('Advanced 0-10'!P125:Q125*1,0)*'Advanced Entry'!P$9:Q$9)/SUMPRODUCT(ISNUMBER('Advanced 0-10'!P125:Q125)*'Advanced Entry'!P$9:Q$9),1))</f>
        <v/>
      </c>
      <c r="G125" s="7">
        <f>IF(SUMPRODUCT(ISNUMBER('Advanced 0-10'!R125:S125)*'Advanced Entry'!R$9:S$9)=0,"",ROUND(SUMPRODUCT(IFERROR('Advanced 0-10'!R125:S125*1,0)*'Advanced Entry'!R$9:S$9)/SUMPRODUCT(ISNUMBER('Advanced 0-10'!R125:S125)*'Advanced Entry'!R$9:S$9),1))</f>
        <v/>
      </c>
      <c r="H125" s="7">
        <f>IF(SUMPRODUCT(ISNUMBER('Advanced 0-10'!T125:U125)*'Advanced Entry'!T$9:U$9)=0,"",ROUND(SUMPRODUCT(IFERROR('Advanced 0-10'!T125:U125*1,0)*'Advanced Entry'!T$9:U$9)/SUMPRODUCT(ISNUMBER('Advanced 0-10'!T125:U125)*'Advanced Entry'!T$9:U$9),1))</f>
        <v/>
      </c>
      <c r="I125" s="7">
        <f>IF(SUMPRODUCT(ISNUMBER('Advanced 0-10'!V125:Z125)*'Advanced Entry'!V$9:Z$9)=0,"",ROUND(SUMPRODUCT(IFERROR('Advanced 0-10'!V125:Z125*1,0)*'Advanced Entry'!V$9:Z$9)/SUMPRODUCT(ISNUMBER('Advanced 0-10'!V125:Z125)*'Advanced Entry'!V$9:Z$9),1))</f>
        <v/>
      </c>
      <c r="J125" s="7">
        <f>IF(SUMPRODUCT(ISNUMBER('Advanced 0-10'!AA125:AA125)*'Advanced Entry'!AA$9:AA$9)=0,"",ROUND(SUMPRODUCT(IFERROR('Advanced 0-10'!AA125:AA125*1,0)*'Advanced Entry'!AA$9:AA$9)/SUMPRODUCT(ISNUMBER('Advanced 0-10'!AA125:AA125)*'Advanced Entry'!AA$9:AA$9),1))</f>
        <v/>
      </c>
      <c r="K125" s="7">
        <f>IF(SUMPRODUCT(ISNUMBER('Advanced 0-10'!AB125:AB125)*'Advanced Entry'!AB$9:AB$9)=0,"",ROUND(SUMPRODUCT(IFERROR('Advanced 0-10'!AB125:AB125*1,0)*'Advanced Entry'!AB$9:AB$9)/SUMPRODUCT(ISNUMBER('Advanced 0-10'!AB125:AB125)*'Advanced Entry'!AB$9:AB$9),1))</f>
        <v/>
      </c>
      <c r="L125" s="19">
        <f>IF(SUMPRODUCT(--ISNUMBER(D125:K125))=0,"",ROUND(SUMPRODUCT(IFERROR(D125:K125*1,0))/SUMPRODUCT(--ISNUMBER(D125:K125)),1))</f>
        <v/>
      </c>
    </row>
    <row r="126">
      <c r="A126" t="inlineStr">
        <is>
          <t>Mtwara</t>
        </is>
      </c>
      <c r="B126" t="inlineStr">
        <is>
          <t>Newala Town</t>
        </is>
      </c>
      <c r="C126" t="inlineStr">
        <is>
          <t>C067</t>
        </is>
      </c>
      <c r="D126" s="7">
        <f>IF(SUMPRODUCT(ISNUMBER('Advanced 0-10'!D126:J126)*'Advanced Entry'!D$9:J$9)=0,"",ROUND(SUMPRODUCT(IFERROR('Advanced 0-10'!D126:J126*1,0)*'Advanced Entry'!D$9:J$9)/SUMPRODUCT(ISNUMBER('Advanced 0-10'!D126:J126)*'Advanced Entry'!D$9:J$9),1))</f>
        <v/>
      </c>
      <c r="E126" s="7">
        <f>IF(SUMPRODUCT(ISNUMBER('Advanced 0-10'!K126:O126)*'Advanced Entry'!K$9:O$9)=0,"",ROUND(SUMPRODUCT(IFERROR('Advanced 0-10'!K126:O126*1,0)*'Advanced Entry'!K$9:O$9)/SUMPRODUCT(ISNUMBER('Advanced 0-10'!K126:O126)*'Advanced Entry'!K$9:O$9),1))</f>
        <v/>
      </c>
      <c r="F126" s="7">
        <f>IF(SUMPRODUCT(ISNUMBER('Advanced 0-10'!P126:Q126)*'Advanced Entry'!P$9:Q$9)=0,"",ROUND(SUMPRODUCT(IFERROR('Advanced 0-10'!P126:Q126*1,0)*'Advanced Entry'!P$9:Q$9)/SUMPRODUCT(ISNUMBER('Advanced 0-10'!P126:Q126)*'Advanced Entry'!P$9:Q$9),1))</f>
        <v/>
      </c>
      <c r="G126" s="7">
        <f>IF(SUMPRODUCT(ISNUMBER('Advanced 0-10'!R126:S126)*'Advanced Entry'!R$9:S$9)=0,"",ROUND(SUMPRODUCT(IFERROR('Advanced 0-10'!R126:S126*1,0)*'Advanced Entry'!R$9:S$9)/SUMPRODUCT(ISNUMBER('Advanced 0-10'!R126:S126)*'Advanced Entry'!R$9:S$9),1))</f>
        <v/>
      </c>
      <c r="H126" s="7">
        <f>IF(SUMPRODUCT(ISNUMBER('Advanced 0-10'!T126:U126)*'Advanced Entry'!T$9:U$9)=0,"",ROUND(SUMPRODUCT(IFERROR('Advanced 0-10'!T126:U126*1,0)*'Advanced Entry'!T$9:U$9)/SUMPRODUCT(ISNUMBER('Advanced 0-10'!T126:U126)*'Advanced Entry'!T$9:U$9),1))</f>
        <v/>
      </c>
      <c r="I126" s="7">
        <f>IF(SUMPRODUCT(ISNUMBER('Advanced 0-10'!V126:Z126)*'Advanced Entry'!V$9:Z$9)=0,"",ROUND(SUMPRODUCT(IFERROR('Advanced 0-10'!V126:Z126*1,0)*'Advanced Entry'!V$9:Z$9)/SUMPRODUCT(ISNUMBER('Advanced 0-10'!V126:Z126)*'Advanced Entry'!V$9:Z$9),1))</f>
        <v/>
      </c>
      <c r="J126" s="7">
        <f>IF(SUMPRODUCT(ISNUMBER('Advanced 0-10'!AA126:AA126)*'Advanced Entry'!AA$9:AA$9)=0,"",ROUND(SUMPRODUCT(IFERROR('Advanced 0-10'!AA126:AA126*1,0)*'Advanced Entry'!AA$9:AA$9)/SUMPRODUCT(ISNUMBER('Advanced 0-10'!AA126:AA126)*'Advanced Entry'!AA$9:AA$9),1))</f>
        <v/>
      </c>
      <c r="K126" s="7">
        <f>IF(SUMPRODUCT(ISNUMBER('Advanced 0-10'!AB126:AB126)*'Advanced Entry'!AB$9:AB$9)=0,"",ROUND(SUMPRODUCT(IFERROR('Advanced 0-10'!AB126:AB126*1,0)*'Advanced Entry'!AB$9:AB$9)/SUMPRODUCT(ISNUMBER('Advanced 0-10'!AB126:AB126)*'Advanced Entry'!AB$9:AB$9),1))</f>
        <v/>
      </c>
      <c r="L126" s="19">
        <f>IF(SUMPRODUCT(--ISNUMBER(D126:K126))=0,"",ROUND(SUMPRODUCT(IFERROR(D126:K126*1,0))/SUMPRODUCT(--ISNUMBER(D126:K126)),1))</f>
        <v/>
      </c>
    </row>
    <row r="127">
      <c r="A127" t="inlineStr">
        <is>
          <t>Mtwara</t>
        </is>
      </c>
      <c r="B127" t="inlineStr">
        <is>
          <t>Tandahimba District</t>
        </is>
      </c>
      <c r="C127" t="inlineStr">
        <is>
          <t>C070</t>
        </is>
      </c>
      <c r="D127" s="7">
        <f>IF(SUMPRODUCT(ISNUMBER('Advanced 0-10'!D127:J127)*'Advanced Entry'!D$9:J$9)=0,"",ROUND(SUMPRODUCT(IFERROR('Advanced 0-10'!D127:J127*1,0)*'Advanced Entry'!D$9:J$9)/SUMPRODUCT(ISNUMBER('Advanced 0-10'!D127:J127)*'Advanced Entry'!D$9:J$9),1))</f>
        <v/>
      </c>
      <c r="E127" s="7">
        <f>IF(SUMPRODUCT(ISNUMBER('Advanced 0-10'!K127:O127)*'Advanced Entry'!K$9:O$9)=0,"",ROUND(SUMPRODUCT(IFERROR('Advanced 0-10'!K127:O127*1,0)*'Advanced Entry'!K$9:O$9)/SUMPRODUCT(ISNUMBER('Advanced 0-10'!K127:O127)*'Advanced Entry'!K$9:O$9),1))</f>
        <v/>
      </c>
      <c r="F127" s="7">
        <f>IF(SUMPRODUCT(ISNUMBER('Advanced 0-10'!P127:Q127)*'Advanced Entry'!P$9:Q$9)=0,"",ROUND(SUMPRODUCT(IFERROR('Advanced 0-10'!P127:Q127*1,0)*'Advanced Entry'!P$9:Q$9)/SUMPRODUCT(ISNUMBER('Advanced 0-10'!P127:Q127)*'Advanced Entry'!P$9:Q$9),1))</f>
        <v/>
      </c>
      <c r="G127" s="7">
        <f>IF(SUMPRODUCT(ISNUMBER('Advanced 0-10'!R127:S127)*'Advanced Entry'!R$9:S$9)=0,"",ROUND(SUMPRODUCT(IFERROR('Advanced 0-10'!R127:S127*1,0)*'Advanced Entry'!R$9:S$9)/SUMPRODUCT(ISNUMBER('Advanced 0-10'!R127:S127)*'Advanced Entry'!R$9:S$9),1))</f>
        <v/>
      </c>
      <c r="H127" s="7">
        <f>IF(SUMPRODUCT(ISNUMBER('Advanced 0-10'!T127:U127)*'Advanced Entry'!T$9:U$9)=0,"",ROUND(SUMPRODUCT(IFERROR('Advanced 0-10'!T127:U127*1,0)*'Advanced Entry'!T$9:U$9)/SUMPRODUCT(ISNUMBER('Advanced 0-10'!T127:U127)*'Advanced Entry'!T$9:U$9),1))</f>
        <v/>
      </c>
      <c r="I127" s="7">
        <f>IF(SUMPRODUCT(ISNUMBER('Advanced 0-10'!V127:Z127)*'Advanced Entry'!V$9:Z$9)=0,"",ROUND(SUMPRODUCT(IFERROR('Advanced 0-10'!V127:Z127*1,0)*'Advanced Entry'!V$9:Z$9)/SUMPRODUCT(ISNUMBER('Advanced 0-10'!V127:Z127)*'Advanced Entry'!V$9:Z$9),1))</f>
        <v/>
      </c>
      <c r="J127" s="7">
        <f>IF(SUMPRODUCT(ISNUMBER('Advanced 0-10'!AA127:AA127)*'Advanced Entry'!AA$9:AA$9)=0,"",ROUND(SUMPRODUCT(IFERROR('Advanced 0-10'!AA127:AA127*1,0)*'Advanced Entry'!AA$9:AA$9)/SUMPRODUCT(ISNUMBER('Advanced 0-10'!AA127:AA127)*'Advanced Entry'!AA$9:AA$9),1))</f>
        <v/>
      </c>
      <c r="K127" s="7">
        <f>IF(SUMPRODUCT(ISNUMBER('Advanced 0-10'!AB127:AB127)*'Advanced Entry'!AB$9:AB$9)=0,"",ROUND(SUMPRODUCT(IFERROR('Advanced 0-10'!AB127:AB127*1,0)*'Advanced Entry'!AB$9:AB$9)/SUMPRODUCT(ISNUMBER('Advanced 0-10'!AB127:AB127)*'Advanced Entry'!AB$9:AB$9),1))</f>
        <v/>
      </c>
      <c r="L127" s="19">
        <f>IF(SUMPRODUCT(--ISNUMBER(D127:K127))=0,"",ROUND(SUMPRODUCT(IFERROR(D127:K127*1,0))/SUMPRODUCT(--ISNUMBER(D127:K127)),1))</f>
        <v/>
      </c>
    </row>
    <row r="128">
      <c r="A128" t="inlineStr">
        <is>
          <t>Mwanza</t>
        </is>
      </c>
      <c r="B128" t="inlineStr">
        <is>
          <t>Buchosa District</t>
        </is>
      </c>
      <c r="C128" t="inlineStr">
        <is>
          <t>C138</t>
        </is>
      </c>
      <c r="D128" s="7">
        <f>IF(SUMPRODUCT(ISNUMBER('Advanced 0-10'!D128:J128)*'Advanced Entry'!D$9:J$9)=0,"",ROUND(SUMPRODUCT(IFERROR('Advanced 0-10'!D128:J128*1,0)*'Advanced Entry'!D$9:J$9)/SUMPRODUCT(ISNUMBER('Advanced 0-10'!D128:J128)*'Advanced Entry'!D$9:J$9),1))</f>
        <v/>
      </c>
      <c r="E128" s="7">
        <f>IF(SUMPRODUCT(ISNUMBER('Advanced 0-10'!K128:O128)*'Advanced Entry'!K$9:O$9)=0,"",ROUND(SUMPRODUCT(IFERROR('Advanced 0-10'!K128:O128*1,0)*'Advanced Entry'!K$9:O$9)/SUMPRODUCT(ISNUMBER('Advanced 0-10'!K128:O128)*'Advanced Entry'!K$9:O$9),1))</f>
        <v/>
      </c>
      <c r="F128" s="7">
        <f>IF(SUMPRODUCT(ISNUMBER('Advanced 0-10'!P128:Q128)*'Advanced Entry'!P$9:Q$9)=0,"",ROUND(SUMPRODUCT(IFERROR('Advanced 0-10'!P128:Q128*1,0)*'Advanced Entry'!P$9:Q$9)/SUMPRODUCT(ISNUMBER('Advanced 0-10'!P128:Q128)*'Advanced Entry'!P$9:Q$9),1))</f>
        <v/>
      </c>
      <c r="G128" s="7">
        <f>IF(SUMPRODUCT(ISNUMBER('Advanced 0-10'!R128:S128)*'Advanced Entry'!R$9:S$9)=0,"",ROUND(SUMPRODUCT(IFERROR('Advanced 0-10'!R128:S128*1,0)*'Advanced Entry'!R$9:S$9)/SUMPRODUCT(ISNUMBER('Advanced 0-10'!R128:S128)*'Advanced Entry'!R$9:S$9),1))</f>
        <v/>
      </c>
      <c r="H128" s="7">
        <f>IF(SUMPRODUCT(ISNUMBER('Advanced 0-10'!T128:U128)*'Advanced Entry'!T$9:U$9)=0,"",ROUND(SUMPRODUCT(IFERROR('Advanced 0-10'!T128:U128*1,0)*'Advanced Entry'!T$9:U$9)/SUMPRODUCT(ISNUMBER('Advanced 0-10'!T128:U128)*'Advanced Entry'!T$9:U$9),1))</f>
        <v/>
      </c>
      <c r="I128" s="7">
        <f>IF(SUMPRODUCT(ISNUMBER('Advanced 0-10'!V128:Z128)*'Advanced Entry'!V$9:Z$9)=0,"",ROUND(SUMPRODUCT(IFERROR('Advanced 0-10'!V128:Z128*1,0)*'Advanced Entry'!V$9:Z$9)/SUMPRODUCT(ISNUMBER('Advanced 0-10'!V128:Z128)*'Advanced Entry'!V$9:Z$9),1))</f>
        <v/>
      </c>
      <c r="J128" s="7">
        <f>IF(SUMPRODUCT(ISNUMBER('Advanced 0-10'!AA128:AA128)*'Advanced Entry'!AA$9:AA$9)=0,"",ROUND(SUMPRODUCT(IFERROR('Advanced 0-10'!AA128:AA128*1,0)*'Advanced Entry'!AA$9:AA$9)/SUMPRODUCT(ISNUMBER('Advanced 0-10'!AA128:AA128)*'Advanced Entry'!AA$9:AA$9),1))</f>
        <v/>
      </c>
      <c r="K128" s="7">
        <f>IF(SUMPRODUCT(ISNUMBER('Advanced 0-10'!AB128:AB128)*'Advanced Entry'!AB$9:AB$9)=0,"",ROUND(SUMPRODUCT(IFERROR('Advanced 0-10'!AB128:AB128*1,0)*'Advanced Entry'!AB$9:AB$9)/SUMPRODUCT(ISNUMBER('Advanced 0-10'!AB128:AB128)*'Advanced Entry'!AB$9:AB$9),1))</f>
        <v/>
      </c>
      <c r="L128" s="19">
        <f>IF(SUMPRODUCT(--ISNUMBER(D128:K128))=0,"",ROUND(SUMPRODUCT(IFERROR(D128:K128*1,0))/SUMPRODUCT(--ISNUMBER(D128:K128)),1))</f>
        <v/>
      </c>
    </row>
    <row r="129">
      <c r="A129" t="inlineStr">
        <is>
          <t>Mwanza</t>
        </is>
      </c>
      <c r="B129" t="inlineStr">
        <is>
          <t>Ilemela Municipal</t>
        </is>
      </c>
      <c r="C129" t="inlineStr">
        <is>
          <t>C139</t>
        </is>
      </c>
      <c r="D129" s="7">
        <f>IF(SUMPRODUCT(ISNUMBER('Advanced 0-10'!D129:J129)*'Advanced Entry'!D$9:J$9)=0,"",ROUND(SUMPRODUCT(IFERROR('Advanced 0-10'!D129:J129*1,0)*'Advanced Entry'!D$9:J$9)/SUMPRODUCT(ISNUMBER('Advanced 0-10'!D129:J129)*'Advanced Entry'!D$9:J$9),1))</f>
        <v/>
      </c>
      <c r="E129" s="7">
        <f>IF(SUMPRODUCT(ISNUMBER('Advanced 0-10'!K129:O129)*'Advanced Entry'!K$9:O$9)=0,"",ROUND(SUMPRODUCT(IFERROR('Advanced 0-10'!K129:O129*1,0)*'Advanced Entry'!K$9:O$9)/SUMPRODUCT(ISNUMBER('Advanced 0-10'!K129:O129)*'Advanced Entry'!K$9:O$9),1))</f>
        <v/>
      </c>
      <c r="F129" s="7">
        <f>IF(SUMPRODUCT(ISNUMBER('Advanced 0-10'!P129:Q129)*'Advanced Entry'!P$9:Q$9)=0,"",ROUND(SUMPRODUCT(IFERROR('Advanced 0-10'!P129:Q129*1,0)*'Advanced Entry'!P$9:Q$9)/SUMPRODUCT(ISNUMBER('Advanced 0-10'!P129:Q129)*'Advanced Entry'!P$9:Q$9),1))</f>
        <v/>
      </c>
      <c r="G129" s="7">
        <f>IF(SUMPRODUCT(ISNUMBER('Advanced 0-10'!R129:S129)*'Advanced Entry'!R$9:S$9)=0,"",ROUND(SUMPRODUCT(IFERROR('Advanced 0-10'!R129:S129*1,0)*'Advanced Entry'!R$9:S$9)/SUMPRODUCT(ISNUMBER('Advanced 0-10'!R129:S129)*'Advanced Entry'!R$9:S$9),1))</f>
        <v/>
      </c>
      <c r="H129" s="7">
        <f>IF(SUMPRODUCT(ISNUMBER('Advanced 0-10'!T129:U129)*'Advanced Entry'!T$9:U$9)=0,"",ROUND(SUMPRODUCT(IFERROR('Advanced 0-10'!T129:U129*1,0)*'Advanced Entry'!T$9:U$9)/SUMPRODUCT(ISNUMBER('Advanced 0-10'!T129:U129)*'Advanced Entry'!T$9:U$9),1))</f>
        <v/>
      </c>
      <c r="I129" s="7">
        <f>IF(SUMPRODUCT(ISNUMBER('Advanced 0-10'!V129:Z129)*'Advanced Entry'!V$9:Z$9)=0,"",ROUND(SUMPRODUCT(IFERROR('Advanced 0-10'!V129:Z129*1,0)*'Advanced Entry'!V$9:Z$9)/SUMPRODUCT(ISNUMBER('Advanced 0-10'!V129:Z129)*'Advanced Entry'!V$9:Z$9),1))</f>
        <v/>
      </c>
      <c r="J129" s="7">
        <f>IF(SUMPRODUCT(ISNUMBER('Advanced 0-10'!AA129:AA129)*'Advanced Entry'!AA$9:AA$9)=0,"",ROUND(SUMPRODUCT(IFERROR('Advanced 0-10'!AA129:AA129*1,0)*'Advanced Entry'!AA$9:AA$9)/SUMPRODUCT(ISNUMBER('Advanced 0-10'!AA129:AA129)*'Advanced Entry'!AA$9:AA$9),1))</f>
        <v/>
      </c>
      <c r="K129" s="7">
        <f>IF(SUMPRODUCT(ISNUMBER('Advanced 0-10'!AB129:AB129)*'Advanced Entry'!AB$9:AB$9)=0,"",ROUND(SUMPRODUCT(IFERROR('Advanced 0-10'!AB129:AB129*1,0)*'Advanced Entry'!AB$9:AB$9)/SUMPRODUCT(ISNUMBER('Advanced 0-10'!AB129:AB129)*'Advanced Entry'!AB$9:AB$9),1))</f>
        <v/>
      </c>
      <c r="L129" s="19">
        <f>IF(SUMPRODUCT(--ISNUMBER(D129:K129))=0,"",ROUND(SUMPRODUCT(IFERROR(D129:K129*1,0))/SUMPRODUCT(--ISNUMBER(D129:K129)),1))</f>
        <v/>
      </c>
    </row>
    <row r="130">
      <c r="A130" t="inlineStr">
        <is>
          <t>Mwanza</t>
        </is>
      </c>
      <c r="B130" t="inlineStr">
        <is>
          <t>Kwimba District</t>
        </is>
      </c>
      <c r="C130" t="inlineStr">
        <is>
          <t>C136</t>
        </is>
      </c>
      <c r="D130" s="7">
        <f>IF(SUMPRODUCT(ISNUMBER('Advanced 0-10'!D130:J130)*'Advanced Entry'!D$9:J$9)=0,"",ROUND(SUMPRODUCT(IFERROR('Advanced 0-10'!D130:J130*1,0)*'Advanced Entry'!D$9:J$9)/SUMPRODUCT(ISNUMBER('Advanced 0-10'!D130:J130)*'Advanced Entry'!D$9:J$9),1))</f>
        <v/>
      </c>
      <c r="E130" s="7">
        <f>IF(SUMPRODUCT(ISNUMBER('Advanced 0-10'!K130:O130)*'Advanced Entry'!K$9:O$9)=0,"",ROUND(SUMPRODUCT(IFERROR('Advanced 0-10'!K130:O130*1,0)*'Advanced Entry'!K$9:O$9)/SUMPRODUCT(ISNUMBER('Advanced 0-10'!K130:O130)*'Advanced Entry'!K$9:O$9),1))</f>
        <v/>
      </c>
      <c r="F130" s="7">
        <f>IF(SUMPRODUCT(ISNUMBER('Advanced 0-10'!P130:Q130)*'Advanced Entry'!P$9:Q$9)=0,"",ROUND(SUMPRODUCT(IFERROR('Advanced 0-10'!P130:Q130*1,0)*'Advanced Entry'!P$9:Q$9)/SUMPRODUCT(ISNUMBER('Advanced 0-10'!P130:Q130)*'Advanced Entry'!P$9:Q$9),1))</f>
        <v/>
      </c>
      <c r="G130" s="7">
        <f>IF(SUMPRODUCT(ISNUMBER('Advanced 0-10'!R130:S130)*'Advanced Entry'!R$9:S$9)=0,"",ROUND(SUMPRODUCT(IFERROR('Advanced 0-10'!R130:S130*1,0)*'Advanced Entry'!R$9:S$9)/SUMPRODUCT(ISNUMBER('Advanced 0-10'!R130:S130)*'Advanced Entry'!R$9:S$9),1))</f>
        <v/>
      </c>
      <c r="H130" s="7">
        <f>IF(SUMPRODUCT(ISNUMBER('Advanced 0-10'!T130:U130)*'Advanced Entry'!T$9:U$9)=0,"",ROUND(SUMPRODUCT(IFERROR('Advanced 0-10'!T130:U130*1,0)*'Advanced Entry'!T$9:U$9)/SUMPRODUCT(ISNUMBER('Advanced 0-10'!T130:U130)*'Advanced Entry'!T$9:U$9),1))</f>
        <v/>
      </c>
      <c r="I130" s="7">
        <f>IF(SUMPRODUCT(ISNUMBER('Advanced 0-10'!V130:Z130)*'Advanced Entry'!V$9:Z$9)=0,"",ROUND(SUMPRODUCT(IFERROR('Advanced 0-10'!V130:Z130*1,0)*'Advanced Entry'!V$9:Z$9)/SUMPRODUCT(ISNUMBER('Advanced 0-10'!V130:Z130)*'Advanced Entry'!V$9:Z$9),1))</f>
        <v/>
      </c>
      <c r="J130" s="7">
        <f>IF(SUMPRODUCT(ISNUMBER('Advanced 0-10'!AA130:AA130)*'Advanced Entry'!AA$9:AA$9)=0,"",ROUND(SUMPRODUCT(IFERROR('Advanced 0-10'!AA130:AA130*1,0)*'Advanced Entry'!AA$9:AA$9)/SUMPRODUCT(ISNUMBER('Advanced 0-10'!AA130:AA130)*'Advanced Entry'!AA$9:AA$9),1))</f>
        <v/>
      </c>
      <c r="K130" s="7">
        <f>IF(SUMPRODUCT(ISNUMBER('Advanced 0-10'!AB130:AB130)*'Advanced Entry'!AB$9:AB$9)=0,"",ROUND(SUMPRODUCT(IFERROR('Advanced 0-10'!AB130:AB130*1,0)*'Advanced Entry'!AB$9:AB$9)/SUMPRODUCT(ISNUMBER('Advanced 0-10'!AB130:AB130)*'Advanced Entry'!AB$9:AB$9),1))</f>
        <v/>
      </c>
      <c r="L130" s="19">
        <f>IF(SUMPRODUCT(--ISNUMBER(D130:K130))=0,"",ROUND(SUMPRODUCT(IFERROR(D130:K130*1,0))/SUMPRODUCT(--ISNUMBER(D130:K130)),1))</f>
        <v/>
      </c>
    </row>
    <row r="131">
      <c r="A131" t="inlineStr">
        <is>
          <t>Mwanza</t>
        </is>
      </c>
      <c r="B131" t="inlineStr">
        <is>
          <t>Magu District</t>
        </is>
      </c>
      <c r="C131" t="inlineStr">
        <is>
          <t>C134</t>
        </is>
      </c>
      <c r="D131" s="7">
        <f>IF(SUMPRODUCT(ISNUMBER('Advanced 0-10'!D131:J131)*'Advanced Entry'!D$9:J$9)=0,"",ROUND(SUMPRODUCT(IFERROR('Advanced 0-10'!D131:J131*1,0)*'Advanced Entry'!D$9:J$9)/SUMPRODUCT(ISNUMBER('Advanced 0-10'!D131:J131)*'Advanced Entry'!D$9:J$9),1))</f>
        <v/>
      </c>
      <c r="E131" s="7">
        <f>IF(SUMPRODUCT(ISNUMBER('Advanced 0-10'!K131:O131)*'Advanced Entry'!K$9:O$9)=0,"",ROUND(SUMPRODUCT(IFERROR('Advanced 0-10'!K131:O131*1,0)*'Advanced Entry'!K$9:O$9)/SUMPRODUCT(ISNUMBER('Advanced 0-10'!K131:O131)*'Advanced Entry'!K$9:O$9),1))</f>
        <v/>
      </c>
      <c r="F131" s="7">
        <f>IF(SUMPRODUCT(ISNUMBER('Advanced 0-10'!P131:Q131)*'Advanced Entry'!P$9:Q$9)=0,"",ROUND(SUMPRODUCT(IFERROR('Advanced 0-10'!P131:Q131*1,0)*'Advanced Entry'!P$9:Q$9)/SUMPRODUCT(ISNUMBER('Advanced 0-10'!P131:Q131)*'Advanced Entry'!P$9:Q$9),1))</f>
        <v/>
      </c>
      <c r="G131" s="7">
        <f>IF(SUMPRODUCT(ISNUMBER('Advanced 0-10'!R131:S131)*'Advanced Entry'!R$9:S$9)=0,"",ROUND(SUMPRODUCT(IFERROR('Advanced 0-10'!R131:S131*1,0)*'Advanced Entry'!R$9:S$9)/SUMPRODUCT(ISNUMBER('Advanced 0-10'!R131:S131)*'Advanced Entry'!R$9:S$9),1))</f>
        <v/>
      </c>
      <c r="H131" s="7">
        <f>IF(SUMPRODUCT(ISNUMBER('Advanced 0-10'!T131:U131)*'Advanced Entry'!T$9:U$9)=0,"",ROUND(SUMPRODUCT(IFERROR('Advanced 0-10'!T131:U131*1,0)*'Advanced Entry'!T$9:U$9)/SUMPRODUCT(ISNUMBER('Advanced 0-10'!T131:U131)*'Advanced Entry'!T$9:U$9),1))</f>
        <v/>
      </c>
      <c r="I131" s="7">
        <f>IF(SUMPRODUCT(ISNUMBER('Advanced 0-10'!V131:Z131)*'Advanced Entry'!V$9:Z$9)=0,"",ROUND(SUMPRODUCT(IFERROR('Advanced 0-10'!V131:Z131*1,0)*'Advanced Entry'!V$9:Z$9)/SUMPRODUCT(ISNUMBER('Advanced 0-10'!V131:Z131)*'Advanced Entry'!V$9:Z$9),1))</f>
        <v/>
      </c>
      <c r="J131" s="7">
        <f>IF(SUMPRODUCT(ISNUMBER('Advanced 0-10'!AA131:AA131)*'Advanced Entry'!AA$9:AA$9)=0,"",ROUND(SUMPRODUCT(IFERROR('Advanced 0-10'!AA131:AA131*1,0)*'Advanced Entry'!AA$9:AA$9)/SUMPRODUCT(ISNUMBER('Advanced 0-10'!AA131:AA131)*'Advanced Entry'!AA$9:AA$9),1))</f>
        <v/>
      </c>
      <c r="K131" s="7">
        <f>IF(SUMPRODUCT(ISNUMBER('Advanced 0-10'!AB131:AB131)*'Advanced Entry'!AB$9:AB$9)=0,"",ROUND(SUMPRODUCT(IFERROR('Advanced 0-10'!AB131:AB131*1,0)*'Advanced Entry'!AB$9:AB$9)/SUMPRODUCT(ISNUMBER('Advanced 0-10'!AB131:AB131)*'Advanced Entry'!AB$9:AB$9),1))</f>
        <v/>
      </c>
      <c r="L131" s="19">
        <f>IF(SUMPRODUCT(--ISNUMBER(D131:K131))=0,"",ROUND(SUMPRODUCT(IFERROR(D131:K131*1,0))/SUMPRODUCT(--ISNUMBER(D131:K131)),1))</f>
        <v/>
      </c>
    </row>
    <row r="132">
      <c r="A132" t="inlineStr">
        <is>
          <t>Mwanza</t>
        </is>
      </c>
      <c r="B132" t="inlineStr">
        <is>
          <t>Misungwi District</t>
        </is>
      </c>
      <c r="C132" t="inlineStr">
        <is>
          <t>C140</t>
        </is>
      </c>
      <c r="D132" s="7">
        <f>IF(SUMPRODUCT(ISNUMBER('Advanced 0-10'!D132:J132)*'Advanced Entry'!D$9:J$9)=0,"",ROUND(SUMPRODUCT(IFERROR('Advanced 0-10'!D132:J132*1,0)*'Advanced Entry'!D$9:J$9)/SUMPRODUCT(ISNUMBER('Advanced 0-10'!D132:J132)*'Advanced Entry'!D$9:J$9),1))</f>
        <v/>
      </c>
      <c r="E132" s="7">
        <f>IF(SUMPRODUCT(ISNUMBER('Advanced 0-10'!K132:O132)*'Advanced Entry'!K$9:O$9)=0,"",ROUND(SUMPRODUCT(IFERROR('Advanced 0-10'!K132:O132*1,0)*'Advanced Entry'!K$9:O$9)/SUMPRODUCT(ISNUMBER('Advanced 0-10'!K132:O132)*'Advanced Entry'!K$9:O$9),1))</f>
        <v/>
      </c>
      <c r="F132" s="7">
        <f>IF(SUMPRODUCT(ISNUMBER('Advanced 0-10'!P132:Q132)*'Advanced Entry'!P$9:Q$9)=0,"",ROUND(SUMPRODUCT(IFERROR('Advanced 0-10'!P132:Q132*1,0)*'Advanced Entry'!P$9:Q$9)/SUMPRODUCT(ISNUMBER('Advanced 0-10'!P132:Q132)*'Advanced Entry'!P$9:Q$9),1))</f>
        <v/>
      </c>
      <c r="G132" s="7">
        <f>IF(SUMPRODUCT(ISNUMBER('Advanced 0-10'!R132:S132)*'Advanced Entry'!R$9:S$9)=0,"",ROUND(SUMPRODUCT(IFERROR('Advanced 0-10'!R132:S132*1,0)*'Advanced Entry'!R$9:S$9)/SUMPRODUCT(ISNUMBER('Advanced 0-10'!R132:S132)*'Advanced Entry'!R$9:S$9),1))</f>
        <v/>
      </c>
      <c r="H132" s="7">
        <f>IF(SUMPRODUCT(ISNUMBER('Advanced 0-10'!T132:U132)*'Advanced Entry'!T$9:U$9)=0,"",ROUND(SUMPRODUCT(IFERROR('Advanced 0-10'!T132:U132*1,0)*'Advanced Entry'!T$9:U$9)/SUMPRODUCT(ISNUMBER('Advanced 0-10'!T132:U132)*'Advanced Entry'!T$9:U$9),1))</f>
        <v/>
      </c>
      <c r="I132" s="7">
        <f>IF(SUMPRODUCT(ISNUMBER('Advanced 0-10'!V132:Z132)*'Advanced Entry'!V$9:Z$9)=0,"",ROUND(SUMPRODUCT(IFERROR('Advanced 0-10'!V132:Z132*1,0)*'Advanced Entry'!V$9:Z$9)/SUMPRODUCT(ISNUMBER('Advanced 0-10'!V132:Z132)*'Advanced Entry'!V$9:Z$9),1))</f>
        <v/>
      </c>
      <c r="J132" s="7">
        <f>IF(SUMPRODUCT(ISNUMBER('Advanced 0-10'!AA132:AA132)*'Advanced Entry'!AA$9:AA$9)=0,"",ROUND(SUMPRODUCT(IFERROR('Advanced 0-10'!AA132:AA132*1,0)*'Advanced Entry'!AA$9:AA$9)/SUMPRODUCT(ISNUMBER('Advanced 0-10'!AA132:AA132)*'Advanced Entry'!AA$9:AA$9),1))</f>
        <v/>
      </c>
      <c r="K132" s="7">
        <f>IF(SUMPRODUCT(ISNUMBER('Advanced 0-10'!AB132:AB132)*'Advanced Entry'!AB$9:AB$9)=0,"",ROUND(SUMPRODUCT(IFERROR('Advanced 0-10'!AB132:AB132*1,0)*'Advanced Entry'!AB$9:AB$9)/SUMPRODUCT(ISNUMBER('Advanced 0-10'!AB132:AB132)*'Advanced Entry'!AB$9:AB$9),1))</f>
        <v/>
      </c>
      <c r="L132" s="19">
        <f>IF(SUMPRODUCT(--ISNUMBER(D132:K132))=0,"",ROUND(SUMPRODUCT(IFERROR(D132:K132*1,0))/SUMPRODUCT(--ISNUMBER(D132:K132)),1))</f>
        <v/>
      </c>
    </row>
    <row r="133">
      <c r="A133" t="inlineStr">
        <is>
          <t>Mwanza</t>
        </is>
      </c>
      <c r="B133" t="inlineStr">
        <is>
          <t>Mwanza City</t>
        </is>
      </c>
      <c r="C133" t="inlineStr">
        <is>
          <t>C135</t>
        </is>
      </c>
      <c r="D133" s="7">
        <f>IF(SUMPRODUCT(ISNUMBER('Advanced 0-10'!D133:J133)*'Advanced Entry'!D$9:J$9)=0,"",ROUND(SUMPRODUCT(IFERROR('Advanced 0-10'!D133:J133*1,0)*'Advanced Entry'!D$9:J$9)/SUMPRODUCT(ISNUMBER('Advanced 0-10'!D133:J133)*'Advanced Entry'!D$9:J$9),1))</f>
        <v/>
      </c>
      <c r="E133" s="7">
        <f>IF(SUMPRODUCT(ISNUMBER('Advanced 0-10'!K133:O133)*'Advanced Entry'!K$9:O$9)=0,"",ROUND(SUMPRODUCT(IFERROR('Advanced 0-10'!K133:O133*1,0)*'Advanced Entry'!K$9:O$9)/SUMPRODUCT(ISNUMBER('Advanced 0-10'!K133:O133)*'Advanced Entry'!K$9:O$9),1))</f>
        <v/>
      </c>
      <c r="F133" s="7">
        <f>IF(SUMPRODUCT(ISNUMBER('Advanced 0-10'!P133:Q133)*'Advanced Entry'!P$9:Q$9)=0,"",ROUND(SUMPRODUCT(IFERROR('Advanced 0-10'!P133:Q133*1,0)*'Advanced Entry'!P$9:Q$9)/SUMPRODUCT(ISNUMBER('Advanced 0-10'!P133:Q133)*'Advanced Entry'!P$9:Q$9),1))</f>
        <v/>
      </c>
      <c r="G133" s="7">
        <f>IF(SUMPRODUCT(ISNUMBER('Advanced 0-10'!R133:S133)*'Advanced Entry'!R$9:S$9)=0,"",ROUND(SUMPRODUCT(IFERROR('Advanced 0-10'!R133:S133*1,0)*'Advanced Entry'!R$9:S$9)/SUMPRODUCT(ISNUMBER('Advanced 0-10'!R133:S133)*'Advanced Entry'!R$9:S$9),1))</f>
        <v/>
      </c>
      <c r="H133" s="7">
        <f>IF(SUMPRODUCT(ISNUMBER('Advanced 0-10'!T133:U133)*'Advanced Entry'!T$9:U$9)=0,"",ROUND(SUMPRODUCT(IFERROR('Advanced 0-10'!T133:U133*1,0)*'Advanced Entry'!T$9:U$9)/SUMPRODUCT(ISNUMBER('Advanced 0-10'!T133:U133)*'Advanced Entry'!T$9:U$9),1))</f>
        <v/>
      </c>
      <c r="I133" s="7">
        <f>IF(SUMPRODUCT(ISNUMBER('Advanced 0-10'!V133:Z133)*'Advanced Entry'!V$9:Z$9)=0,"",ROUND(SUMPRODUCT(IFERROR('Advanced 0-10'!V133:Z133*1,0)*'Advanced Entry'!V$9:Z$9)/SUMPRODUCT(ISNUMBER('Advanced 0-10'!V133:Z133)*'Advanced Entry'!V$9:Z$9),1))</f>
        <v/>
      </c>
      <c r="J133" s="7">
        <f>IF(SUMPRODUCT(ISNUMBER('Advanced 0-10'!AA133:AA133)*'Advanced Entry'!AA$9:AA$9)=0,"",ROUND(SUMPRODUCT(IFERROR('Advanced 0-10'!AA133:AA133*1,0)*'Advanced Entry'!AA$9:AA$9)/SUMPRODUCT(ISNUMBER('Advanced 0-10'!AA133:AA133)*'Advanced Entry'!AA$9:AA$9),1))</f>
        <v/>
      </c>
      <c r="K133" s="7">
        <f>IF(SUMPRODUCT(ISNUMBER('Advanced 0-10'!AB133:AB133)*'Advanced Entry'!AB$9:AB$9)=0,"",ROUND(SUMPRODUCT(IFERROR('Advanced 0-10'!AB133:AB133*1,0)*'Advanced Entry'!AB$9:AB$9)/SUMPRODUCT(ISNUMBER('Advanced 0-10'!AB133:AB133)*'Advanced Entry'!AB$9:AB$9),1))</f>
        <v/>
      </c>
      <c r="L133" s="19">
        <f>IF(SUMPRODUCT(--ISNUMBER(D133:K133))=0,"",ROUND(SUMPRODUCT(IFERROR(D133:K133*1,0))/SUMPRODUCT(--ISNUMBER(D133:K133)),1))</f>
        <v/>
      </c>
    </row>
    <row r="134">
      <c r="A134" t="inlineStr">
        <is>
          <t>Mwanza</t>
        </is>
      </c>
      <c r="B134" t="inlineStr">
        <is>
          <t>Sengerema District</t>
        </is>
      </c>
      <c r="C134" t="inlineStr">
        <is>
          <t>C137</t>
        </is>
      </c>
      <c r="D134" s="7">
        <f>IF(SUMPRODUCT(ISNUMBER('Advanced 0-10'!D134:J134)*'Advanced Entry'!D$9:J$9)=0,"",ROUND(SUMPRODUCT(IFERROR('Advanced 0-10'!D134:J134*1,0)*'Advanced Entry'!D$9:J$9)/SUMPRODUCT(ISNUMBER('Advanced 0-10'!D134:J134)*'Advanced Entry'!D$9:J$9),1))</f>
        <v/>
      </c>
      <c r="E134" s="7">
        <f>IF(SUMPRODUCT(ISNUMBER('Advanced 0-10'!K134:O134)*'Advanced Entry'!K$9:O$9)=0,"",ROUND(SUMPRODUCT(IFERROR('Advanced 0-10'!K134:O134*1,0)*'Advanced Entry'!K$9:O$9)/SUMPRODUCT(ISNUMBER('Advanced 0-10'!K134:O134)*'Advanced Entry'!K$9:O$9),1))</f>
        <v/>
      </c>
      <c r="F134" s="7">
        <f>IF(SUMPRODUCT(ISNUMBER('Advanced 0-10'!P134:Q134)*'Advanced Entry'!P$9:Q$9)=0,"",ROUND(SUMPRODUCT(IFERROR('Advanced 0-10'!P134:Q134*1,0)*'Advanced Entry'!P$9:Q$9)/SUMPRODUCT(ISNUMBER('Advanced 0-10'!P134:Q134)*'Advanced Entry'!P$9:Q$9),1))</f>
        <v/>
      </c>
      <c r="G134" s="7">
        <f>IF(SUMPRODUCT(ISNUMBER('Advanced 0-10'!R134:S134)*'Advanced Entry'!R$9:S$9)=0,"",ROUND(SUMPRODUCT(IFERROR('Advanced 0-10'!R134:S134*1,0)*'Advanced Entry'!R$9:S$9)/SUMPRODUCT(ISNUMBER('Advanced 0-10'!R134:S134)*'Advanced Entry'!R$9:S$9),1))</f>
        <v/>
      </c>
      <c r="H134" s="7">
        <f>IF(SUMPRODUCT(ISNUMBER('Advanced 0-10'!T134:U134)*'Advanced Entry'!T$9:U$9)=0,"",ROUND(SUMPRODUCT(IFERROR('Advanced 0-10'!T134:U134*1,0)*'Advanced Entry'!T$9:U$9)/SUMPRODUCT(ISNUMBER('Advanced 0-10'!T134:U134)*'Advanced Entry'!T$9:U$9),1))</f>
        <v/>
      </c>
      <c r="I134" s="7">
        <f>IF(SUMPRODUCT(ISNUMBER('Advanced 0-10'!V134:Z134)*'Advanced Entry'!V$9:Z$9)=0,"",ROUND(SUMPRODUCT(IFERROR('Advanced 0-10'!V134:Z134*1,0)*'Advanced Entry'!V$9:Z$9)/SUMPRODUCT(ISNUMBER('Advanced 0-10'!V134:Z134)*'Advanced Entry'!V$9:Z$9),1))</f>
        <v/>
      </c>
      <c r="J134" s="7">
        <f>IF(SUMPRODUCT(ISNUMBER('Advanced 0-10'!AA134:AA134)*'Advanced Entry'!AA$9:AA$9)=0,"",ROUND(SUMPRODUCT(IFERROR('Advanced 0-10'!AA134:AA134*1,0)*'Advanced Entry'!AA$9:AA$9)/SUMPRODUCT(ISNUMBER('Advanced 0-10'!AA134:AA134)*'Advanced Entry'!AA$9:AA$9),1))</f>
        <v/>
      </c>
      <c r="K134" s="7">
        <f>IF(SUMPRODUCT(ISNUMBER('Advanced 0-10'!AB134:AB134)*'Advanced Entry'!AB$9:AB$9)=0,"",ROUND(SUMPRODUCT(IFERROR('Advanced 0-10'!AB134:AB134*1,0)*'Advanced Entry'!AB$9:AB$9)/SUMPRODUCT(ISNUMBER('Advanced 0-10'!AB134:AB134)*'Advanced Entry'!AB$9:AB$9),1))</f>
        <v/>
      </c>
      <c r="L134" s="19">
        <f>IF(SUMPRODUCT(--ISNUMBER(D134:K134))=0,"",ROUND(SUMPRODUCT(IFERROR(D134:K134*1,0))/SUMPRODUCT(--ISNUMBER(D134:K134)),1))</f>
        <v/>
      </c>
    </row>
    <row r="135">
      <c r="A135" t="inlineStr">
        <is>
          <t>Mwanza</t>
        </is>
      </c>
      <c r="B135" t="inlineStr">
        <is>
          <t>Ukerewe District</t>
        </is>
      </c>
      <c r="C135" t="inlineStr">
        <is>
          <t>C133</t>
        </is>
      </c>
      <c r="D135" s="7">
        <f>IF(SUMPRODUCT(ISNUMBER('Advanced 0-10'!D135:J135)*'Advanced Entry'!D$9:J$9)=0,"",ROUND(SUMPRODUCT(IFERROR('Advanced 0-10'!D135:J135*1,0)*'Advanced Entry'!D$9:J$9)/SUMPRODUCT(ISNUMBER('Advanced 0-10'!D135:J135)*'Advanced Entry'!D$9:J$9),1))</f>
        <v/>
      </c>
      <c r="E135" s="7">
        <f>IF(SUMPRODUCT(ISNUMBER('Advanced 0-10'!K135:O135)*'Advanced Entry'!K$9:O$9)=0,"",ROUND(SUMPRODUCT(IFERROR('Advanced 0-10'!K135:O135*1,0)*'Advanced Entry'!K$9:O$9)/SUMPRODUCT(ISNUMBER('Advanced 0-10'!K135:O135)*'Advanced Entry'!K$9:O$9),1))</f>
        <v/>
      </c>
      <c r="F135" s="7">
        <f>IF(SUMPRODUCT(ISNUMBER('Advanced 0-10'!P135:Q135)*'Advanced Entry'!P$9:Q$9)=0,"",ROUND(SUMPRODUCT(IFERROR('Advanced 0-10'!P135:Q135*1,0)*'Advanced Entry'!P$9:Q$9)/SUMPRODUCT(ISNUMBER('Advanced 0-10'!P135:Q135)*'Advanced Entry'!P$9:Q$9),1))</f>
        <v/>
      </c>
      <c r="G135" s="7">
        <f>IF(SUMPRODUCT(ISNUMBER('Advanced 0-10'!R135:S135)*'Advanced Entry'!R$9:S$9)=0,"",ROUND(SUMPRODUCT(IFERROR('Advanced 0-10'!R135:S135*1,0)*'Advanced Entry'!R$9:S$9)/SUMPRODUCT(ISNUMBER('Advanced 0-10'!R135:S135)*'Advanced Entry'!R$9:S$9),1))</f>
        <v/>
      </c>
      <c r="H135" s="7">
        <f>IF(SUMPRODUCT(ISNUMBER('Advanced 0-10'!T135:U135)*'Advanced Entry'!T$9:U$9)=0,"",ROUND(SUMPRODUCT(IFERROR('Advanced 0-10'!T135:U135*1,0)*'Advanced Entry'!T$9:U$9)/SUMPRODUCT(ISNUMBER('Advanced 0-10'!T135:U135)*'Advanced Entry'!T$9:U$9),1))</f>
        <v/>
      </c>
      <c r="I135" s="7">
        <f>IF(SUMPRODUCT(ISNUMBER('Advanced 0-10'!V135:Z135)*'Advanced Entry'!V$9:Z$9)=0,"",ROUND(SUMPRODUCT(IFERROR('Advanced 0-10'!V135:Z135*1,0)*'Advanced Entry'!V$9:Z$9)/SUMPRODUCT(ISNUMBER('Advanced 0-10'!V135:Z135)*'Advanced Entry'!V$9:Z$9),1))</f>
        <v/>
      </c>
      <c r="J135" s="7">
        <f>IF(SUMPRODUCT(ISNUMBER('Advanced 0-10'!AA135:AA135)*'Advanced Entry'!AA$9:AA$9)=0,"",ROUND(SUMPRODUCT(IFERROR('Advanced 0-10'!AA135:AA135*1,0)*'Advanced Entry'!AA$9:AA$9)/SUMPRODUCT(ISNUMBER('Advanced 0-10'!AA135:AA135)*'Advanced Entry'!AA$9:AA$9),1))</f>
        <v/>
      </c>
      <c r="K135" s="7">
        <f>IF(SUMPRODUCT(ISNUMBER('Advanced 0-10'!AB135:AB135)*'Advanced Entry'!AB$9:AB$9)=0,"",ROUND(SUMPRODUCT(IFERROR('Advanced 0-10'!AB135:AB135*1,0)*'Advanced Entry'!AB$9:AB$9)/SUMPRODUCT(ISNUMBER('Advanced 0-10'!AB135:AB135)*'Advanced Entry'!AB$9:AB$9),1))</f>
        <v/>
      </c>
      <c r="L135" s="19">
        <f>IF(SUMPRODUCT(--ISNUMBER(D135:K135))=0,"",ROUND(SUMPRODUCT(IFERROR(D135:K135*1,0))/SUMPRODUCT(--ISNUMBER(D135:K135)),1))</f>
        <v/>
      </c>
    </row>
    <row r="136">
      <c r="A136" t="inlineStr">
        <is>
          <t>Njombe</t>
        </is>
      </c>
      <c r="B136" t="inlineStr">
        <is>
          <t>Ludewa District</t>
        </is>
      </c>
      <c r="C136" t="inlineStr">
        <is>
          <t>C160</t>
        </is>
      </c>
      <c r="D136" s="7">
        <f>IF(SUMPRODUCT(ISNUMBER('Advanced 0-10'!D136:J136)*'Advanced Entry'!D$9:J$9)=0,"",ROUND(SUMPRODUCT(IFERROR('Advanced 0-10'!D136:J136*1,0)*'Advanced Entry'!D$9:J$9)/SUMPRODUCT(ISNUMBER('Advanced 0-10'!D136:J136)*'Advanced Entry'!D$9:J$9),1))</f>
        <v/>
      </c>
      <c r="E136" s="7">
        <f>IF(SUMPRODUCT(ISNUMBER('Advanced 0-10'!K136:O136)*'Advanced Entry'!K$9:O$9)=0,"",ROUND(SUMPRODUCT(IFERROR('Advanced 0-10'!K136:O136*1,0)*'Advanced Entry'!K$9:O$9)/SUMPRODUCT(ISNUMBER('Advanced 0-10'!K136:O136)*'Advanced Entry'!K$9:O$9),1))</f>
        <v/>
      </c>
      <c r="F136" s="7">
        <f>IF(SUMPRODUCT(ISNUMBER('Advanced 0-10'!P136:Q136)*'Advanced Entry'!P$9:Q$9)=0,"",ROUND(SUMPRODUCT(IFERROR('Advanced 0-10'!P136:Q136*1,0)*'Advanced Entry'!P$9:Q$9)/SUMPRODUCT(ISNUMBER('Advanced 0-10'!P136:Q136)*'Advanced Entry'!P$9:Q$9),1))</f>
        <v/>
      </c>
      <c r="G136" s="7">
        <f>IF(SUMPRODUCT(ISNUMBER('Advanced 0-10'!R136:S136)*'Advanced Entry'!R$9:S$9)=0,"",ROUND(SUMPRODUCT(IFERROR('Advanced 0-10'!R136:S136*1,0)*'Advanced Entry'!R$9:S$9)/SUMPRODUCT(ISNUMBER('Advanced 0-10'!R136:S136)*'Advanced Entry'!R$9:S$9),1))</f>
        <v/>
      </c>
      <c r="H136" s="7">
        <f>IF(SUMPRODUCT(ISNUMBER('Advanced 0-10'!T136:U136)*'Advanced Entry'!T$9:U$9)=0,"",ROUND(SUMPRODUCT(IFERROR('Advanced 0-10'!T136:U136*1,0)*'Advanced Entry'!T$9:U$9)/SUMPRODUCT(ISNUMBER('Advanced 0-10'!T136:U136)*'Advanced Entry'!T$9:U$9),1))</f>
        <v/>
      </c>
      <c r="I136" s="7">
        <f>IF(SUMPRODUCT(ISNUMBER('Advanced 0-10'!V136:Z136)*'Advanced Entry'!V$9:Z$9)=0,"",ROUND(SUMPRODUCT(IFERROR('Advanced 0-10'!V136:Z136*1,0)*'Advanced Entry'!V$9:Z$9)/SUMPRODUCT(ISNUMBER('Advanced 0-10'!V136:Z136)*'Advanced Entry'!V$9:Z$9),1))</f>
        <v/>
      </c>
      <c r="J136" s="7">
        <f>IF(SUMPRODUCT(ISNUMBER('Advanced 0-10'!AA136:AA136)*'Advanced Entry'!AA$9:AA$9)=0,"",ROUND(SUMPRODUCT(IFERROR('Advanced 0-10'!AA136:AA136*1,0)*'Advanced Entry'!AA$9:AA$9)/SUMPRODUCT(ISNUMBER('Advanced 0-10'!AA136:AA136)*'Advanced Entry'!AA$9:AA$9),1))</f>
        <v/>
      </c>
      <c r="K136" s="7">
        <f>IF(SUMPRODUCT(ISNUMBER('Advanced 0-10'!AB136:AB136)*'Advanced Entry'!AB$9:AB$9)=0,"",ROUND(SUMPRODUCT(IFERROR('Advanced 0-10'!AB136:AB136*1,0)*'Advanced Entry'!AB$9:AB$9)/SUMPRODUCT(ISNUMBER('Advanced 0-10'!AB136:AB136)*'Advanced Entry'!AB$9:AB$9),1))</f>
        <v/>
      </c>
      <c r="L136" s="19">
        <f>IF(SUMPRODUCT(--ISNUMBER(D136:K136))=0,"",ROUND(SUMPRODUCT(IFERROR(D136:K136*1,0))/SUMPRODUCT(--ISNUMBER(D136:K136)),1))</f>
        <v/>
      </c>
    </row>
    <row r="137">
      <c r="A137" t="inlineStr">
        <is>
          <t>Njombe</t>
        </is>
      </c>
      <c r="B137" t="inlineStr">
        <is>
          <t>Makambako Town</t>
        </is>
      </c>
      <c r="C137" t="inlineStr">
        <is>
          <t>C159</t>
        </is>
      </c>
      <c r="D137" s="7">
        <f>IF(SUMPRODUCT(ISNUMBER('Advanced 0-10'!D137:J137)*'Advanced Entry'!D$9:J$9)=0,"",ROUND(SUMPRODUCT(IFERROR('Advanced 0-10'!D137:J137*1,0)*'Advanced Entry'!D$9:J$9)/SUMPRODUCT(ISNUMBER('Advanced 0-10'!D137:J137)*'Advanced Entry'!D$9:J$9),1))</f>
        <v/>
      </c>
      <c r="E137" s="7">
        <f>IF(SUMPRODUCT(ISNUMBER('Advanced 0-10'!K137:O137)*'Advanced Entry'!K$9:O$9)=0,"",ROUND(SUMPRODUCT(IFERROR('Advanced 0-10'!K137:O137*1,0)*'Advanced Entry'!K$9:O$9)/SUMPRODUCT(ISNUMBER('Advanced 0-10'!K137:O137)*'Advanced Entry'!K$9:O$9),1))</f>
        <v/>
      </c>
      <c r="F137" s="7">
        <f>IF(SUMPRODUCT(ISNUMBER('Advanced 0-10'!P137:Q137)*'Advanced Entry'!P$9:Q$9)=0,"",ROUND(SUMPRODUCT(IFERROR('Advanced 0-10'!P137:Q137*1,0)*'Advanced Entry'!P$9:Q$9)/SUMPRODUCT(ISNUMBER('Advanced 0-10'!P137:Q137)*'Advanced Entry'!P$9:Q$9),1))</f>
        <v/>
      </c>
      <c r="G137" s="7">
        <f>IF(SUMPRODUCT(ISNUMBER('Advanced 0-10'!R137:S137)*'Advanced Entry'!R$9:S$9)=0,"",ROUND(SUMPRODUCT(IFERROR('Advanced 0-10'!R137:S137*1,0)*'Advanced Entry'!R$9:S$9)/SUMPRODUCT(ISNUMBER('Advanced 0-10'!R137:S137)*'Advanced Entry'!R$9:S$9),1))</f>
        <v/>
      </c>
      <c r="H137" s="7">
        <f>IF(SUMPRODUCT(ISNUMBER('Advanced 0-10'!T137:U137)*'Advanced Entry'!T$9:U$9)=0,"",ROUND(SUMPRODUCT(IFERROR('Advanced 0-10'!T137:U137*1,0)*'Advanced Entry'!T$9:U$9)/SUMPRODUCT(ISNUMBER('Advanced 0-10'!T137:U137)*'Advanced Entry'!T$9:U$9),1))</f>
        <v/>
      </c>
      <c r="I137" s="7">
        <f>IF(SUMPRODUCT(ISNUMBER('Advanced 0-10'!V137:Z137)*'Advanced Entry'!V$9:Z$9)=0,"",ROUND(SUMPRODUCT(IFERROR('Advanced 0-10'!V137:Z137*1,0)*'Advanced Entry'!V$9:Z$9)/SUMPRODUCT(ISNUMBER('Advanced 0-10'!V137:Z137)*'Advanced Entry'!V$9:Z$9),1))</f>
        <v/>
      </c>
      <c r="J137" s="7">
        <f>IF(SUMPRODUCT(ISNUMBER('Advanced 0-10'!AA137:AA137)*'Advanced Entry'!AA$9:AA$9)=0,"",ROUND(SUMPRODUCT(IFERROR('Advanced 0-10'!AA137:AA137*1,0)*'Advanced Entry'!AA$9:AA$9)/SUMPRODUCT(ISNUMBER('Advanced 0-10'!AA137:AA137)*'Advanced Entry'!AA$9:AA$9),1))</f>
        <v/>
      </c>
      <c r="K137" s="7">
        <f>IF(SUMPRODUCT(ISNUMBER('Advanced 0-10'!AB137:AB137)*'Advanced Entry'!AB$9:AB$9)=0,"",ROUND(SUMPRODUCT(IFERROR('Advanced 0-10'!AB137:AB137*1,0)*'Advanced Entry'!AB$9:AB$9)/SUMPRODUCT(ISNUMBER('Advanced 0-10'!AB137:AB137)*'Advanced Entry'!AB$9:AB$9),1))</f>
        <v/>
      </c>
      <c r="L137" s="19">
        <f>IF(SUMPRODUCT(--ISNUMBER(D137:K137))=0,"",ROUND(SUMPRODUCT(IFERROR(D137:K137*1,0))/SUMPRODUCT(--ISNUMBER(D137:K137)),1))</f>
        <v/>
      </c>
    </row>
    <row r="138">
      <c r="A138" t="inlineStr">
        <is>
          <t>Njombe</t>
        </is>
      </c>
      <c r="B138" t="inlineStr">
        <is>
          <t>Makete District</t>
        </is>
      </c>
      <c r="C138" t="inlineStr">
        <is>
          <t>C161</t>
        </is>
      </c>
      <c r="D138" s="7">
        <f>IF(SUMPRODUCT(ISNUMBER('Advanced 0-10'!D138:J138)*'Advanced Entry'!D$9:J$9)=0,"",ROUND(SUMPRODUCT(IFERROR('Advanced 0-10'!D138:J138*1,0)*'Advanced Entry'!D$9:J$9)/SUMPRODUCT(ISNUMBER('Advanced 0-10'!D138:J138)*'Advanced Entry'!D$9:J$9),1))</f>
        <v/>
      </c>
      <c r="E138" s="7">
        <f>IF(SUMPRODUCT(ISNUMBER('Advanced 0-10'!K138:O138)*'Advanced Entry'!K$9:O$9)=0,"",ROUND(SUMPRODUCT(IFERROR('Advanced 0-10'!K138:O138*1,0)*'Advanced Entry'!K$9:O$9)/SUMPRODUCT(ISNUMBER('Advanced 0-10'!K138:O138)*'Advanced Entry'!K$9:O$9),1))</f>
        <v/>
      </c>
      <c r="F138" s="7">
        <f>IF(SUMPRODUCT(ISNUMBER('Advanced 0-10'!P138:Q138)*'Advanced Entry'!P$9:Q$9)=0,"",ROUND(SUMPRODUCT(IFERROR('Advanced 0-10'!P138:Q138*1,0)*'Advanced Entry'!P$9:Q$9)/SUMPRODUCT(ISNUMBER('Advanced 0-10'!P138:Q138)*'Advanced Entry'!P$9:Q$9),1))</f>
        <v/>
      </c>
      <c r="G138" s="7">
        <f>IF(SUMPRODUCT(ISNUMBER('Advanced 0-10'!R138:S138)*'Advanced Entry'!R$9:S$9)=0,"",ROUND(SUMPRODUCT(IFERROR('Advanced 0-10'!R138:S138*1,0)*'Advanced Entry'!R$9:S$9)/SUMPRODUCT(ISNUMBER('Advanced 0-10'!R138:S138)*'Advanced Entry'!R$9:S$9),1))</f>
        <v/>
      </c>
      <c r="H138" s="7">
        <f>IF(SUMPRODUCT(ISNUMBER('Advanced 0-10'!T138:U138)*'Advanced Entry'!T$9:U$9)=0,"",ROUND(SUMPRODUCT(IFERROR('Advanced 0-10'!T138:U138*1,0)*'Advanced Entry'!T$9:U$9)/SUMPRODUCT(ISNUMBER('Advanced 0-10'!T138:U138)*'Advanced Entry'!T$9:U$9),1))</f>
        <v/>
      </c>
      <c r="I138" s="7">
        <f>IF(SUMPRODUCT(ISNUMBER('Advanced 0-10'!V138:Z138)*'Advanced Entry'!V$9:Z$9)=0,"",ROUND(SUMPRODUCT(IFERROR('Advanced 0-10'!V138:Z138*1,0)*'Advanced Entry'!V$9:Z$9)/SUMPRODUCT(ISNUMBER('Advanced 0-10'!V138:Z138)*'Advanced Entry'!V$9:Z$9),1))</f>
        <v/>
      </c>
      <c r="J138" s="7">
        <f>IF(SUMPRODUCT(ISNUMBER('Advanced 0-10'!AA138:AA138)*'Advanced Entry'!AA$9:AA$9)=0,"",ROUND(SUMPRODUCT(IFERROR('Advanced 0-10'!AA138:AA138*1,0)*'Advanced Entry'!AA$9:AA$9)/SUMPRODUCT(ISNUMBER('Advanced 0-10'!AA138:AA138)*'Advanced Entry'!AA$9:AA$9),1))</f>
        <v/>
      </c>
      <c r="K138" s="7">
        <f>IF(SUMPRODUCT(ISNUMBER('Advanced 0-10'!AB138:AB138)*'Advanced Entry'!AB$9:AB$9)=0,"",ROUND(SUMPRODUCT(IFERROR('Advanced 0-10'!AB138:AB138*1,0)*'Advanced Entry'!AB$9:AB$9)/SUMPRODUCT(ISNUMBER('Advanced 0-10'!AB138:AB138)*'Advanced Entry'!AB$9:AB$9),1))</f>
        <v/>
      </c>
      <c r="L138" s="19">
        <f>IF(SUMPRODUCT(--ISNUMBER(D138:K138))=0,"",ROUND(SUMPRODUCT(IFERROR(D138:K138*1,0))/SUMPRODUCT(--ISNUMBER(D138:K138)),1))</f>
        <v/>
      </c>
    </row>
    <row r="139">
      <c r="A139" t="inlineStr">
        <is>
          <t>Njombe</t>
        </is>
      </c>
      <c r="B139" t="inlineStr">
        <is>
          <t>Njombe District</t>
        </is>
      </c>
      <c r="C139" t="inlineStr">
        <is>
          <t>C157</t>
        </is>
      </c>
      <c r="D139" s="7">
        <f>IF(SUMPRODUCT(ISNUMBER('Advanced 0-10'!D139:J139)*'Advanced Entry'!D$9:J$9)=0,"",ROUND(SUMPRODUCT(IFERROR('Advanced 0-10'!D139:J139*1,0)*'Advanced Entry'!D$9:J$9)/SUMPRODUCT(ISNUMBER('Advanced 0-10'!D139:J139)*'Advanced Entry'!D$9:J$9),1))</f>
        <v/>
      </c>
      <c r="E139" s="7">
        <f>IF(SUMPRODUCT(ISNUMBER('Advanced 0-10'!K139:O139)*'Advanced Entry'!K$9:O$9)=0,"",ROUND(SUMPRODUCT(IFERROR('Advanced 0-10'!K139:O139*1,0)*'Advanced Entry'!K$9:O$9)/SUMPRODUCT(ISNUMBER('Advanced 0-10'!K139:O139)*'Advanced Entry'!K$9:O$9),1))</f>
        <v/>
      </c>
      <c r="F139" s="7">
        <f>IF(SUMPRODUCT(ISNUMBER('Advanced 0-10'!P139:Q139)*'Advanced Entry'!P$9:Q$9)=0,"",ROUND(SUMPRODUCT(IFERROR('Advanced 0-10'!P139:Q139*1,0)*'Advanced Entry'!P$9:Q$9)/SUMPRODUCT(ISNUMBER('Advanced 0-10'!P139:Q139)*'Advanced Entry'!P$9:Q$9),1))</f>
        <v/>
      </c>
      <c r="G139" s="7">
        <f>IF(SUMPRODUCT(ISNUMBER('Advanced 0-10'!R139:S139)*'Advanced Entry'!R$9:S$9)=0,"",ROUND(SUMPRODUCT(IFERROR('Advanced 0-10'!R139:S139*1,0)*'Advanced Entry'!R$9:S$9)/SUMPRODUCT(ISNUMBER('Advanced 0-10'!R139:S139)*'Advanced Entry'!R$9:S$9),1))</f>
        <v/>
      </c>
      <c r="H139" s="7">
        <f>IF(SUMPRODUCT(ISNUMBER('Advanced 0-10'!T139:U139)*'Advanced Entry'!T$9:U$9)=0,"",ROUND(SUMPRODUCT(IFERROR('Advanced 0-10'!T139:U139*1,0)*'Advanced Entry'!T$9:U$9)/SUMPRODUCT(ISNUMBER('Advanced 0-10'!T139:U139)*'Advanced Entry'!T$9:U$9),1))</f>
        <v/>
      </c>
      <c r="I139" s="7">
        <f>IF(SUMPRODUCT(ISNUMBER('Advanced 0-10'!V139:Z139)*'Advanced Entry'!V$9:Z$9)=0,"",ROUND(SUMPRODUCT(IFERROR('Advanced 0-10'!V139:Z139*1,0)*'Advanced Entry'!V$9:Z$9)/SUMPRODUCT(ISNUMBER('Advanced 0-10'!V139:Z139)*'Advanced Entry'!V$9:Z$9),1))</f>
        <v/>
      </c>
      <c r="J139" s="7">
        <f>IF(SUMPRODUCT(ISNUMBER('Advanced 0-10'!AA139:AA139)*'Advanced Entry'!AA$9:AA$9)=0,"",ROUND(SUMPRODUCT(IFERROR('Advanced 0-10'!AA139:AA139*1,0)*'Advanced Entry'!AA$9:AA$9)/SUMPRODUCT(ISNUMBER('Advanced 0-10'!AA139:AA139)*'Advanced Entry'!AA$9:AA$9),1))</f>
        <v/>
      </c>
      <c r="K139" s="7">
        <f>IF(SUMPRODUCT(ISNUMBER('Advanced 0-10'!AB139:AB139)*'Advanced Entry'!AB$9:AB$9)=0,"",ROUND(SUMPRODUCT(IFERROR('Advanced 0-10'!AB139:AB139*1,0)*'Advanced Entry'!AB$9:AB$9)/SUMPRODUCT(ISNUMBER('Advanced 0-10'!AB139:AB139)*'Advanced Entry'!AB$9:AB$9),1))</f>
        <v/>
      </c>
      <c r="L139" s="19">
        <f>IF(SUMPRODUCT(--ISNUMBER(D139:K139))=0,"",ROUND(SUMPRODUCT(IFERROR(D139:K139*1,0))/SUMPRODUCT(--ISNUMBER(D139:K139)),1))</f>
        <v/>
      </c>
    </row>
    <row r="140">
      <c r="A140" t="inlineStr">
        <is>
          <t>Njombe</t>
        </is>
      </c>
      <c r="B140" t="inlineStr">
        <is>
          <t>Njombe Town</t>
        </is>
      </c>
      <c r="C140" t="inlineStr">
        <is>
          <t>C158</t>
        </is>
      </c>
      <c r="D140" s="7">
        <f>IF(SUMPRODUCT(ISNUMBER('Advanced 0-10'!D140:J140)*'Advanced Entry'!D$9:J$9)=0,"",ROUND(SUMPRODUCT(IFERROR('Advanced 0-10'!D140:J140*1,0)*'Advanced Entry'!D$9:J$9)/SUMPRODUCT(ISNUMBER('Advanced 0-10'!D140:J140)*'Advanced Entry'!D$9:J$9),1))</f>
        <v/>
      </c>
      <c r="E140" s="7">
        <f>IF(SUMPRODUCT(ISNUMBER('Advanced 0-10'!K140:O140)*'Advanced Entry'!K$9:O$9)=0,"",ROUND(SUMPRODUCT(IFERROR('Advanced 0-10'!K140:O140*1,0)*'Advanced Entry'!K$9:O$9)/SUMPRODUCT(ISNUMBER('Advanced 0-10'!K140:O140)*'Advanced Entry'!K$9:O$9),1))</f>
        <v/>
      </c>
      <c r="F140" s="7">
        <f>IF(SUMPRODUCT(ISNUMBER('Advanced 0-10'!P140:Q140)*'Advanced Entry'!P$9:Q$9)=0,"",ROUND(SUMPRODUCT(IFERROR('Advanced 0-10'!P140:Q140*1,0)*'Advanced Entry'!P$9:Q$9)/SUMPRODUCT(ISNUMBER('Advanced 0-10'!P140:Q140)*'Advanced Entry'!P$9:Q$9),1))</f>
        <v/>
      </c>
      <c r="G140" s="7">
        <f>IF(SUMPRODUCT(ISNUMBER('Advanced 0-10'!R140:S140)*'Advanced Entry'!R$9:S$9)=0,"",ROUND(SUMPRODUCT(IFERROR('Advanced 0-10'!R140:S140*1,0)*'Advanced Entry'!R$9:S$9)/SUMPRODUCT(ISNUMBER('Advanced 0-10'!R140:S140)*'Advanced Entry'!R$9:S$9),1))</f>
        <v/>
      </c>
      <c r="H140" s="7">
        <f>IF(SUMPRODUCT(ISNUMBER('Advanced 0-10'!T140:U140)*'Advanced Entry'!T$9:U$9)=0,"",ROUND(SUMPRODUCT(IFERROR('Advanced 0-10'!T140:U140*1,0)*'Advanced Entry'!T$9:U$9)/SUMPRODUCT(ISNUMBER('Advanced 0-10'!T140:U140)*'Advanced Entry'!T$9:U$9),1))</f>
        <v/>
      </c>
      <c r="I140" s="7">
        <f>IF(SUMPRODUCT(ISNUMBER('Advanced 0-10'!V140:Z140)*'Advanced Entry'!V$9:Z$9)=0,"",ROUND(SUMPRODUCT(IFERROR('Advanced 0-10'!V140:Z140*1,0)*'Advanced Entry'!V$9:Z$9)/SUMPRODUCT(ISNUMBER('Advanced 0-10'!V140:Z140)*'Advanced Entry'!V$9:Z$9),1))</f>
        <v/>
      </c>
      <c r="J140" s="7">
        <f>IF(SUMPRODUCT(ISNUMBER('Advanced 0-10'!AA140:AA140)*'Advanced Entry'!AA$9:AA$9)=0,"",ROUND(SUMPRODUCT(IFERROR('Advanced 0-10'!AA140:AA140*1,0)*'Advanced Entry'!AA$9:AA$9)/SUMPRODUCT(ISNUMBER('Advanced 0-10'!AA140:AA140)*'Advanced Entry'!AA$9:AA$9),1))</f>
        <v/>
      </c>
      <c r="K140" s="7">
        <f>IF(SUMPRODUCT(ISNUMBER('Advanced 0-10'!AB140:AB140)*'Advanced Entry'!AB$9:AB$9)=0,"",ROUND(SUMPRODUCT(IFERROR('Advanced 0-10'!AB140:AB140*1,0)*'Advanced Entry'!AB$9:AB$9)/SUMPRODUCT(ISNUMBER('Advanced 0-10'!AB140:AB140)*'Advanced Entry'!AB$9:AB$9),1))</f>
        <v/>
      </c>
      <c r="L140" s="19">
        <f>IF(SUMPRODUCT(--ISNUMBER(D140:K140))=0,"",ROUND(SUMPRODUCT(IFERROR(D140:K140*1,0))/SUMPRODUCT(--ISNUMBER(D140:K140)),1))</f>
        <v/>
      </c>
    </row>
    <row r="141">
      <c r="A141" t="inlineStr">
        <is>
          <t>Njombe</t>
        </is>
      </c>
      <c r="B141" t="inlineStr">
        <is>
          <t>Wanging'Ombe District</t>
        </is>
      </c>
      <c r="C141" t="inlineStr">
        <is>
          <t>C162</t>
        </is>
      </c>
      <c r="D141" s="7">
        <f>IF(SUMPRODUCT(ISNUMBER('Advanced 0-10'!D141:J141)*'Advanced Entry'!D$9:J$9)=0,"",ROUND(SUMPRODUCT(IFERROR('Advanced 0-10'!D141:J141*1,0)*'Advanced Entry'!D$9:J$9)/SUMPRODUCT(ISNUMBER('Advanced 0-10'!D141:J141)*'Advanced Entry'!D$9:J$9),1))</f>
        <v/>
      </c>
      <c r="E141" s="7">
        <f>IF(SUMPRODUCT(ISNUMBER('Advanced 0-10'!K141:O141)*'Advanced Entry'!K$9:O$9)=0,"",ROUND(SUMPRODUCT(IFERROR('Advanced 0-10'!K141:O141*1,0)*'Advanced Entry'!K$9:O$9)/SUMPRODUCT(ISNUMBER('Advanced 0-10'!K141:O141)*'Advanced Entry'!K$9:O$9),1))</f>
        <v/>
      </c>
      <c r="F141" s="7">
        <f>IF(SUMPRODUCT(ISNUMBER('Advanced 0-10'!P141:Q141)*'Advanced Entry'!P$9:Q$9)=0,"",ROUND(SUMPRODUCT(IFERROR('Advanced 0-10'!P141:Q141*1,0)*'Advanced Entry'!P$9:Q$9)/SUMPRODUCT(ISNUMBER('Advanced 0-10'!P141:Q141)*'Advanced Entry'!P$9:Q$9),1))</f>
        <v/>
      </c>
      <c r="G141" s="7">
        <f>IF(SUMPRODUCT(ISNUMBER('Advanced 0-10'!R141:S141)*'Advanced Entry'!R$9:S$9)=0,"",ROUND(SUMPRODUCT(IFERROR('Advanced 0-10'!R141:S141*1,0)*'Advanced Entry'!R$9:S$9)/SUMPRODUCT(ISNUMBER('Advanced 0-10'!R141:S141)*'Advanced Entry'!R$9:S$9),1))</f>
        <v/>
      </c>
      <c r="H141" s="7">
        <f>IF(SUMPRODUCT(ISNUMBER('Advanced 0-10'!T141:U141)*'Advanced Entry'!T$9:U$9)=0,"",ROUND(SUMPRODUCT(IFERROR('Advanced 0-10'!T141:U141*1,0)*'Advanced Entry'!T$9:U$9)/SUMPRODUCT(ISNUMBER('Advanced 0-10'!T141:U141)*'Advanced Entry'!T$9:U$9),1))</f>
        <v/>
      </c>
      <c r="I141" s="7">
        <f>IF(SUMPRODUCT(ISNUMBER('Advanced 0-10'!V141:Z141)*'Advanced Entry'!V$9:Z$9)=0,"",ROUND(SUMPRODUCT(IFERROR('Advanced 0-10'!V141:Z141*1,0)*'Advanced Entry'!V$9:Z$9)/SUMPRODUCT(ISNUMBER('Advanced 0-10'!V141:Z141)*'Advanced Entry'!V$9:Z$9),1))</f>
        <v/>
      </c>
      <c r="J141" s="7">
        <f>IF(SUMPRODUCT(ISNUMBER('Advanced 0-10'!AA141:AA141)*'Advanced Entry'!AA$9:AA$9)=0,"",ROUND(SUMPRODUCT(IFERROR('Advanced 0-10'!AA141:AA141*1,0)*'Advanced Entry'!AA$9:AA$9)/SUMPRODUCT(ISNUMBER('Advanced 0-10'!AA141:AA141)*'Advanced Entry'!AA$9:AA$9),1))</f>
        <v/>
      </c>
      <c r="K141" s="7">
        <f>IF(SUMPRODUCT(ISNUMBER('Advanced 0-10'!AB141:AB141)*'Advanced Entry'!AB$9:AB$9)=0,"",ROUND(SUMPRODUCT(IFERROR('Advanced 0-10'!AB141:AB141*1,0)*'Advanced Entry'!AB$9:AB$9)/SUMPRODUCT(ISNUMBER('Advanced 0-10'!AB141:AB141)*'Advanced Entry'!AB$9:AB$9),1))</f>
        <v/>
      </c>
      <c r="L141" s="19">
        <f>IF(SUMPRODUCT(--ISNUMBER(D141:K141))=0,"",ROUND(SUMPRODUCT(IFERROR(D141:K141*1,0))/SUMPRODUCT(--ISNUMBER(D141:K141)),1))</f>
        <v/>
      </c>
    </row>
    <row r="142">
      <c r="A142" t="inlineStr">
        <is>
          <t>Pwani</t>
        </is>
      </c>
      <c r="B142" t="inlineStr">
        <is>
          <t>Bagamoyo District</t>
        </is>
      </c>
      <c r="C142" t="inlineStr">
        <is>
          <t>C043</t>
        </is>
      </c>
      <c r="D142" s="7">
        <f>IF(SUMPRODUCT(ISNUMBER('Advanced 0-10'!D142:J142)*'Advanced Entry'!D$9:J$9)=0,"",ROUND(SUMPRODUCT(IFERROR('Advanced 0-10'!D142:J142*1,0)*'Advanced Entry'!D$9:J$9)/SUMPRODUCT(ISNUMBER('Advanced 0-10'!D142:J142)*'Advanced Entry'!D$9:J$9),1))</f>
        <v/>
      </c>
      <c r="E142" s="7">
        <f>IF(SUMPRODUCT(ISNUMBER('Advanced 0-10'!K142:O142)*'Advanced Entry'!K$9:O$9)=0,"",ROUND(SUMPRODUCT(IFERROR('Advanced 0-10'!K142:O142*1,0)*'Advanced Entry'!K$9:O$9)/SUMPRODUCT(ISNUMBER('Advanced 0-10'!K142:O142)*'Advanced Entry'!K$9:O$9),1))</f>
        <v/>
      </c>
      <c r="F142" s="7">
        <f>IF(SUMPRODUCT(ISNUMBER('Advanced 0-10'!P142:Q142)*'Advanced Entry'!P$9:Q$9)=0,"",ROUND(SUMPRODUCT(IFERROR('Advanced 0-10'!P142:Q142*1,0)*'Advanced Entry'!P$9:Q$9)/SUMPRODUCT(ISNUMBER('Advanced 0-10'!P142:Q142)*'Advanced Entry'!P$9:Q$9),1))</f>
        <v/>
      </c>
      <c r="G142" s="7">
        <f>IF(SUMPRODUCT(ISNUMBER('Advanced 0-10'!R142:S142)*'Advanced Entry'!R$9:S$9)=0,"",ROUND(SUMPRODUCT(IFERROR('Advanced 0-10'!R142:S142*1,0)*'Advanced Entry'!R$9:S$9)/SUMPRODUCT(ISNUMBER('Advanced 0-10'!R142:S142)*'Advanced Entry'!R$9:S$9),1))</f>
        <v/>
      </c>
      <c r="H142" s="7">
        <f>IF(SUMPRODUCT(ISNUMBER('Advanced 0-10'!T142:U142)*'Advanced Entry'!T$9:U$9)=0,"",ROUND(SUMPRODUCT(IFERROR('Advanced 0-10'!T142:U142*1,0)*'Advanced Entry'!T$9:U$9)/SUMPRODUCT(ISNUMBER('Advanced 0-10'!T142:U142)*'Advanced Entry'!T$9:U$9),1))</f>
        <v/>
      </c>
      <c r="I142" s="7">
        <f>IF(SUMPRODUCT(ISNUMBER('Advanced 0-10'!V142:Z142)*'Advanced Entry'!V$9:Z$9)=0,"",ROUND(SUMPRODUCT(IFERROR('Advanced 0-10'!V142:Z142*1,0)*'Advanced Entry'!V$9:Z$9)/SUMPRODUCT(ISNUMBER('Advanced 0-10'!V142:Z142)*'Advanced Entry'!V$9:Z$9),1))</f>
        <v/>
      </c>
      <c r="J142" s="7">
        <f>IF(SUMPRODUCT(ISNUMBER('Advanced 0-10'!AA142:AA142)*'Advanced Entry'!AA$9:AA$9)=0,"",ROUND(SUMPRODUCT(IFERROR('Advanced 0-10'!AA142:AA142*1,0)*'Advanced Entry'!AA$9:AA$9)/SUMPRODUCT(ISNUMBER('Advanced 0-10'!AA142:AA142)*'Advanced Entry'!AA$9:AA$9),1))</f>
        <v/>
      </c>
      <c r="K142" s="7">
        <f>IF(SUMPRODUCT(ISNUMBER('Advanced 0-10'!AB142:AB142)*'Advanced Entry'!AB$9:AB$9)=0,"",ROUND(SUMPRODUCT(IFERROR('Advanced 0-10'!AB142:AB142*1,0)*'Advanced Entry'!AB$9:AB$9)/SUMPRODUCT(ISNUMBER('Advanced 0-10'!AB142:AB142)*'Advanced Entry'!AB$9:AB$9),1))</f>
        <v/>
      </c>
      <c r="L142" s="19">
        <f>IF(SUMPRODUCT(--ISNUMBER(D142:K142))=0,"",ROUND(SUMPRODUCT(IFERROR(D142:K142*1,0))/SUMPRODUCT(--ISNUMBER(D142:K142)),1))</f>
        <v/>
      </c>
    </row>
    <row r="143">
      <c r="A143" t="inlineStr">
        <is>
          <t>Pwani</t>
        </is>
      </c>
      <c r="B143" t="inlineStr">
        <is>
          <t>Chalinze District</t>
        </is>
      </c>
      <c r="C143" t="inlineStr">
        <is>
          <t>C044</t>
        </is>
      </c>
      <c r="D143" s="7">
        <f>IF(SUMPRODUCT(ISNUMBER('Advanced 0-10'!D143:J143)*'Advanced Entry'!D$9:J$9)=0,"",ROUND(SUMPRODUCT(IFERROR('Advanced 0-10'!D143:J143*1,0)*'Advanced Entry'!D$9:J$9)/SUMPRODUCT(ISNUMBER('Advanced 0-10'!D143:J143)*'Advanced Entry'!D$9:J$9),1))</f>
        <v/>
      </c>
      <c r="E143" s="7">
        <f>IF(SUMPRODUCT(ISNUMBER('Advanced 0-10'!K143:O143)*'Advanced Entry'!K$9:O$9)=0,"",ROUND(SUMPRODUCT(IFERROR('Advanced 0-10'!K143:O143*1,0)*'Advanced Entry'!K$9:O$9)/SUMPRODUCT(ISNUMBER('Advanced 0-10'!K143:O143)*'Advanced Entry'!K$9:O$9),1))</f>
        <v/>
      </c>
      <c r="F143" s="7">
        <f>IF(SUMPRODUCT(ISNUMBER('Advanced 0-10'!P143:Q143)*'Advanced Entry'!P$9:Q$9)=0,"",ROUND(SUMPRODUCT(IFERROR('Advanced 0-10'!P143:Q143*1,0)*'Advanced Entry'!P$9:Q$9)/SUMPRODUCT(ISNUMBER('Advanced 0-10'!P143:Q143)*'Advanced Entry'!P$9:Q$9),1))</f>
        <v/>
      </c>
      <c r="G143" s="7">
        <f>IF(SUMPRODUCT(ISNUMBER('Advanced 0-10'!R143:S143)*'Advanced Entry'!R$9:S$9)=0,"",ROUND(SUMPRODUCT(IFERROR('Advanced 0-10'!R143:S143*1,0)*'Advanced Entry'!R$9:S$9)/SUMPRODUCT(ISNUMBER('Advanced 0-10'!R143:S143)*'Advanced Entry'!R$9:S$9),1))</f>
        <v/>
      </c>
      <c r="H143" s="7">
        <f>IF(SUMPRODUCT(ISNUMBER('Advanced 0-10'!T143:U143)*'Advanced Entry'!T$9:U$9)=0,"",ROUND(SUMPRODUCT(IFERROR('Advanced 0-10'!T143:U143*1,0)*'Advanced Entry'!T$9:U$9)/SUMPRODUCT(ISNUMBER('Advanced 0-10'!T143:U143)*'Advanced Entry'!T$9:U$9),1))</f>
        <v/>
      </c>
      <c r="I143" s="7">
        <f>IF(SUMPRODUCT(ISNUMBER('Advanced 0-10'!V143:Z143)*'Advanced Entry'!V$9:Z$9)=0,"",ROUND(SUMPRODUCT(IFERROR('Advanced 0-10'!V143:Z143*1,0)*'Advanced Entry'!V$9:Z$9)/SUMPRODUCT(ISNUMBER('Advanced 0-10'!V143:Z143)*'Advanced Entry'!V$9:Z$9),1))</f>
        <v/>
      </c>
      <c r="J143" s="7">
        <f>IF(SUMPRODUCT(ISNUMBER('Advanced 0-10'!AA143:AA143)*'Advanced Entry'!AA$9:AA$9)=0,"",ROUND(SUMPRODUCT(IFERROR('Advanced 0-10'!AA143:AA143*1,0)*'Advanced Entry'!AA$9:AA$9)/SUMPRODUCT(ISNUMBER('Advanced 0-10'!AA143:AA143)*'Advanced Entry'!AA$9:AA$9),1))</f>
        <v/>
      </c>
      <c r="K143" s="7">
        <f>IF(SUMPRODUCT(ISNUMBER('Advanced 0-10'!AB143:AB143)*'Advanced Entry'!AB$9:AB$9)=0,"",ROUND(SUMPRODUCT(IFERROR('Advanced 0-10'!AB143:AB143*1,0)*'Advanced Entry'!AB$9:AB$9)/SUMPRODUCT(ISNUMBER('Advanced 0-10'!AB143:AB143)*'Advanced Entry'!AB$9:AB$9),1))</f>
        <v/>
      </c>
      <c r="L143" s="19">
        <f>IF(SUMPRODUCT(--ISNUMBER(D143:K143))=0,"",ROUND(SUMPRODUCT(IFERROR(D143:K143*1,0))/SUMPRODUCT(--ISNUMBER(D143:K143)),1))</f>
        <v/>
      </c>
    </row>
    <row r="144">
      <c r="A144" t="inlineStr">
        <is>
          <t>Pwani</t>
        </is>
      </c>
      <c r="B144" t="inlineStr">
        <is>
          <t>Kibaha District</t>
        </is>
      </c>
      <c r="C144" t="inlineStr">
        <is>
          <t>C045</t>
        </is>
      </c>
      <c r="D144" s="7">
        <f>IF(SUMPRODUCT(ISNUMBER('Advanced 0-10'!D144:J144)*'Advanced Entry'!D$9:J$9)=0,"",ROUND(SUMPRODUCT(IFERROR('Advanced 0-10'!D144:J144*1,0)*'Advanced Entry'!D$9:J$9)/SUMPRODUCT(ISNUMBER('Advanced 0-10'!D144:J144)*'Advanced Entry'!D$9:J$9),1))</f>
        <v/>
      </c>
      <c r="E144" s="7">
        <f>IF(SUMPRODUCT(ISNUMBER('Advanced 0-10'!K144:O144)*'Advanced Entry'!K$9:O$9)=0,"",ROUND(SUMPRODUCT(IFERROR('Advanced 0-10'!K144:O144*1,0)*'Advanced Entry'!K$9:O$9)/SUMPRODUCT(ISNUMBER('Advanced 0-10'!K144:O144)*'Advanced Entry'!K$9:O$9),1))</f>
        <v/>
      </c>
      <c r="F144" s="7">
        <f>IF(SUMPRODUCT(ISNUMBER('Advanced 0-10'!P144:Q144)*'Advanced Entry'!P$9:Q$9)=0,"",ROUND(SUMPRODUCT(IFERROR('Advanced 0-10'!P144:Q144*1,0)*'Advanced Entry'!P$9:Q$9)/SUMPRODUCT(ISNUMBER('Advanced 0-10'!P144:Q144)*'Advanced Entry'!P$9:Q$9),1))</f>
        <v/>
      </c>
      <c r="G144" s="7">
        <f>IF(SUMPRODUCT(ISNUMBER('Advanced 0-10'!R144:S144)*'Advanced Entry'!R$9:S$9)=0,"",ROUND(SUMPRODUCT(IFERROR('Advanced 0-10'!R144:S144*1,0)*'Advanced Entry'!R$9:S$9)/SUMPRODUCT(ISNUMBER('Advanced 0-10'!R144:S144)*'Advanced Entry'!R$9:S$9),1))</f>
        <v/>
      </c>
      <c r="H144" s="7">
        <f>IF(SUMPRODUCT(ISNUMBER('Advanced 0-10'!T144:U144)*'Advanced Entry'!T$9:U$9)=0,"",ROUND(SUMPRODUCT(IFERROR('Advanced 0-10'!T144:U144*1,0)*'Advanced Entry'!T$9:U$9)/SUMPRODUCT(ISNUMBER('Advanced 0-10'!T144:U144)*'Advanced Entry'!T$9:U$9),1))</f>
        <v/>
      </c>
      <c r="I144" s="7">
        <f>IF(SUMPRODUCT(ISNUMBER('Advanced 0-10'!V144:Z144)*'Advanced Entry'!V$9:Z$9)=0,"",ROUND(SUMPRODUCT(IFERROR('Advanced 0-10'!V144:Z144*1,0)*'Advanced Entry'!V$9:Z$9)/SUMPRODUCT(ISNUMBER('Advanced 0-10'!V144:Z144)*'Advanced Entry'!V$9:Z$9),1))</f>
        <v/>
      </c>
      <c r="J144" s="7">
        <f>IF(SUMPRODUCT(ISNUMBER('Advanced 0-10'!AA144:AA144)*'Advanced Entry'!AA$9:AA$9)=0,"",ROUND(SUMPRODUCT(IFERROR('Advanced 0-10'!AA144:AA144*1,0)*'Advanced Entry'!AA$9:AA$9)/SUMPRODUCT(ISNUMBER('Advanced 0-10'!AA144:AA144)*'Advanced Entry'!AA$9:AA$9),1))</f>
        <v/>
      </c>
      <c r="K144" s="7">
        <f>IF(SUMPRODUCT(ISNUMBER('Advanced 0-10'!AB144:AB144)*'Advanced Entry'!AB$9:AB$9)=0,"",ROUND(SUMPRODUCT(IFERROR('Advanced 0-10'!AB144:AB144*1,0)*'Advanced Entry'!AB$9:AB$9)/SUMPRODUCT(ISNUMBER('Advanced 0-10'!AB144:AB144)*'Advanced Entry'!AB$9:AB$9),1))</f>
        <v/>
      </c>
      <c r="L144" s="19">
        <f>IF(SUMPRODUCT(--ISNUMBER(D144:K144))=0,"",ROUND(SUMPRODUCT(IFERROR(D144:K144*1,0))/SUMPRODUCT(--ISNUMBER(D144:K144)),1))</f>
        <v/>
      </c>
    </row>
    <row r="145">
      <c r="A145" t="inlineStr">
        <is>
          <t>Pwani</t>
        </is>
      </c>
      <c r="B145" t="inlineStr">
        <is>
          <t>Kibaha Town</t>
        </is>
      </c>
      <c r="C145" t="inlineStr">
        <is>
          <t>C046</t>
        </is>
      </c>
      <c r="D145" s="7">
        <f>IF(SUMPRODUCT(ISNUMBER('Advanced 0-10'!D145:J145)*'Advanced Entry'!D$9:J$9)=0,"",ROUND(SUMPRODUCT(IFERROR('Advanced 0-10'!D145:J145*1,0)*'Advanced Entry'!D$9:J$9)/SUMPRODUCT(ISNUMBER('Advanced 0-10'!D145:J145)*'Advanced Entry'!D$9:J$9),1))</f>
        <v/>
      </c>
      <c r="E145" s="7">
        <f>IF(SUMPRODUCT(ISNUMBER('Advanced 0-10'!K145:O145)*'Advanced Entry'!K$9:O$9)=0,"",ROUND(SUMPRODUCT(IFERROR('Advanced 0-10'!K145:O145*1,0)*'Advanced Entry'!K$9:O$9)/SUMPRODUCT(ISNUMBER('Advanced 0-10'!K145:O145)*'Advanced Entry'!K$9:O$9),1))</f>
        <v/>
      </c>
      <c r="F145" s="7">
        <f>IF(SUMPRODUCT(ISNUMBER('Advanced 0-10'!P145:Q145)*'Advanced Entry'!P$9:Q$9)=0,"",ROUND(SUMPRODUCT(IFERROR('Advanced 0-10'!P145:Q145*1,0)*'Advanced Entry'!P$9:Q$9)/SUMPRODUCT(ISNUMBER('Advanced 0-10'!P145:Q145)*'Advanced Entry'!P$9:Q$9),1))</f>
        <v/>
      </c>
      <c r="G145" s="7">
        <f>IF(SUMPRODUCT(ISNUMBER('Advanced 0-10'!R145:S145)*'Advanced Entry'!R$9:S$9)=0,"",ROUND(SUMPRODUCT(IFERROR('Advanced 0-10'!R145:S145*1,0)*'Advanced Entry'!R$9:S$9)/SUMPRODUCT(ISNUMBER('Advanced 0-10'!R145:S145)*'Advanced Entry'!R$9:S$9),1))</f>
        <v/>
      </c>
      <c r="H145" s="7">
        <f>IF(SUMPRODUCT(ISNUMBER('Advanced 0-10'!T145:U145)*'Advanced Entry'!T$9:U$9)=0,"",ROUND(SUMPRODUCT(IFERROR('Advanced 0-10'!T145:U145*1,0)*'Advanced Entry'!T$9:U$9)/SUMPRODUCT(ISNUMBER('Advanced 0-10'!T145:U145)*'Advanced Entry'!T$9:U$9),1))</f>
        <v/>
      </c>
      <c r="I145" s="7">
        <f>IF(SUMPRODUCT(ISNUMBER('Advanced 0-10'!V145:Z145)*'Advanced Entry'!V$9:Z$9)=0,"",ROUND(SUMPRODUCT(IFERROR('Advanced 0-10'!V145:Z145*1,0)*'Advanced Entry'!V$9:Z$9)/SUMPRODUCT(ISNUMBER('Advanced 0-10'!V145:Z145)*'Advanced Entry'!V$9:Z$9),1))</f>
        <v/>
      </c>
      <c r="J145" s="7">
        <f>IF(SUMPRODUCT(ISNUMBER('Advanced 0-10'!AA145:AA145)*'Advanced Entry'!AA$9:AA$9)=0,"",ROUND(SUMPRODUCT(IFERROR('Advanced 0-10'!AA145:AA145*1,0)*'Advanced Entry'!AA$9:AA$9)/SUMPRODUCT(ISNUMBER('Advanced 0-10'!AA145:AA145)*'Advanced Entry'!AA$9:AA$9),1))</f>
        <v/>
      </c>
      <c r="K145" s="7">
        <f>IF(SUMPRODUCT(ISNUMBER('Advanced 0-10'!AB145:AB145)*'Advanced Entry'!AB$9:AB$9)=0,"",ROUND(SUMPRODUCT(IFERROR('Advanced 0-10'!AB145:AB145*1,0)*'Advanced Entry'!AB$9:AB$9)/SUMPRODUCT(ISNUMBER('Advanced 0-10'!AB145:AB145)*'Advanced Entry'!AB$9:AB$9),1))</f>
        <v/>
      </c>
      <c r="L145" s="19">
        <f>IF(SUMPRODUCT(--ISNUMBER(D145:K145))=0,"",ROUND(SUMPRODUCT(IFERROR(D145:K145*1,0))/SUMPRODUCT(--ISNUMBER(D145:K145)),1))</f>
        <v/>
      </c>
    </row>
    <row r="146">
      <c r="A146" t="inlineStr">
        <is>
          <t>Pwani</t>
        </is>
      </c>
      <c r="B146" t="inlineStr">
        <is>
          <t>Kibiti District</t>
        </is>
      </c>
      <c r="C146" t="inlineStr">
        <is>
          <t>C051</t>
        </is>
      </c>
      <c r="D146" s="7">
        <f>IF(SUMPRODUCT(ISNUMBER('Advanced 0-10'!D146:J146)*'Advanced Entry'!D$9:J$9)=0,"",ROUND(SUMPRODUCT(IFERROR('Advanced 0-10'!D146:J146*1,0)*'Advanced Entry'!D$9:J$9)/SUMPRODUCT(ISNUMBER('Advanced 0-10'!D146:J146)*'Advanced Entry'!D$9:J$9),1))</f>
        <v/>
      </c>
      <c r="E146" s="7">
        <f>IF(SUMPRODUCT(ISNUMBER('Advanced 0-10'!K146:O146)*'Advanced Entry'!K$9:O$9)=0,"",ROUND(SUMPRODUCT(IFERROR('Advanced 0-10'!K146:O146*1,0)*'Advanced Entry'!K$9:O$9)/SUMPRODUCT(ISNUMBER('Advanced 0-10'!K146:O146)*'Advanced Entry'!K$9:O$9),1))</f>
        <v/>
      </c>
      <c r="F146" s="7">
        <f>IF(SUMPRODUCT(ISNUMBER('Advanced 0-10'!P146:Q146)*'Advanced Entry'!P$9:Q$9)=0,"",ROUND(SUMPRODUCT(IFERROR('Advanced 0-10'!P146:Q146*1,0)*'Advanced Entry'!P$9:Q$9)/SUMPRODUCT(ISNUMBER('Advanced 0-10'!P146:Q146)*'Advanced Entry'!P$9:Q$9),1))</f>
        <v/>
      </c>
      <c r="G146" s="7">
        <f>IF(SUMPRODUCT(ISNUMBER('Advanced 0-10'!R146:S146)*'Advanced Entry'!R$9:S$9)=0,"",ROUND(SUMPRODUCT(IFERROR('Advanced 0-10'!R146:S146*1,0)*'Advanced Entry'!R$9:S$9)/SUMPRODUCT(ISNUMBER('Advanced 0-10'!R146:S146)*'Advanced Entry'!R$9:S$9),1))</f>
        <v/>
      </c>
      <c r="H146" s="7">
        <f>IF(SUMPRODUCT(ISNUMBER('Advanced 0-10'!T146:U146)*'Advanced Entry'!T$9:U$9)=0,"",ROUND(SUMPRODUCT(IFERROR('Advanced 0-10'!T146:U146*1,0)*'Advanced Entry'!T$9:U$9)/SUMPRODUCT(ISNUMBER('Advanced 0-10'!T146:U146)*'Advanced Entry'!T$9:U$9),1))</f>
        <v/>
      </c>
      <c r="I146" s="7">
        <f>IF(SUMPRODUCT(ISNUMBER('Advanced 0-10'!V146:Z146)*'Advanced Entry'!V$9:Z$9)=0,"",ROUND(SUMPRODUCT(IFERROR('Advanced 0-10'!V146:Z146*1,0)*'Advanced Entry'!V$9:Z$9)/SUMPRODUCT(ISNUMBER('Advanced 0-10'!V146:Z146)*'Advanced Entry'!V$9:Z$9),1))</f>
        <v/>
      </c>
      <c r="J146" s="7">
        <f>IF(SUMPRODUCT(ISNUMBER('Advanced 0-10'!AA146:AA146)*'Advanced Entry'!AA$9:AA$9)=0,"",ROUND(SUMPRODUCT(IFERROR('Advanced 0-10'!AA146:AA146*1,0)*'Advanced Entry'!AA$9:AA$9)/SUMPRODUCT(ISNUMBER('Advanced 0-10'!AA146:AA146)*'Advanced Entry'!AA$9:AA$9),1))</f>
        <v/>
      </c>
      <c r="K146" s="7">
        <f>IF(SUMPRODUCT(ISNUMBER('Advanced 0-10'!AB146:AB146)*'Advanced Entry'!AB$9:AB$9)=0,"",ROUND(SUMPRODUCT(IFERROR('Advanced 0-10'!AB146:AB146*1,0)*'Advanced Entry'!AB$9:AB$9)/SUMPRODUCT(ISNUMBER('Advanced 0-10'!AB146:AB146)*'Advanced Entry'!AB$9:AB$9),1))</f>
        <v/>
      </c>
      <c r="L146" s="19">
        <f>IF(SUMPRODUCT(--ISNUMBER(D146:K146))=0,"",ROUND(SUMPRODUCT(IFERROR(D146:K146*1,0))/SUMPRODUCT(--ISNUMBER(D146:K146)),1))</f>
        <v/>
      </c>
    </row>
    <row r="147">
      <c r="A147" t="inlineStr">
        <is>
          <t>Pwani</t>
        </is>
      </c>
      <c r="B147" t="inlineStr">
        <is>
          <t>Kisarawe District</t>
        </is>
      </c>
      <c r="C147" t="inlineStr">
        <is>
          <t>C047</t>
        </is>
      </c>
      <c r="D147" s="7">
        <f>IF(SUMPRODUCT(ISNUMBER('Advanced 0-10'!D147:J147)*'Advanced Entry'!D$9:J$9)=0,"",ROUND(SUMPRODUCT(IFERROR('Advanced 0-10'!D147:J147*1,0)*'Advanced Entry'!D$9:J$9)/SUMPRODUCT(ISNUMBER('Advanced 0-10'!D147:J147)*'Advanced Entry'!D$9:J$9),1))</f>
        <v/>
      </c>
      <c r="E147" s="7">
        <f>IF(SUMPRODUCT(ISNUMBER('Advanced 0-10'!K147:O147)*'Advanced Entry'!K$9:O$9)=0,"",ROUND(SUMPRODUCT(IFERROR('Advanced 0-10'!K147:O147*1,0)*'Advanced Entry'!K$9:O$9)/SUMPRODUCT(ISNUMBER('Advanced 0-10'!K147:O147)*'Advanced Entry'!K$9:O$9),1))</f>
        <v/>
      </c>
      <c r="F147" s="7">
        <f>IF(SUMPRODUCT(ISNUMBER('Advanced 0-10'!P147:Q147)*'Advanced Entry'!P$9:Q$9)=0,"",ROUND(SUMPRODUCT(IFERROR('Advanced 0-10'!P147:Q147*1,0)*'Advanced Entry'!P$9:Q$9)/SUMPRODUCT(ISNUMBER('Advanced 0-10'!P147:Q147)*'Advanced Entry'!P$9:Q$9),1))</f>
        <v/>
      </c>
      <c r="G147" s="7">
        <f>IF(SUMPRODUCT(ISNUMBER('Advanced 0-10'!R147:S147)*'Advanced Entry'!R$9:S$9)=0,"",ROUND(SUMPRODUCT(IFERROR('Advanced 0-10'!R147:S147*1,0)*'Advanced Entry'!R$9:S$9)/SUMPRODUCT(ISNUMBER('Advanced 0-10'!R147:S147)*'Advanced Entry'!R$9:S$9),1))</f>
        <v/>
      </c>
      <c r="H147" s="7">
        <f>IF(SUMPRODUCT(ISNUMBER('Advanced 0-10'!T147:U147)*'Advanced Entry'!T$9:U$9)=0,"",ROUND(SUMPRODUCT(IFERROR('Advanced 0-10'!T147:U147*1,0)*'Advanced Entry'!T$9:U$9)/SUMPRODUCT(ISNUMBER('Advanced 0-10'!T147:U147)*'Advanced Entry'!T$9:U$9),1))</f>
        <v/>
      </c>
      <c r="I147" s="7">
        <f>IF(SUMPRODUCT(ISNUMBER('Advanced 0-10'!V147:Z147)*'Advanced Entry'!V$9:Z$9)=0,"",ROUND(SUMPRODUCT(IFERROR('Advanced 0-10'!V147:Z147*1,0)*'Advanced Entry'!V$9:Z$9)/SUMPRODUCT(ISNUMBER('Advanced 0-10'!V147:Z147)*'Advanced Entry'!V$9:Z$9),1))</f>
        <v/>
      </c>
      <c r="J147" s="7">
        <f>IF(SUMPRODUCT(ISNUMBER('Advanced 0-10'!AA147:AA147)*'Advanced Entry'!AA$9:AA$9)=0,"",ROUND(SUMPRODUCT(IFERROR('Advanced 0-10'!AA147:AA147*1,0)*'Advanced Entry'!AA$9:AA$9)/SUMPRODUCT(ISNUMBER('Advanced 0-10'!AA147:AA147)*'Advanced Entry'!AA$9:AA$9),1))</f>
        <v/>
      </c>
      <c r="K147" s="7">
        <f>IF(SUMPRODUCT(ISNUMBER('Advanced 0-10'!AB147:AB147)*'Advanced Entry'!AB$9:AB$9)=0,"",ROUND(SUMPRODUCT(IFERROR('Advanced 0-10'!AB147:AB147*1,0)*'Advanced Entry'!AB$9:AB$9)/SUMPRODUCT(ISNUMBER('Advanced 0-10'!AB147:AB147)*'Advanced Entry'!AB$9:AB$9),1))</f>
        <v/>
      </c>
      <c r="L147" s="19">
        <f>IF(SUMPRODUCT(--ISNUMBER(D147:K147))=0,"",ROUND(SUMPRODUCT(IFERROR(D147:K147*1,0))/SUMPRODUCT(--ISNUMBER(D147:K147)),1))</f>
        <v/>
      </c>
    </row>
    <row r="148">
      <c r="A148" t="inlineStr">
        <is>
          <t>Pwani</t>
        </is>
      </c>
      <c r="B148" t="inlineStr">
        <is>
          <t>Mafia District</t>
        </is>
      </c>
      <c r="C148" t="inlineStr">
        <is>
          <t>C050</t>
        </is>
      </c>
      <c r="D148" s="7">
        <f>IF(SUMPRODUCT(ISNUMBER('Advanced 0-10'!D148:J148)*'Advanced Entry'!D$9:J$9)=0,"",ROUND(SUMPRODUCT(IFERROR('Advanced 0-10'!D148:J148*1,0)*'Advanced Entry'!D$9:J$9)/SUMPRODUCT(ISNUMBER('Advanced 0-10'!D148:J148)*'Advanced Entry'!D$9:J$9),1))</f>
        <v/>
      </c>
      <c r="E148" s="7">
        <f>IF(SUMPRODUCT(ISNUMBER('Advanced 0-10'!K148:O148)*'Advanced Entry'!K$9:O$9)=0,"",ROUND(SUMPRODUCT(IFERROR('Advanced 0-10'!K148:O148*1,0)*'Advanced Entry'!K$9:O$9)/SUMPRODUCT(ISNUMBER('Advanced 0-10'!K148:O148)*'Advanced Entry'!K$9:O$9),1))</f>
        <v/>
      </c>
      <c r="F148" s="7">
        <f>IF(SUMPRODUCT(ISNUMBER('Advanced 0-10'!P148:Q148)*'Advanced Entry'!P$9:Q$9)=0,"",ROUND(SUMPRODUCT(IFERROR('Advanced 0-10'!P148:Q148*1,0)*'Advanced Entry'!P$9:Q$9)/SUMPRODUCT(ISNUMBER('Advanced 0-10'!P148:Q148)*'Advanced Entry'!P$9:Q$9),1))</f>
        <v/>
      </c>
      <c r="G148" s="7">
        <f>IF(SUMPRODUCT(ISNUMBER('Advanced 0-10'!R148:S148)*'Advanced Entry'!R$9:S$9)=0,"",ROUND(SUMPRODUCT(IFERROR('Advanced 0-10'!R148:S148*1,0)*'Advanced Entry'!R$9:S$9)/SUMPRODUCT(ISNUMBER('Advanced 0-10'!R148:S148)*'Advanced Entry'!R$9:S$9),1))</f>
        <v/>
      </c>
      <c r="H148" s="7">
        <f>IF(SUMPRODUCT(ISNUMBER('Advanced 0-10'!T148:U148)*'Advanced Entry'!T$9:U$9)=0,"",ROUND(SUMPRODUCT(IFERROR('Advanced 0-10'!T148:U148*1,0)*'Advanced Entry'!T$9:U$9)/SUMPRODUCT(ISNUMBER('Advanced 0-10'!T148:U148)*'Advanced Entry'!T$9:U$9),1))</f>
        <v/>
      </c>
      <c r="I148" s="7">
        <f>IF(SUMPRODUCT(ISNUMBER('Advanced 0-10'!V148:Z148)*'Advanced Entry'!V$9:Z$9)=0,"",ROUND(SUMPRODUCT(IFERROR('Advanced 0-10'!V148:Z148*1,0)*'Advanced Entry'!V$9:Z$9)/SUMPRODUCT(ISNUMBER('Advanced 0-10'!V148:Z148)*'Advanced Entry'!V$9:Z$9),1))</f>
        <v/>
      </c>
      <c r="J148" s="7">
        <f>IF(SUMPRODUCT(ISNUMBER('Advanced 0-10'!AA148:AA148)*'Advanced Entry'!AA$9:AA$9)=0,"",ROUND(SUMPRODUCT(IFERROR('Advanced 0-10'!AA148:AA148*1,0)*'Advanced Entry'!AA$9:AA$9)/SUMPRODUCT(ISNUMBER('Advanced 0-10'!AA148:AA148)*'Advanced Entry'!AA$9:AA$9),1))</f>
        <v/>
      </c>
      <c r="K148" s="7">
        <f>IF(SUMPRODUCT(ISNUMBER('Advanced 0-10'!AB148:AB148)*'Advanced Entry'!AB$9:AB$9)=0,"",ROUND(SUMPRODUCT(IFERROR('Advanced 0-10'!AB148:AB148*1,0)*'Advanced Entry'!AB$9:AB$9)/SUMPRODUCT(ISNUMBER('Advanced 0-10'!AB148:AB148)*'Advanced Entry'!AB$9:AB$9),1))</f>
        <v/>
      </c>
      <c r="L148" s="19">
        <f>IF(SUMPRODUCT(--ISNUMBER(D148:K148))=0,"",ROUND(SUMPRODUCT(IFERROR(D148:K148*1,0))/SUMPRODUCT(--ISNUMBER(D148:K148)),1))</f>
        <v/>
      </c>
    </row>
    <row r="149">
      <c r="A149" t="inlineStr">
        <is>
          <t>Pwani</t>
        </is>
      </c>
      <c r="B149" t="inlineStr">
        <is>
          <t>Mkuranga District</t>
        </is>
      </c>
      <c r="C149" t="inlineStr">
        <is>
          <t>C048</t>
        </is>
      </c>
      <c r="D149" s="7">
        <f>IF(SUMPRODUCT(ISNUMBER('Advanced 0-10'!D149:J149)*'Advanced Entry'!D$9:J$9)=0,"",ROUND(SUMPRODUCT(IFERROR('Advanced 0-10'!D149:J149*1,0)*'Advanced Entry'!D$9:J$9)/SUMPRODUCT(ISNUMBER('Advanced 0-10'!D149:J149)*'Advanced Entry'!D$9:J$9),1))</f>
        <v/>
      </c>
      <c r="E149" s="7">
        <f>IF(SUMPRODUCT(ISNUMBER('Advanced 0-10'!K149:O149)*'Advanced Entry'!K$9:O$9)=0,"",ROUND(SUMPRODUCT(IFERROR('Advanced 0-10'!K149:O149*1,0)*'Advanced Entry'!K$9:O$9)/SUMPRODUCT(ISNUMBER('Advanced 0-10'!K149:O149)*'Advanced Entry'!K$9:O$9),1))</f>
        <v/>
      </c>
      <c r="F149" s="7">
        <f>IF(SUMPRODUCT(ISNUMBER('Advanced 0-10'!P149:Q149)*'Advanced Entry'!P$9:Q$9)=0,"",ROUND(SUMPRODUCT(IFERROR('Advanced 0-10'!P149:Q149*1,0)*'Advanced Entry'!P$9:Q$9)/SUMPRODUCT(ISNUMBER('Advanced 0-10'!P149:Q149)*'Advanced Entry'!P$9:Q$9),1))</f>
        <v/>
      </c>
      <c r="G149" s="7">
        <f>IF(SUMPRODUCT(ISNUMBER('Advanced 0-10'!R149:S149)*'Advanced Entry'!R$9:S$9)=0,"",ROUND(SUMPRODUCT(IFERROR('Advanced 0-10'!R149:S149*1,0)*'Advanced Entry'!R$9:S$9)/SUMPRODUCT(ISNUMBER('Advanced 0-10'!R149:S149)*'Advanced Entry'!R$9:S$9),1))</f>
        <v/>
      </c>
      <c r="H149" s="7">
        <f>IF(SUMPRODUCT(ISNUMBER('Advanced 0-10'!T149:U149)*'Advanced Entry'!T$9:U$9)=0,"",ROUND(SUMPRODUCT(IFERROR('Advanced 0-10'!T149:U149*1,0)*'Advanced Entry'!T$9:U$9)/SUMPRODUCT(ISNUMBER('Advanced 0-10'!T149:U149)*'Advanced Entry'!T$9:U$9),1))</f>
        <v/>
      </c>
      <c r="I149" s="7">
        <f>IF(SUMPRODUCT(ISNUMBER('Advanced 0-10'!V149:Z149)*'Advanced Entry'!V$9:Z$9)=0,"",ROUND(SUMPRODUCT(IFERROR('Advanced 0-10'!V149:Z149*1,0)*'Advanced Entry'!V$9:Z$9)/SUMPRODUCT(ISNUMBER('Advanced 0-10'!V149:Z149)*'Advanced Entry'!V$9:Z$9),1))</f>
        <v/>
      </c>
      <c r="J149" s="7">
        <f>IF(SUMPRODUCT(ISNUMBER('Advanced 0-10'!AA149:AA149)*'Advanced Entry'!AA$9:AA$9)=0,"",ROUND(SUMPRODUCT(IFERROR('Advanced 0-10'!AA149:AA149*1,0)*'Advanced Entry'!AA$9:AA$9)/SUMPRODUCT(ISNUMBER('Advanced 0-10'!AA149:AA149)*'Advanced Entry'!AA$9:AA$9),1))</f>
        <v/>
      </c>
      <c r="K149" s="7">
        <f>IF(SUMPRODUCT(ISNUMBER('Advanced 0-10'!AB149:AB149)*'Advanced Entry'!AB$9:AB$9)=0,"",ROUND(SUMPRODUCT(IFERROR('Advanced 0-10'!AB149:AB149*1,0)*'Advanced Entry'!AB$9:AB$9)/SUMPRODUCT(ISNUMBER('Advanced 0-10'!AB149:AB149)*'Advanced Entry'!AB$9:AB$9),1))</f>
        <v/>
      </c>
      <c r="L149" s="19">
        <f>IF(SUMPRODUCT(--ISNUMBER(D149:K149))=0,"",ROUND(SUMPRODUCT(IFERROR(D149:K149*1,0))/SUMPRODUCT(--ISNUMBER(D149:K149)),1))</f>
        <v/>
      </c>
    </row>
    <row r="150">
      <c r="A150" t="inlineStr">
        <is>
          <t>Pwani</t>
        </is>
      </c>
      <c r="B150" t="inlineStr">
        <is>
          <t>Rufiji District</t>
        </is>
      </c>
      <c r="C150" t="inlineStr">
        <is>
          <t>C049</t>
        </is>
      </c>
      <c r="D150" s="7">
        <f>IF(SUMPRODUCT(ISNUMBER('Advanced 0-10'!D150:J150)*'Advanced Entry'!D$9:J$9)=0,"",ROUND(SUMPRODUCT(IFERROR('Advanced 0-10'!D150:J150*1,0)*'Advanced Entry'!D$9:J$9)/SUMPRODUCT(ISNUMBER('Advanced 0-10'!D150:J150)*'Advanced Entry'!D$9:J$9),1))</f>
        <v/>
      </c>
      <c r="E150" s="7">
        <f>IF(SUMPRODUCT(ISNUMBER('Advanced 0-10'!K150:O150)*'Advanced Entry'!K$9:O$9)=0,"",ROUND(SUMPRODUCT(IFERROR('Advanced 0-10'!K150:O150*1,0)*'Advanced Entry'!K$9:O$9)/SUMPRODUCT(ISNUMBER('Advanced 0-10'!K150:O150)*'Advanced Entry'!K$9:O$9),1))</f>
        <v/>
      </c>
      <c r="F150" s="7">
        <f>IF(SUMPRODUCT(ISNUMBER('Advanced 0-10'!P150:Q150)*'Advanced Entry'!P$9:Q$9)=0,"",ROUND(SUMPRODUCT(IFERROR('Advanced 0-10'!P150:Q150*1,0)*'Advanced Entry'!P$9:Q$9)/SUMPRODUCT(ISNUMBER('Advanced 0-10'!P150:Q150)*'Advanced Entry'!P$9:Q$9),1))</f>
        <v/>
      </c>
      <c r="G150" s="7">
        <f>IF(SUMPRODUCT(ISNUMBER('Advanced 0-10'!R150:S150)*'Advanced Entry'!R$9:S$9)=0,"",ROUND(SUMPRODUCT(IFERROR('Advanced 0-10'!R150:S150*1,0)*'Advanced Entry'!R$9:S$9)/SUMPRODUCT(ISNUMBER('Advanced 0-10'!R150:S150)*'Advanced Entry'!R$9:S$9),1))</f>
        <v/>
      </c>
      <c r="H150" s="7">
        <f>IF(SUMPRODUCT(ISNUMBER('Advanced 0-10'!T150:U150)*'Advanced Entry'!T$9:U$9)=0,"",ROUND(SUMPRODUCT(IFERROR('Advanced 0-10'!T150:U150*1,0)*'Advanced Entry'!T$9:U$9)/SUMPRODUCT(ISNUMBER('Advanced 0-10'!T150:U150)*'Advanced Entry'!T$9:U$9),1))</f>
        <v/>
      </c>
      <c r="I150" s="7">
        <f>IF(SUMPRODUCT(ISNUMBER('Advanced 0-10'!V150:Z150)*'Advanced Entry'!V$9:Z$9)=0,"",ROUND(SUMPRODUCT(IFERROR('Advanced 0-10'!V150:Z150*1,0)*'Advanced Entry'!V$9:Z$9)/SUMPRODUCT(ISNUMBER('Advanced 0-10'!V150:Z150)*'Advanced Entry'!V$9:Z$9),1))</f>
        <v/>
      </c>
      <c r="J150" s="7">
        <f>IF(SUMPRODUCT(ISNUMBER('Advanced 0-10'!AA150:AA150)*'Advanced Entry'!AA$9:AA$9)=0,"",ROUND(SUMPRODUCT(IFERROR('Advanced 0-10'!AA150:AA150*1,0)*'Advanced Entry'!AA$9:AA$9)/SUMPRODUCT(ISNUMBER('Advanced 0-10'!AA150:AA150)*'Advanced Entry'!AA$9:AA$9),1))</f>
        <v/>
      </c>
      <c r="K150" s="7">
        <f>IF(SUMPRODUCT(ISNUMBER('Advanced 0-10'!AB150:AB150)*'Advanced Entry'!AB$9:AB$9)=0,"",ROUND(SUMPRODUCT(IFERROR('Advanced 0-10'!AB150:AB150*1,0)*'Advanced Entry'!AB$9:AB$9)/SUMPRODUCT(ISNUMBER('Advanced 0-10'!AB150:AB150)*'Advanced Entry'!AB$9:AB$9),1))</f>
        <v/>
      </c>
      <c r="L150" s="19">
        <f>IF(SUMPRODUCT(--ISNUMBER(D150:K150))=0,"",ROUND(SUMPRODUCT(IFERROR(D150:K150*1,0))/SUMPRODUCT(--ISNUMBER(D150:K150)),1))</f>
        <v/>
      </c>
    </row>
    <row r="151">
      <c r="A151" t="inlineStr">
        <is>
          <t>Rukwa</t>
        </is>
      </c>
      <c r="B151" t="inlineStr">
        <is>
          <t>Kalambo District</t>
        </is>
      </c>
      <c r="C151" t="inlineStr">
        <is>
          <t>C107</t>
        </is>
      </c>
      <c r="D151" s="7">
        <f>IF(SUMPRODUCT(ISNUMBER('Advanced 0-10'!D151:J151)*'Advanced Entry'!D$9:J$9)=0,"",ROUND(SUMPRODUCT(IFERROR('Advanced 0-10'!D151:J151*1,0)*'Advanced Entry'!D$9:J$9)/SUMPRODUCT(ISNUMBER('Advanced 0-10'!D151:J151)*'Advanced Entry'!D$9:J$9),1))</f>
        <v/>
      </c>
      <c r="E151" s="7">
        <f>IF(SUMPRODUCT(ISNUMBER('Advanced 0-10'!K151:O151)*'Advanced Entry'!K$9:O$9)=0,"",ROUND(SUMPRODUCT(IFERROR('Advanced 0-10'!K151:O151*1,0)*'Advanced Entry'!K$9:O$9)/SUMPRODUCT(ISNUMBER('Advanced 0-10'!K151:O151)*'Advanced Entry'!K$9:O$9),1))</f>
        <v/>
      </c>
      <c r="F151" s="7">
        <f>IF(SUMPRODUCT(ISNUMBER('Advanced 0-10'!P151:Q151)*'Advanced Entry'!P$9:Q$9)=0,"",ROUND(SUMPRODUCT(IFERROR('Advanced 0-10'!P151:Q151*1,0)*'Advanced Entry'!P$9:Q$9)/SUMPRODUCT(ISNUMBER('Advanced 0-10'!P151:Q151)*'Advanced Entry'!P$9:Q$9),1))</f>
        <v/>
      </c>
      <c r="G151" s="7">
        <f>IF(SUMPRODUCT(ISNUMBER('Advanced 0-10'!R151:S151)*'Advanced Entry'!R$9:S$9)=0,"",ROUND(SUMPRODUCT(IFERROR('Advanced 0-10'!R151:S151*1,0)*'Advanced Entry'!R$9:S$9)/SUMPRODUCT(ISNUMBER('Advanced 0-10'!R151:S151)*'Advanced Entry'!R$9:S$9),1))</f>
        <v/>
      </c>
      <c r="H151" s="7">
        <f>IF(SUMPRODUCT(ISNUMBER('Advanced 0-10'!T151:U151)*'Advanced Entry'!T$9:U$9)=0,"",ROUND(SUMPRODUCT(IFERROR('Advanced 0-10'!T151:U151*1,0)*'Advanced Entry'!T$9:U$9)/SUMPRODUCT(ISNUMBER('Advanced 0-10'!T151:U151)*'Advanced Entry'!T$9:U$9),1))</f>
        <v/>
      </c>
      <c r="I151" s="7">
        <f>IF(SUMPRODUCT(ISNUMBER('Advanced 0-10'!V151:Z151)*'Advanced Entry'!V$9:Z$9)=0,"",ROUND(SUMPRODUCT(IFERROR('Advanced 0-10'!V151:Z151*1,0)*'Advanced Entry'!V$9:Z$9)/SUMPRODUCT(ISNUMBER('Advanced 0-10'!V151:Z151)*'Advanced Entry'!V$9:Z$9),1))</f>
        <v/>
      </c>
      <c r="J151" s="7">
        <f>IF(SUMPRODUCT(ISNUMBER('Advanced 0-10'!AA151:AA151)*'Advanced Entry'!AA$9:AA$9)=0,"",ROUND(SUMPRODUCT(IFERROR('Advanced 0-10'!AA151:AA151*1,0)*'Advanced Entry'!AA$9:AA$9)/SUMPRODUCT(ISNUMBER('Advanced 0-10'!AA151:AA151)*'Advanced Entry'!AA$9:AA$9),1))</f>
        <v/>
      </c>
      <c r="K151" s="7">
        <f>IF(SUMPRODUCT(ISNUMBER('Advanced 0-10'!AB151:AB151)*'Advanced Entry'!AB$9:AB$9)=0,"",ROUND(SUMPRODUCT(IFERROR('Advanced 0-10'!AB151:AB151*1,0)*'Advanced Entry'!AB$9:AB$9)/SUMPRODUCT(ISNUMBER('Advanced 0-10'!AB151:AB151)*'Advanced Entry'!AB$9:AB$9),1))</f>
        <v/>
      </c>
      <c r="L151" s="19">
        <f>IF(SUMPRODUCT(--ISNUMBER(D151:K151))=0,"",ROUND(SUMPRODUCT(IFERROR(D151:K151*1,0))/SUMPRODUCT(--ISNUMBER(D151:K151)),1))</f>
        <v/>
      </c>
    </row>
    <row r="152">
      <c r="A152" t="inlineStr">
        <is>
          <t>Rukwa</t>
        </is>
      </c>
      <c r="B152" t="inlineStr">
        <is>
          <t>Nkasi District</t>
        </is>
      </c>
      <c r="C152" t="inlineStr">
        <is>
          <t>C110</t>
        </is>
      </c>
      <c r="D152" s="7">
        <f>IF(SUMPRODUCT(ISNUMBER('Advanced 0-10'!D152:J152)*'Advanced Entry'!D$9:J$9)=0,"",ROUND(SUMPRODUCT(IFERROR('Advanced 0-10'!D152:J152*1,0)*'Advanced Entry'!D$9:J$9)/SUMPRODUCT(ISNUMBER('Advanced 0-10'!D152:J152)*'Advanced Entry'!D$9:J$9),1))</f>
        <v/>
      </c>
      <c r="E152" s="7">
        <f>IF(SUMPRODUCT(ISNUMBER('Advanced 0-10'!K152:O152)*'Advanced Entry'!K$9:O$9)=0,"",ROUND(SUMPRODUCT(IFERROR('Advanced 0-10'!K152:O152*1,0)*'Advanced Entry'!K$9:O$9)/SUMPRODUCT(ISNUMBER('Advanced 0-10'!K152:O152)*'Advanced Entry'!K$9:O$9),1))</f>
        <v/>
      </c>
      <c r="F152" s="7">
        <f>IF(SUMPRODUCT(ISNUMBER('Advanced 0-10'!P152:Q152)*'Advanced Entry'!P$9:Q$9)=0,"",ROUND(SUMPRODUCT(IFERROR('Advanced 0-10'!P152:Q152*1,0)*'Advanced Entry'!P$9:Q$9)/SUMPRODUCT(ISNUMBER('Advanced 0-10'!P152:Q152)*'Advanced Entry'!P$9:Q$9),1))</f>
        <v/>
      </c>
      <c r="G152" s="7">
        <f>IF(SUMPRODUCT(ISNUMBER('Advanced 0-10'!R152:S152)*'Advanced Entry'!R$9:S$9)=0,"",ROUND(SUMPRODUCT(IFERROR('Advanced 0-10'!R152:S152*1,0)*'Advanced Entry'!R$9:S$9)/SUMPRODUCT(ISNUMBER('Advanced 0-10'!R152:S152)*'Advanced Entry'!R$9:S$9),1))</f>
        <v/>
      </c>
      <c r="H152" s="7">
        <f>IF(SUMPRODUCT(ISNUMBER('Advanced 0-10'!T152:U152)*'Advanced Entry'!T$9:U$9)=0,"",ROUND(SUMPRODUCT(IFERROR('Advanced 0-10'!T152:U152*1,0)*'Advanced Entry'!T$9:U$9)/SUMPRODUCT(ISNUMBER('Advanced 0-10'!T152:U152)*'Advanced Entry'!T$9:U$9),1))</f>
        <v/>
      </c>
      <c r="I152" s="7">
        <f>IF(SUMPRODUCT(ISNUMBER('Advanced 0-10'!V152:Z152)*'Advanced Entry'!V$9:Z$9)=0,"",ROUND(SUMPRODUCT(IFERROR('Advanced 0-10'!V152:Z152*1,0)*'Advanced Entry'!V$9:Z$9)/SUMPRODUCT(ISNUMBER('Advanced 0-10'!V152:Z152)*'Advanced Entry'!V$9:Z$9),1))</f>
        <v/>
      </c>
      <c r="J152" s="7">
        <f>IF(SUMPRODUCT(ISNUMBER('Advanced 0-10'!AA152:AA152)*'Advanced Entry'!AA$9:AA$9)=0,"",ROUND(SUMPRODUCT(IFERROR('Advanced 0-10'!AA152:AA152*1,0)*'Advanced Entry'!AA$9:AA$9)/SUMPRODUCT(ISNUMBER('Advanced 0-10'!AA152:AA152)*'Advanced Entry'!AA$9:AA$9),1))</f>
        <v/>
      </c>
      <c r="K152" s="7">
        <f>IF(SUMPRODUCT(ISNUMBER('Advanced 0-10'!AB152:AB152)*'Advanced Entry'!AB$9:AB$9)=0,"",ROUND(SUMPRODUCT(IFERROR('Advanced 0-10'!AB152:AB152*1,0)*'Advanced Entry'!AB$9:AB$9)/SUMPRODUCT(ISNUMBER('Advanced 0-10'!AB152:AB152)*'Advanced Entry'!AB$9:AB$9),1))</f>
        <v/>
      </c>
      <c r="L152" s="19">
        <f>IF(SUMPRODUCT(--ISNUMBER(D152:K152))=0,"",ROUND(SUMPRODUCT(IFERROR(D152:K152*1,0))/SUMPRODUCT(--ISNUMBER(D152:K152)),1))</f>
        <v/>
      </c>
    </row>
    <row r="153">
      <c r="A153" t="inlineStr">
        <is>
          <t>Rukwa</t>
        </is>
      </c>
      <c r="B153" t="inlineStr">
        <is>
          <t>Sumbawanga District</t>
        </is>
      </c>
      <c r="C153" t="inlineStr">
        <is>
          <t>C108</t>
        </is>
      </c>
      <c r="D153" s="7">
        <f>IF(SUMPRODUCT(ISNUMBER('Advanced 0-10'!D153:J153)*'Advanced Entry'!D$9:J$9)=0,"",ROUND(SUMPRODUCT(IFERROR('Advanced 0-10'!D153:J153*1,0)*'Advanced Entry'!D$9:J$9)/SUMPRODUCT(ISNUMBER('Advanced 0-10'!D153:J153)*'Advanced Entry'!D$9:J$9),1))</f>
        <v/>
      </c>
      <c r="E153" s="7">
        <f>IF(SUMPRODUCT(ISNUMBER('Advanced 0-10'!K153:O153)*'Advanced Entry'!K$9:O$9)=0,"",ROUND(SUMPRODUCT(IFERROR('Advanced 0-10'!K153:O153*1,0)*'Advanced Entry'!K$9:O$9)/SUMPRODUCT(ISNUMBER('Advanced 0-10'!K153:O153)*'Advanced Entry'!K$9:O$9),1))</f>
        <v/>
      </c>
      <c r="F153" s="7">
        <f>IF(SUMPRODUCT(ISNUMBER('Advanced 0-10'!P153:Q153)*'Advanced Entry'!P$9:Q$9)=0,"",ROUND(SUMPRODUCT(IFERROR('Advanced 0-10'!P153:Q153*1,0)*'Advanced Entry'!P$9:Q$9)/SUMPRODUCT(ISNUMBER('Advanced 0-10'!P153:Q153)*'Advanced Entry'!P$9:Q$9),1))</f>
        <v/>
      </c>
      <c r="G153" s="7">
        <f>IF(SUMPRODUCT(ISNUMBER('Advanced 0-10'!R153:S153)*'Advanced Entry'!R$9:S$9)=0,"",ROUND(SUMPRODUCT(IFERROR('Advanced 0-10'!R153:S153*1,0)*'Advanced Entry'!R$9:S$9)/SUMPRODUCT(ISNUMBER('Advanced 0-10'!R153:S153)*'Advanced Entry'!R$9:S$9),1))</f>
        <v/>
      </c>
      <c r="H153" s="7">
        <f>IF(SUMPRODUCT(ISNUMBER('Advanced 0-10'!T153:U153)*'Advanced Entry'!T$9:U$9)=0,"",ROUND(SUMPRODUCT(IFERROR('Advanced 0-10'!T153:U153*1,0)*'Advanced Entry'!T$9:U$9)/SUMPRODUCT(ISNUMBER('Advanced 0-10'!T153:U153)*'Advanced Entry'!T$9:U$9),1))</f>
        <v/>
      </c>
      <c r="I153" s="7">
        <f>IF(SUMPRODUCT(ISNUMBER('Advanced 0-10'!V153:Z153)*'Advanced Entry'!V$9:Z$9)=0,"",ROUND(SUMPRODUCT(IFERROR('Advanced 0-10'!V153:Z153*1,0)*'Advanced Entry'!V$9:Z$9)/SUMPRODUCT(ISNUMBER('Advanced 0-10'!V153:Z153)*'Advanced Entry'!V$9:Z$9),1))</f>
        <v/>
      </c>
      <c r="J153" s="7">
        <f>IF(SUMPRODUCT(ISNUMBER('Advanced 0-10'!AA153:AA153)*'Advanced Entry'!AA$9:AA$9)=0,"",ROUND(SUMPRODUCT(IFERROR('Advanced 0-10'!AA153:AA153*1,0)*'Advanced Entry'!AA$9:AA$9)/SUMPRODUCT(ISNUMBER('Advanced 0-10'!AA153:AA153)*'Advanced Entry'!AA$9:AA$9),1))</f>
        <v/>
      </c>
      <c r="K153" s="7">
        <f>IF(SUMPRODUCT(ISNUMBER('Advanced 0-10'!AB153:AB153)*'Advanced Entry'!AB$9:AB$9)=0,"",ROUND(SUMPRODUCT(IFERROR('Advanced 0-10'!AB153:AB153*1,0)*'Advanced Entry'!AB$9:AB$9)/SUMPRODUCT(ISNUMBER('Advanced 0-10'!AB153:AB153)*'Advanced Entry'!AB$9:AB$9),1))</f>
        <v/>
      </c>
      <c r="L153" s="19">
        <f>IF(SUMPRODUCT(--ISNUMBER(D153:K153))=0,"",ROUND(SUMPRODUCT(IFERROR(D153:K153*1,0))/SUMPRODUCT(--ISNUMBER(D153:K153)),1))</f>
        <v/>
      </c>
    </row>
    <row r="154">
      <c r="A154" t="inlineStr">
        <is>
          <t>Rukwa</t>
        </is>
      </c>
      <c r="B154" t="inlineStr">
        <is>
          <t>Sumbawanga Municipal</t>
        </is>
      </c>
      <c r="C154" t="inlineStr">
        <is>
          <t>C109</t>
        </is>
      </c>
      <c r="D154" s="7">
        <f>IF(SUMPRODUCT(ISNUMBER('Advanced 0-10'!D154:J154)*'Advanced Entry'!D$9:J$9)=0,"",ROUND(SUMPRODUCT(IFERROR('Advanced 0-10'!D154:J154*1,0)*'Advanced Entry'!D$9:J$9)/SUMPRODUCT(ISNUMBER('Advanced 0-10'!D154:J154)*'Advanced Entry'!D$9:J$9),1))</f>
        <v/>
      </c>
      <c r="E154" s="7">
        <f>IF(SUMPRODUCT(ISNUMBER('Advanced 0-10'!K154:O154)*'Advanced Entry'!K$9:O$9)=0,"",ROUND(SUMPRODUCT(IFERROR('Advanced 0-10'!K154:O154*1,0)*'Advanced Entry'!K$9:O$9)/SUMPRODUCT(ISNUMBER('Advanced 0-10'!K154:O154)*'Advanced Entry'!K$9:O$9),1))</f>
        <v/>
      </c>
      <c r="F154" s="7">
        <f>IF(SUMPRODUCT(ISNUMBER('Advanced 0-10'!P154:Q154)*'Advanced Entry'!P$9:Q$9)=0,"",ROUND(SUMPRODUCT(IFERROR('Advanced 0-10'!P154:Q154*1,0)*'Advanced Entry'!P$9:Q$9)/SUMPRODUCT(ISNUMBER('Advanced 0-10'!P154:Q154)*'Advanced Entry'!P$9:Q$9),1))</f>
        <v/>
      </c>
      <c r="G154" s="7">
        <f>IF(SUMPRODUCT(ISNUMBER('Advanced 0-10'!R154:S154)*'Advanced Entry'!R$9:S$9)=0,"",ROUND(SUMPRODUCT(IFERROR('Advanced 0-10'!R154:S154*1,0)*'Advanced Entry'!R$9:S$9)/SUMPRODUCT(ISNUMBER('Advanced 0-10'!R154:S154)*'Advanced Entry'!R$9:S$9),1))</f>
        <v/>
      </c>
      <c r="H154" s="7">
        <f>IF(SUMPRODUCT(ISNUMBER('Advanced 0-10'!T154:U154)*'Advanced Entry'!T$9:U$9)=0,"",ROUND(SUMPRODUCT(IFERROR('Advanced 0-10'!T154:U154*1,0)*'Advanced Entry'!T$9:U$9)/SUMPRODUCT(ISNUMBER('Advanced 0-10'!T154:U154)*'Advanced Entry'!T$9:U$9),1))</f>
        <v/>
      </c>
      <c r="I154" s="7">
        <f>IF(SUMPRODUCT(ISNUMBER('Advanced 0-10'!V154:Z154)*'Advanced Entry'!V$9:Z$9)=0,"",ROUND(SUMPRODUCT(IFERROR('Advanced 0-10'!V154:Z154*1,0)*'Advanced Entry'!V$9:Z$9)/SUMPRODUCT(ISNUMBER('Advanced 0-10'!V154:Z154)*'Advanced Entry'!V$9:Z$9),1))</f>
        <v/>
      </c>
      <c r="J154" s="7">
        <f>IF(SUMPRODUCT(ISNUMBER('Advanced 0-10'!AA154:AA154)*'Advanced Entry'!AA$9:AA$9)=0,"",ROUND(SUMPRODUCT(IFERROR('Advanced 0-10'!AA154:AA154*1,0)*'Advanced Entry'!AA$9:AA$9)/SUMPRODUCT(ISNUMBER('Advanced 0-10'!AA154:AA154)*'Advanced Entry'!AA$9:AA$9),1))</f>
        <v/>
      </c>
      <c r="K154" s="7">
        <f>IF(SUMPRODUCT(ISNUMBER('Advanced 0-10'!AB154:AB154)*'Advanced Entry'!AB$9:AB$9)=0,"",ROUND(SUMPRODUCT(IFERROR('Advanced 0-10'!AB154:AB154*1,0)*'Advanced Entry'!AB$9:AB$9)/SUMPRODUCT(ISNUMBER('Advanced 0-10'!AB154:AB154)*'Advanced Entry'!AB$9:AB$9),1))</f>
        <v/>
      </c>
      <c r="L154" s="19">
        <f>IF(SUMPRODUCT(--ISNUMBER(D154:K154))=0,"",ROUND(SUMPRODUCT(IFERROR(D154:K154*1,0))/SUMPRODUCT(--ISNUMBER(D154:K154)),1))</f>
        <v/>
      </c>
    </row>
    <row r="155">
      <c r="A155" t="inlineStr">
        <is>
          <t>Ruvuma</t>
        </is>
      </c>
      <c r="B155" t="inlineStr">
        <is>
          <t>Madaba District</t>
        </is>
      </c>
      <c r="C155" t="inlineStr">
        <is>
          <t>C075</t>
        </is>
      </c>
      <c r="D155" s="7">
        <f>IF(SUMPRODUCT(ISNUMBER('Advanced 0-10'!D155:J155)*'Advanced Entry'!D$9:J$9)=0,"",ROUND(SUMPRODUCT(IFERROR('Advanced 0-10'!D155:J155*1,0)*'Advanced Entry'!D$9:J$9)/SUMPRODUCT(ISNUMBER('Advanced 0-10'!D155:J155)*'Advanced Entry'!D$9:J$9),1))</f>
        <v/>
      </c>
      <c r="E155" s="7">
        <f>IF(SUMPRODUCT(ISNUMBER('Advanced 0-10'!K155:O155)*'Advanced Entry'!K$9:O$9)=0,"",ROUND(SUMPRODUCT(IFERROR('Advanced 0-10'!K155:O155*1,0)*'Advanced Entry'!K$9:O$9)/SUMPRODUCT(ISNUMBER('Advanced 0-10'!K155:O155)*'Advanced Entry'!K$9:O$9),1))</f>
        <v/>
      </c>
      <c r="F155" s="7">
        <f>IF(SUMPRODUCT(ISNUMBER('Advanced 0-10'!P155:Q155)*'Advanced Entry'!P$9:Q$9)=0,"",ROUND(SUMPRODUCT(IFERROR('Advanced 0-10'!P155:Q155*1,0)*'Advanced Entry'!P$9:Q$9)/SUMPRODUCT(ISNUMBER('Advanced 0-10'!P155:Q155)*'Advanced Entry'!P$9:Q$9),1))</f>
        <v/>
      </c>
      <c r="G155" s="7">
        <f>IF(SUMPRODUCT(ISNUMBER('Advanced 0-10'!R155:S155)*'Advanced Entry'!R$9:S$9)=0,"",ROUND(SUMPRODUCT(IFERROR('Advanced 0-10'!R155:S155*1,0)*'Advanced Entry'!R$9:S$9)/SUMPRODUCT(ISNUMBER('Advanced 0-10'!R155:S155)*'Advanced Entry'!R$9:S$9),1))</f>
        <v/>
      </c>
      <c r="H155" s="7">
        <f>IF(SUMPRODUCT(ISNUMBER('Advanced 0-10'!T155:U155)*'Advanced Entry'!T$9:U$9)=0,"",ROUND(SUMPRODUCT(IFERROR('Advanced 0-10'!T155:U155*1,0)*'Advanced Entry'!T$9:U$9)/SUMPRODUCT(ISNUMBER('Advanced 0-10'!T155:U155)*'Advanced Entry'!T$9:U$9),1))</f>
        <v/>
      </c>
      <c r="I155" s="7">
        <f>IF(SUMPRODUCT(ISNUMBER('Advanced 0-10'!V155:Z155)*'Advanced Entry'!V$9:Z$9)=0,"",ROUND(SUMPRODUCT(IFERROR('Advanced 0-10'!V155:Z155*1,0)*'Advanced Entry'!V$9:Z$9)/SUMPRODUCT(ISNUMBER('Advanced 0-10'!V155:Z155)*'Advanced Entry'!V$9:Z$9),1))</f>
        <v/>
      </c>
      <c r="J155" s="7">
        <f>IF(SUMPRODUCT(ISNUMBER('Advanced 0-10'!AA155:AA155)*'Advanced Entry'!AA$9:AA$9)=0,"",ROUND(SUMPRODUCT(IFERROR('Advanced 0-10'!AA155:AA155*1,0)*'Advanced Entry'!AA$9:AA$9)/SUMPRODUCT(ISNUMBER('Advanced 0-10'!AA155:AA155)*'Advanced Entry'!AA$9:AA$9),1))</f>
        <v/>
      </c>
      <c r="K155" s="7">
        <f>IF(SUMPRODUCT(ISNUMBER('Advanced 0-10'!AB155:AB155)*'Advanced Entry'!AB$9:AB$9)=0,"",ROUND(SUMPRODUCT(IFERROR('Advanced 0-10'!AB155:AB155*1,0)*'Advanced Entry'!AB$9:AB$9)/SUMPRODUCT(ISNUMBER('Advanced 0-10'!AB155:AB155)*'Advanced Entry'!AB$9:AB$9),1))</f>
        <v/>
      </c>
      <c r="L155" s="19">
        <f>IF(SUMPRODUCT(--ISNUMBER(D155:K155))=0,"",ROUND(SUMPRODUCT(IFERROR(D155:K155*1,0))/SUMPRODUCT(--ISNUMBER(D155:K155)),1))</f>
        <v/>
      </c>
    </row>
    <row r="156">
      <c r="A156" t="inlineStr">
        <is>
          <t>Ruvuma</t>
        </is>
      </c>
      <c r="B156" t="inlineStr">
        <is>
          <t>Mbinga District</t>
        </is>
      </c>
      <c r="C156" t="inlineStr">
        <is>
          <t>C076</t>
        </is>
      </c>
      <c r="D156" s="7">
        <f>IF(SUMPRODUCT(ISNUMBER('Advanced 0-10'!D156:J156)*'Advanced Entry'!D$9:J$9)=0,"",ROUND(SUMPRODUCT(IFERROR('Advanced 0-10'!D156:J156*1,0)*'Advanced Entry'!D$9:J$9)/SUMPRODUCT(ISNUMBER('Advanced 0-10'!D156:J156)*'Advanced Entry'!D$9:J$9),1))</f>
        <v/>
      </c>
      <c r="E156" s="7">
        <f>IF(SUMPRODUCT(ISNUMBER('Advanced 0-10'!K156:O156)*'Advanced Entry'!K$9:O$9)=0,"",ROUND(SUMPRODUCT(IFERROR('Advanced 0-10'!K156:O156*1,0)*'Advanced Entry'!K$9:O$9)/SUMPRODUCT(ISNUMBER('Advanced 0-10'!K156:O156)*'Advanced Entry'!K$9:O$9),1))</f>
        <v/>
      </c>
      <c r="F156" s="7">
        <f>IF(SUMPRODUCT(ISNUMBER('Advanced 0-10'!P156:Q156)*'Advanced Entry'!P$9:Q$9)=0,"",ROUND(SUMPRODUCT(IFERROR('Advanced 0-10'!P156:Q156*1,0)*'Advanced Entry'!P$9:Q$9)/SUMPRODUCT(ISNUMBER('Advanced 0-10'!P156:Q156)*'Advanced Entry'!P$9:Q$9),1))</f>
        <v/>
      </c>
      <c r="G156" s="7">
        <f>IF(SUMPRODUCT(ISNUMBER('Advanced 0-10'!R156:S156)*'Advanced Entry'!R$9:S$9)=0,"",ROUND(SUMPRODUCT(IFERROR('Advanced 0-10'!R156:S156*1,0)*'Advanced Entry'!R$9:S$9)/SUMPRODUCT(ISNUMBER('Advanced 0-10'!R156:S156)*'Advanced Entry'!R$9:S$9),1))</f>
        <v/>
      </c>
      <c r="H156" s="7">
        <f>IF(SUMPRODUCT(ISNUMBER('Advanced 0-10'!T156:U156)*'Advanced Entry'!T$9:U$9)=0,"",ROUND(SUMPRODUCT(IFERROR('Advanced 0-10'!T156:U156*1,0)*'Advanced Entry'!T$9:U$9)/SUMPRODUCT(ISNUMBER('Advanced 0-10'!T156:U156)*'Advanced Entry'!T$9:U$9),1))</f>
        <v/>
      </c>
      <c r="I156" s="7">
        <f>IF(SUMPRODUCT(ISNUMBER('Advanced 0-10'!V156:Z156)*'Advanced Entry'!V$9:Z$9)=0,"",ROUND(SUMPRODUCT(IFERROR('Advanced 0-10'!V156:Z156*1,0)*'Advanced Entry'!V$9:Z$9)/SUMPRODUCT(ISNUMBER('Advanced 0-10'!V156:Z156)*'Advanced Entry'!V$9:Z$9),1))</f>
        <v/>
      </c>
      <c r="J156" s="7">
        <f>IF(SUMPRODUCT(ISNUMBER('Advanced 0-10'!AA156:AA156)*'Advanced Entry'!AA$9:AA$9)=0,"",ROUND(SUMPRODUCT(IFERROR('Advanced 0-10'!AA156:AA156*1,0)*'Advanced Entry'!AA$9:AA$9)/SUMPRODUCT(ISNUMBER('Advanced 0-10'!AA156:AA156)*'Advanced Entry'!AA$9:AA$9),1))</f>
        <v/>
      </c>
      <c r="K156" s="7">
        <f>IF(SUMPRODUCT(ISNUMBER('Advanced 0-10'!AB156:AB156)*'Advanced Entry'!AB$9:AB$9)=0,"",ROUND(SUMPRODUCT(IFERROR('Advanced 0-10'!AB156:AB156*1,0)*'Advanced Entry'!AB$9:AB$9)/SUMPRODUCT(ISNUMBER('Advanced 0-10'!AB156:AB156)*'Advanced Entry'!AB$9:AB$9),1))</f>
        <v/>
      </c>
      <c r="L156" s="19">
        <f>IF(SUMPRODUCT(--ISNUMBER(D156:K156))=0,"",ROUND(SUMPRODUCT(IFERROR(D156:K156*1,0))/SUMPRODUCT(--ISNUMBER(D156:K156)),1))</f>
        <v/>
      </c>
    </row>
    <row r="157">
      <c r="A157" t="inlineStr">
        <is>
          <t>Ruvuma</t>
        </is>
      </c>
      <c r="B157" t="inlineStr">
        <is>
          <t>Mbinga Town</t>
        </is>
      </c>
      <c r="C157" t="inlineStr">
        <is>
          <t>C077</t>
        </is>
      </c>
      <c r="D157" s="7">
        <f>IF(SUMPRODUCT(ISNUMBER('Advanced 0-10'!D157:J157)*'Advanced Entry'!D$9:J$9)=0,"",ROUND(SUMPRODUCT(IFERROR('Advanced 0-10'!D157:J157*1,0)*'Advanced Entry'!D$9:J$9)/SUMPRODUCT(ISNUMBER('Advanced 0-10'!D157:J157)*'Advanced Entry'!D$9:J$9),1))</f>
        <v/>
      </c>
      <c r="E157" s="7">
        <f>IF(SUMPRODUCT(ISNUMBER('Advanced 0-10'!K157:O157)*'Advanced Entry'!K$9:O$9)=0,"",ROUND(SUMPRODUCT(IFERROR('Advanced 0-10'!K157:O157*1,0)*'Advanced Entry'!K$9:O$9)/SUMPRODUCT(ISNUMBER('Advanced 0-10'!K157:O157)*'Advanced Entry'!K$9:O$9),1))</f>
        <v/>
      </c>
      <c r="F157" s="7">
        <f>IF(SUMPRODUCT(ISNUMBER('Advanced 0-10'!P157:Q157)*'Advanced Entry'!P$9:Q$9)=0,"",ROUND(SUMPRODUCT(IFERROR('Advanced 0-10'!P157:Q157*1,0)*'Advanced Entry'!P$9:Q$9)/SUMPRODUCT(ISNUMBER('Advanced 0-10'!P157:Q157)*'Advanced Entry'!P$9:Q$9),1))</f>
        <v/>
      </c>
      <c r="G157" s="7">
        <f>IF(SUMPRODUCT(ISNUMBER('Advanced 0-10'!R157:S157)*'Advanced Entry'!R$9:S$9)=0,"",ROUND(SUMPRODUCT(IFERROR('Advanced 0-10'!R157:S157*1,0)*'Advanced Entry'!R$9:S$9)/SUMPRODUCT(ISNUMBER('Advanced 0-10'!R157:S157)*'Advanced Entry'!R$9:S$9),1))</f>
        <v/>
      </c>
      <c r="H157" s="7">
        <f>IF(SUMPRODUCT(ISNUMBER('Advanced 0-10'!T157:U157)*'Advanced Entry'!T$9:U$9)=0,"",ROUND(SUMPRODUCT(IFERROR('Advanced 0-10'!T157:U157*1,0)*'Advanced Entry'!T$9:U$9)/SUMPRODUCT(ISNUMBER('Advanced 0-10'!T157:U157)*'Advanced Entry'!T$9:U$9),1))</f>
        <v/>
      </c>
      <c r="I157" s="7">
        <f>IF(SUMPRODUCT(ISNUMBER('Advanced 0-10'!V157:Z157)*'Advanced Entry'!V$9:Z$9)=0,"",ROUND(SUMPRODUCT(IFERROR('Advanced 0-10'!V157:Z157*1,0)*'Advanced Entry'!V$9:Z$9)/SUMPRODUCT(ISNUMBER('Advanced 0-10'!V157:Z157)*'Advanced Entry'!V$9:Z$9),1))</f>
        <v/>
      </c>
      <c r="J157" s="7">
        <f>IF(SUMPRODUCT(ISNUMBER('Advanced 0-10'!AA157:AA157)*'Advanced Entry'!AA$9:AA$9)=0,"",ROUND(SUMPRODUCT(IFERROR('Advanced 0-10'!AA157:AA157*1,0)*'Advanced Entry'!AA$9:AA$9)/SUMPRODUCT(ISNUMBER('Advanced 0-10'!AA157:AA157)*'Advanced Entry'!AA$9:AA$9),1))</f>
        <v/>
      </c>
      <c r="K157" s="7">
        <f>IF(SUMPRODUCT(ISNUMBER('Advanced 0-10'!AB157:AB157)*'Advanced Entry'!AB$9:AB$9)=0,"",ROUND(SUMPRODUCT(IFERROR('Advanced 0-10'!AB157:AB157*1,0)*'Advanced Entry'!AB$9:AB$9)/SUMPRODUCT(ISNUMBER('Advanced 0-10'!AB157:AB157)*'Advanced Entry'!AB$9:AB$9),1))</f>
        <v/>
      </c>
      <c r="L157" s="19">
        <f>IF(SUMPRODUCT(--ISNUMBER(D157:K157))=0,"",ROUND(SUMPRODUCT(IFERROR(D157:K157*1,0))/SUMPRODUCT(--ISNUMBER(D157:K157)),1))</f>
        <v/>
      </c>
    </row>
    <row r="158">
      <c r="A158" t="inlineStr">
        <is>
          <t>Ruvuma</t>
        </is>
      </c>
      <c r="B158" t="inlineStr">
        <is>
          <t>Namtumbo District</t>
        </is>
      </c>
      <c r="C158" t="inlineStr">
        <is>
          <t>C079</t>
        </is>
      </c>
      <c r="D158" s="7">
        <f>IF(SUMPRODUCT(ISNUMBER('Advanced 0-10'!D158:J158)*'Advanced Entry'!D$9:J$9)=0,"",ROUND(SUMPRODUCT(IFERROR('Advanced 0-10'!D158:J158*1,0)*'Advanced Entry'!D$9:J$9)/SUMPRODUCT(ISNUMBER('Advanced 0-10'!D158:J158)*'Advanced Entry'!D$9:J$9),1))</f>
        <v/>
      </c>
      <c r="E158" s="7">
        <f>IF(SUMPRODUCT(ISNUMBER('Advanced 0-10'!K158:O158)*'Advanced Entry'!K$9:O$9)=0,"",ROUND(SUMPRODUCT(IFERROR('Advanced 0-10'!K158:O158*1,0)*'Advanced Entry'!K$9:O$9)/SUMPRODUCT(ISNUMBER('Advanced 0-10'!K158:O158)*'Advanced Entry'!K$9:O$9),1))</f>
        <v/>
      </c>
      <c r="F158" s="7">
        <f>IF(SUMPRODUCT(ISNUMBER('Advanced 0-10'!P158:Q158)*'Advanced Entry'!P$9:Q$9)=0,"",ROUND(SUMPRODUCT(IFERROR('Advanced 0-10'!P158:Q158*1,0)*'Advanced Entry'!P$9:Q$9)/SUMPRODUCT(ISNUMBER('Advanced 0-10'!P158:Q158)*'Advanced Entry'!P$9:Q$9),1))</f>
        <v/>
      </c>
      <c r="G158" s="7">
        <f>IF(SUMPRODUCT(ISNUMBER('Advanced 0-10'!R158:S158)*'Advanced Entry'!R$9:S$9)=0,"",ROUND(SUMPRODUCT(IFERROR('Advanced 0-10'!R158:S158*1,0)*'Advanced Entry'!R$9:S$9)/SUMPRODUCT(ISNUMBER('Advanced 0-10'!R158:S158)*'Advanced Entry'!R$9:S$9),1))</f>
        <v/>
      </c>
      <c r="H158" s="7">
        <f>IF(SUMPRODUCT(ISNUMBER('Advanced 0-10'!T158:U158)*'Advanced Entry'!T$9:U$9)=0,"",ROUND(SUMPRODUCT(IFERROR('Advanced 0-10'!T158:U158*1,0)*'Advanced Entry'!T$9:U$9)/SUMPRODUCT(ISNUMBER('Advanced 0-10'!T158:U158)*'Advanced Entry'!T$9:U$9),1))</f>
        <v/>
      </c>
      <c r="I158" s="7">
        <f>IF(SUMPRODUCT(ISNUMBER('Advanced 0-10'!V158:Z158)*'Advanced Entry'!V$9:Z$9)=0,"",ROUND(SUMPRODUCT(IFERROR('Advanced 0-10'!V158:Z158*1,0)*'Advanced Entry'!V$9:Z$9)/SUMPRODUCT(ISNUMBER('Advanced 0-10'!V158:Z158)*'Advanced Entry'!V$9:Z$9),1))</f>
        <v/>
      </c>
      <c r="J158" s="7">
        <f>IF(SUMPRODUCT(ISNUMBER('Advanced 0-10'!AA158:AA158)*'Advanced Entry'!AA$9:AA$9)=0,"",ROUND(SUMPRODUCT(IFERROR('Advanced 0-10'!AA158:AA158*1,0)*'Advanced Entry'!AA$9:AA$9)/SUMPRODUCT(ISNUMBER('Advanced 0-10'!AA158:AA158)*'Advanced Entry'!AA$9:AA$9),1))</f>
        <v/>
      </c>
      <c r="K158" s="7">
        <f>IF(SUMPRODUCT(ISNUMBER('Advanced 0-10'!AB158:AB158)*'Advanced Entry'!AB$9:AB$9)=0,"",ROUND(SUMPRODUCT(IFERROR('Advanced 0-10'!AB158:AB158*1,0)*'Advanced Entry'!AB$9:AB$9)/SUMPRODUCT(ISNUMBER('Advanced 0-10'!AB158:AB158)*'Advanced Entry'!AB$9:AB$9),1))</f>
        <v/>
      </c>
      <c r="L158" s="19">
        <f>IF(SUMPRODUCT(--ISNUMBER(D158:K158))=0,"",ROUND(SUMPRODUCT(IFERROR(D158:K158*1,0))/SUMPRODUCT(--ISNUMBER(D158:K158)),1))</f>
        <v/>
      </c>
    </row>
    <row r="159">
      <c r="A159" t="inlineStr">
        <is>
          <t>Ruvuma</t>
        </is>
      </c>
      <c r="B159" t="inlineStr">
        <is>
          <t>Nyasa District</t>
        </is>
      </c>
      <c r="C159" t="inlineStr">
        <is>
          <t>C078</t>
        </is>
      </c>
      <c r="D159" s="7">
        <f>IF(SUMPRODUCT(ISNUMBER('Advanced 0-10'!D159:J159)*'Advanced Entry'!D$9:J$9)=0,"",ROUND(SUMPRODUCT(IFERROR('Advanced 0-10'!D159:J159*1,0)*'Advanced Entry'!D$9:J$9)/SUMPRODUCT(ISNUMBER('Advanced 0-10'!D159:J159)*'Advanced Entry'!D$9:J$9),1))</f>
        <v/>
      </c>
      <c r="E159" s="7">
        <f>IF(SUMPRODUCT(ISNUMBER('Advanced 0-10'!K159:O159)*'Advanced Entry'!K$9:O$9)=0,"",ROUND(SUMPRODUCT(IFERROR('Advanced 0-10'!K159:O159*1,0)*'Advanced Entry'!K$9:O$9)/SUMPRODUCT(ISNUMBER('Advanced 0-10'!K159:O159)*'Advanced Entry'!K$9:O$9),1))</f>
        <v/>
      </c>
      <c r="F159" s="7">
        <f>IF(SUMPRODUCT(ISNUMBER('Advanced 0-10'!P159:Q159)*'Advanced Entry'!P$9:Q$9)=0,"",ROUND(SUMPRODUCT(IFERROR('Advanced 0-10'!P159:Q159*1,0)*'Advanced Entry'!P$9:Q$9)/SUMPRODUCT(ISNUMBER('Advanced 0-10'!P159:Q159)*'Advanced Entry'!P$9:Q$9),1))</f>
        <v/>
      </c>
      <c r="G159" s="7">
        <f>IF(SUMPRODUCT(ISNUMBER('Advanced 0-10'!R159:S159)*'Advanced Entry'!R$9:S$9)=0,"",ROUND(SUMPRODUCT(IFERROR('Advanced 0-10'!R159:S159*1,0)*'Advanced Entry'!R$9:S$9)/SUMPRODUCT(ISNUMBER('Advanced 0-10'!R159:S159)*'Advanced Entry'!R$9:S$9),1))</f>
        <v/>
      </c>
      <c r="H159" s="7">
        <f>IF(SUMPRODUCT(ISNUMBER('Advanced 0-10'!T159:U159)*'Advanced Entry'!T$9:U$9)=0,"",ROUND(SUMPRODUCT(IFERROR('Advanced 0-10'!T159:U159*1,0)*'Advanced Entry'!T$9:U$9)/SUMPRODUCT(ISNUMBER('Advanced 0-10'!T159:U159)*'Advanced Entry'!T$9:U$9),1))</f>
        <v/>
      </c>
      <c r="I159" s="7">
        <f>IF(SUMPRODUCT(ISNUMBER('Advanced 0-10'!V159:Z159)*'Advanced Entry'!V$9:Z$9)=0,"",ROUND(SUMPRODUCT(IFERROR('Advanced 0-10'!V159:Z159*1,0)*'Advanced Entry'!V$9:Z$9)/SUMPRODUCT(ISNUMBER('Advanced 0-10'!V159:Z159)*'Advanced Entry'!V$9:Z$9),1))</f>
        <v/>
      </c>
      <c r="J159" s="7">
        <f>IF(SUMPRODUCT(ISNUMBER('Advanced 0-10'!AA159:AA159)*'Advanced Entry'!AA$9:AA$9)=0,"",ROUND(SUMPRODUCT(IFERROR('Advanced 0-10'!AA159:AA159*1,0)*'Advanced Entry'!AA$9:AA$9)/SUMPRODUCT(ISNUMBER('Advanced 0-10'!AA159:AA159)*'Advanced Entry'!AA$9:AA$9),1))</f>
        <v/>
      </c>
      <c r="K159" s="7">
        <f>IF(SUMPRODUCT(ISNUMBER('Advanced 0-10'!AB159:AB159)*'Advanced Entry'!AB$9:AB$9)=0,"",ROUND(SUMPRODUCT(IFERROR('Advanced 0-10'!AB159:AB159*1,0)*'Advanced Entry'!AB$9:AB$9)/SUMPRODUCT(ISNUMBER('Advanced 0-10'!AB159:AB159)*'Advanced Entry'!AB$9:AB$9),1))</f>
        <v/>
      </c>
      <c r="L159" s="19">
        <f>IF(SUMPRODUCT(--ISNUMBER(D159:K159))=0,"",ROUND(SUMPRODUCT(IFERROR(D159:K159*1,0))/SUMPRODUCT(--ISNUMBER(D159:K159)),1))</f>
        <v/>
      </c>
    </row>
    <row r="160">
      <c r="A160" t="inlineStr">
        <is>
          <t>Ruvuma</t>
        </is>
      </c>
      <c r="B160" t="inlineStr">
        <is>
          <t>Songea District</t>
        </is>
      </c>
      <c r="C160" t="inlineStr">
        <is>
          <t>C073</t>
        </is>
      </c>
      <c r="D160" s="7">
        <f>IF(SUMPRODUCT(ISNUMBER('Advanced 0-10'!D160:J160)*'Advanced Entry'!D$9:J$9)=0,"",ROUND(SUMPRODUCT(IFERROR('Advanced 0-10'!D160:J160*1,0)*'Advanced Entry'!D$9:J$9)/SUMPRODUCT(ISNUMBER('Advanced 0-10'!D160:J160)*'Advanced Entry'!D$9:J$9),1))</f>
        <v/>
      </c>
      <c r="E160" s="7">
        <f>IF(SUMPRODUCT(ISNUMBER('Advanced 0-10'!K160:O160)*'Advanced Entry'!K$9:O$9)=0,"",ROUND(SUMPRODUCT(IFERROR('Advanced 0-10'!K160:O160*1,0)*'Advanced Entry'!K$9:O$9)/SUMPRODUCT(ISNUMBER('Advanced 0-10'!K160:O160)*'Advanced Entry'!K$9:O$9),1))</f>
        <v/>
      </c>
      <c r="F160" s="7">
        <f>IF(SUMPRODUCT(ISNUMBER('Advanced 0-10'!P160:Q160)*'Advanced Entry'!P$9:Q$9)=0,"",ROUND(SUMPRODUCT(IFERROR('Advanced 0-10'!P160:Q160*1,0)*'Advanced Entry'!P$9:Q$9)/SUMPRODUCT(ISNUMBER('Advanced 0-10'!P160:Q160)*'Advanced Entry'!P$9:Q$9),1))</f>
        <v/>
      </c>
      <c r="G160" s="7">
        <f>IF(SUMPRODUCT(ISNUMBER('Advanced 0-10'!R160:S160)*'Advanced Entry'!R$9:S$9)=0,"",ROUND(SUMPRODUCT(IFERROR('Advanced 0-10'!R160:S160*1,0)*'Advanced Entry'!R$9:S$9)/SUMPRODUCT(ISNUMBER('Advanced 0-10'!R160:S160)*'Advanced Entry'!R$9:S$9),1))</f>
        <v/>
      </c>
      <c r="H160" s="7">
        <f>IF(SUMPRODUCT(ISNUMBER('Advanced 0-10'!T160:U160)*'Advanced Entry'!T$9:U$9)=0,"",ROUND(SUMPRODUCT(IFERROR('Advanced 0-10'!T160:U160*1,0)*'Advanced Entry'!T$9:U$9)/SUMPRODUCT(ISNUMBER('Advanced 0-10'!T160:U160)*'Advanced Entry'!T$9:U$9),1))</f>
        <v/>
      </c>
      <c r="I160" s="7">
        <f>IF(SUMPRODUCT(ISNUMBER('Advanced 0-10'!V160:Z160)*'Advanced Entry'!V$9:Z$9)=0,"",ROUND(SUMPRODUCT(IFERROR('Advanced 0-10'!V160:Z160*1,0)*'Advanced Entry'!V$9:Z$9)/SUMPRODUCT(ISNUMBER('Advanced 0-10'!V160:Z160)*'Advanced Entry'!V$9:Z$9),1))</f>
        <v/>
      </c>
      <c r="J160" s="7">
        <f>IF(SUMPRODUCT(ISNUMBER('Advanced 0-10'!AA160:AA160)*'Advanced Entry'!AA$9:AA$9)=0,"",ROUND(SUMPRODUCT(IFERROR('Advanced 0-10'!AA160:AA160*1,0)*'Advanced Entry'!AA$9:AA$9)/SUMPRODUCT(ISNUMBER('Advanced 0-10'!AA160:AA160)*'Advanced Entry'!AA$9:AA$9),1))</f>
        <v/>
      </c>
      <c r="K160" s="7">
        <f>IF(SUMPRODUCT(ISNUMBER('Advanced 0-10'!AB160:AB160)*'Advanced Entry'!AB$9:AB$9)=0,"",ROUND(SUMPRODUCT(IFERROR('Advanced 0-10'!AB160:AB160*1,0)*'Advanced Entry'!AB$9:AB$9)/SUMPRODUCT(ISNUMBER('Advanced 0-10'!AB160:AB160)*'Advanced Entry'!AB$9:AB$9),1))</f>
        <v/>
      </c>
      <c r="L160" s="19">
        <f>IF(SUMPRODUCT(--ISNUMBER(D160:K160))=0,"",ROUND(SUMPRODUCT(IFERROR(D160:K160*1,0))/SUMPRODUCT(--ISNUMBER(D160:K160)),1))</f>
        <v/>
      </c>
    </row>
    <row r="161">
      <c r="A161" t="inlineStr">
        <is>
          <t>Ruvuma</t>
        </is>
      </c>
      <c r="B161" t="inlineStr">
        <is>
          <t>Songea Municipal</t>
        </is>
      </c>
      <c r="C161" t="inlineStr">
        <is>
          <t>C074</t>
        </is>
      </c>
      <c r="D161" s="7">
        <f>IF(SUMPRODUCT(ISNUMBER('Advanced 0-10'!D161:J161)*'Advanced Entry'!D$9:J$9)=0,"",ROUND(SUMPRODUCT(IFERROR('Advanced 0-10'!D161:J161*1,0)*'Advanced Entry'!D$9:J$9)/SUMPRODUCT(ISNUMBER('Advanced 0-10'!D161:J161)*'Advanced Entry'!D$9:J$9),1))</f>
        <v/>
      </c>
      <c r="E161" s="7">
        <f>IF(SUMPRODUCT(ISNUMBER('Advanced 0-10'!K161:O161)*'Advanced Entry'!K$9:O$9)=0,"",ROUND(SUMPRODUCT(IFERROR('Advanced 0-10'!K161:O161*1,0)*'Advanced Entry'!K$9:O$9)/SUMPRODUCT(ISNUMBER('Advanced 0-10'!K161:O161)*'Advanced Entry'!K$9:O$9),1))</f>
        <v/>
      </c>
      <c r="F161" s="7">
        <f>IF(SUMPRODUCT(ISNUMBER('Advanced 0-10'!P161:Q161)*'Advanced Entry'!P$9:Q$9)=0,"",ROUND(SUMPRODUCT(IFERROR('Advanced 0-10'!P161:Q161*1,0)*'Advanced Entry'!P$9:Q$9)/SUMPRODUCT(ISNUMBER('Advanced 0-10'!P161:Q161)*'Advanced Entry'!P$9:Q$9),1))</f>
        <v/>
      </c>
      <c r="G161" s="7">
        <f>IF(SUMPRODUCT(ISNUMBER('Advanced 0-10'!R161:S161)*'Advanced Entry'!R$9:S$9)=0,"",ROUND(SUMPRODUCT(IFERROR('Advanced 0-10'!R161:S161*1,0)*'Advanced Entry'!R$9:S$9)/SUMPRODUCT(ISNUMBER('Advanced 0-10'!R161:S161)*'Advanced Entry'!R$9:S$9),1))</f>
        <v/>
      </c>
      <c r="H161" s="7">
        <f>IF(SUMPRODUCT(ISNUMBER('Advanced 0-10'!T161:U161)*'Advanced Entry'!T$9:U$9)=0,"",ROUND(SUMPRODUCT(IFERROR('Advanced 0-10'!T161:U161*1,0)*'Advanced Entry'!T$9:U$9)/SUMPRODUCT(ISNUMBER('Advanced 0-10'!T161:U161)*'Advanced Entry'!T$9:U$9),1))</f>
        <v/>
      </c>
      <c r="I161" s="7">
        <f>IF(SUMPRODUCT(ISNUMBER('Advanced 0-10'!V161:Z161)*'Advanced Entry'!V$9:Z$9)=0,"",ROUND(SUMPRODUCT(IFERROR('Advanced 0-10'!V161:Z161*1,0)*'Advanced Entry'!V$9:Z$9)/SUMPRODUCT(ISNUMBER('Advanced 0-10'!V161:Z161)*'Advanced Entry'!V$9:Z$9),1))</f>
        <v/>
      </c>
      <c r="J161" s="7">
        <f>IF(SUMPRODUCT(ISNUMBER('Advanced 0-10'!AA161:AA161)*'Advanced Entry'!AA$9:AA$9)=0,"",ROUND(SUMPRODUCT(IFERROR('Advanced 0-10'!AA161:AA161*1,0)*'Advanced Entry'!AA$9:AA$9)/SUMPRODUCT(ISNUMBER('Advanced 0-10'!AA161:AA161)*'Advanced Entry'!AA$9:AA$9),1))</f>
        <v/>
      </c>
      <c r="K161" s="7">
        <f>IF(SUMPRODUCT(ISNUMBER('Advanced 0-10'!AB161:AB161)*'Advanced Entry'!AB$9:AB$9)=0,"",ROUND(SUMPRODUCT(IFERROR('Advanced 0-10'!AB161:AB161*1,0)*'Advanced Entry'!AB$9:AB$9)/SUMPRODUCT(ISNUMBER('Advanced 0-10'!AB161:AB161)*'Advanced Entry'!AB$9:AB$9),1))</f>
        <v/>
      </c>
      <c r="L161" s="19">
        <f>IF(SUMPRODUCT(--ISNUMBER(D161:K161))=0,"",ROUND(SUMPRODUCT(IFERROR(D161:K161*1,0))/SUMPRODUCT(--ISNUMBER(D161:K161)),1))</f>
        <v/>
      </c>
    </row>
    <row r="162">
      <c r="A162" t="inlineStr">
        <is>
          <t>Ruvuma</t>
        </is>
      </c>
      <c r="B162" t="inlineStr">
        <is>
          <t>Tunduru District</t>
        </is>
      </c>
      <c r="C162" t="inlineStr">
        <is>
          <t>C072</t>
        </is>
      </c>
      <c r="D162" s="7">
        <f>IF(SUMPRODUCT(ISNUMBER('Advanced 0-10'!D162:J162)*'Advanced Entry'!D$9:J$9)=0,"",ROUND(SUMPRODUCT(IFERROR('Advanced 0-10'!D162:J162*1,0)*'Advanced Entry'!D$9:J$9)/SUMPRODUCT(ISNUMBER('Advanced 0-10'!D162:J162)*'Advanced Entry'!D$9:J$9),1))</f>
        <v/>
      </c>
      <c r="E162" s="7">
        <f>IF(SUMPRODUCT(ISNUMBER('Advanced 0-10'!K162:O162)*'Advanced Entry'!K$9:O$9)=0,"",ROUND(SUMPRODUCT(IFERROR('Advanced 0-10'!K162:O162*1,0)*'Advanced Entry'!K$9:O$9)/SUMPRODUCT(ISNUMBER('Advanced 0-10'!K162:O162)*'Advanced Entry'!K$9:O$9),1))</f>
        <v/>
      </c>
      <c r="F162" s="7">
        <f>IF(SUMPRODUCT(ISNUMBER('Advanced 0-10'!P162:Q162)*'Advanced Entry'!P$9:Q$9)=0,"",ROUND(SUMPRODUCT(IFERROR('Advanced 0-10'!P162:Q162*1,0)*'Advanced Entry'!P$9:Q$9)/SUMPRODUCT(ISNUMBER('Advanced 0-10'!P162:Q162)*'Advanced Entry'!P$9:Q$9),1))</f>
        <v/>
      </c>
      <c r="G162" s="7">
        <f>IF(SUMPRODUCT(ISNUMBER('Advanced 0-10'!R162:S162)*'Advanced Entry'!R$9:S$9)=0,"",ROUND(SUMPRODUCT(IFERROR('Advanced 0-10'!R162:S162*1,0)*'Advanced Entry'!R$9:S$9)/SUMPRODUCT(ISNUMBER('Advanced 0-10'!R162:S162)*'Advanced Entry'!R$9:S$9),1))</f>
        <v/>
      </c>
      <c r="H162" s="7">
        <f>IF(SUMPRODUCT(ISNUMBER('Advanced 0-10'!T162:U162)*'Advanced Entry'!T$9:U$9)=0,"",ROUND(SUMPRODUCT(IFERROR('Advanced 0-10'!T162:U162*1,0)*'Advanced Entry'!T$9:U$9)/SUMPRODUCT(ISNUMBER('Advanced 0-10'!T162:U162)*'Advanced Entry'!T$9:U$9),1))</f>
        <v/>
      </c>
      <c r="I162" s="7">
        <f>IF(SUMPRODUCT(ISNUMBER('Advanced 0-10'!V162:Z162)*'Advanced Entry'!V$9:Z$9)=0,"",ROUND(SUMPRODUCT(IFERROR('Advanced 0-10'!V162:Z162*1,0)*'Advanced Entry'!V$9:Z$9)/SUMPRODUCT(ISNUMBER('Advanced 0-10'!V162:Z162)*'Advanced Entry'!V$9:Z$9),1))</f>
        <v/>
      </c>
      <c r="J162" s="7">
        <f>IF(SUMPRODUCT(ISNUMBER('Advanced 0-10'!AA162:AA162)*'Advanced Entry'!AA$9:AA$9)=0,"",ROUND(SUMPRODUCT(IFERROR('Advanced 0-10'!AA162:AA162*1,0)*'Advanced Entry'!AA$9:AA$9)/SUMPRODUCT(ISNUMBER('Advanced 0-10'!AA162:AA162)*'Advanced Entry'!AA$9:AA$9),1))</f>
        <v/>
      </c>
      <c r="K162" s="7">
        <f>IF(SUMPRODUCT(ISNUMBER('Advanced 0-10'!AB162:AB162)*'Advanced Entry'!AB$9:AB$9)=0,"",ROUND(SUMPRODUCT(IFERROR('Advanced 0-10'!AB162:AB162*1,0)*'Advanced Entry'!AB$9:AB$9)/SUMPRODUCT(ISNUMBER('Advanced 0-10'!AB162:AB162)*'Advanced Entry'!AB$9:AB$9),1))</f>
        <v/>
      </c>
      <c r="L162" s="19">
        <f>IF(SUMPRODUCT(--ISNUMBER(D162:K162))=0,"",ROUND(SUMPRODUCT(IFERROR(D162:K162*1,0))/SUMPRODUCT(--ISNUMBER(D162:K162)),1))</f>
        <v/>
      </c>
    </row>
    <row r="163">
      <c r="A163" t="inlineStr">
        <is>
          <t>Shinyanga</t>
        </is>
      </c>
      <c r="B163" t="inlineStr">
        <is>
          <t>Kahama Municipal</t>
        </is>
      </c>
      <c r="C163" t="inlineStr">
        <is>
          <t>C120</t>
        </is>
      </c>
      <c r="D163" s="7">
        <f>IF(SUMPRODUCT(ISNUMBER('Advanced 0-10'!D163:J163)*'Advanced Entry'!D$9:J$9)=0,"",ROUND(SUMPRODUCT(IFERROR('Advanced 0-10'!D163:J163*1,0)*'Advanced Entry'!D$9:J$9)/SUMPRODUCT(ISNUMBER('Advanced 0-10'!D163:J163)*'Advanced Entry'!D$9:J$9),1))</f>
        <v/>
      </c>
      <c r="E163" s="7">
        <f>IF(SUMPRODUCT(ISNUMBER('Advanced 0-10'!K163:O163)*'Advanced Entry'!K$9:O$9)=0,"",ROUND(SUMPRODUCT(IFERROR('Advanced 0-10'!K163:O163*1,0)*'Advanced Entry'!K$9:O$9)/SUMPRODUCT(ISNUMBER('Advanced 0-10'!K163:O163)*'Advanced Entry'!K$9:O$9),1))</f>
        <v/>
      </c>
      <c r="F163" s="7">
        <f>IF(SUMPRODUCT(ISNUMBER('Advanced 0-10'!P163:Q163)*'Advanced Entry'!P$9:Q$9)=0,"",ROUND(SUMPRODUCT(IFERROR('Advanced 0-10'!P163:Q163*1,0)*'Advanced Entry'!P$9:Q$9)/SUMPRODUCT(ISNUMBER('Advanced 0-10'!P163:Q163)*'Advanced Entry'!P$9:Q$9),1))</f>
        <v/>
      </c>
      <c r="G163" s="7">
        <f>IF(SUMPRODUCT(ISNUMBER('Advanced 0-10'!R163:S163)*'Advanced Entry'!R$9:S$9)=0,"",ROUND(SUMPRODUCT(IFERROR('Advanced 0-10'!R163:S163*1,0)*'Advanced Entry'!R$9:S$9)/SUMPRODUCT(ISNUMBER('Advanced 0-10'!R163:S163)*'Advanced Entry'!R$9:S$9),1))</f>
        <v/>
      </c>
      <c r="H163" s="7">
        <f>IF(SUMPRODUCT(ISNUMBER('Advanced 0-10'!T163:U163)*'Advanced Entry'!T$9:U$9)=0,"",ROUND(SUMPRODUCT(IFERROR('Advanced 0-10'!T163:U163*1,0)*'Advanced Entry'!T$9:U$9)/SUMPRODUCT(ISNUMBER('Advanced 0-10'!T163:U163)*'Advanced Entry'!T$9:U$9),1))</f>
        <v/>
      </c>
      <c r="I163" s="7">
        <f>IF(SUMPRODUCT(ISNUMBER('Advanced 0-10'!V163:Z163)*'Advanced Entry'!V$9:Z$9)=0,"",ROUND(SUMPRODUCT(IFERROR('Advanced 0-10'!V163:Z163*1,0)*'Advanced Entry'!V$9:Z$9)/SUMPRODUCT(ISNUMBER('Advanced 0-10'!V163:Z163)*'Advanced Entry'!V$9:Z$9),1))</f>
        <v/>
      </c>
      <c r="J163" s="7">
        <f>IF(SUMPRODUCT(ISNUMBER('Advanced 0-10'!AA163:AA163)*'Advanced Entry'!AA$9:AA$9)=0,"",ROUND(SUMPRODUCT(IFERROR('Advanced 0-10'!AA163:AA163*1,0)*'Advanced Entry'!AA$9:AA$9)/SUMPRODUCT(ISNUMBER('Advanced 0-10'!AA163:AA163)*'Advanced Entry'!AA$9:AA$9),1))</f>
        <v/>
      </c>
      <c r="K163" s="7">
        <f>IF(SUMPRODUCT(ISNUMBER('Advanced 0-10'!AB163:AB163)*'Advanced Entry'!AB$9:AB$9)=0,"",ROUND(SUMPRODUCT(IFERROR('Advanced 0-10'!AB163:AB163*1,0)*'Advanced Entry'!AB$9:AB$9)/SUMPRODUCT(ISNUMBER('Advanced 0-10'!AB163:AB163)*'Advanced Entry'!AB$9:AB$9),1))</f>
        <v/>
      </c>
      <c r="L163" s="19">
        <f>IF(SUMPRODUCT(--ISNUMBER(D163:K163))=0,"",ROUND(SUMPRODUCT(IFERROR(D163:K163*1,0))/SUMPRODUCT(--ISNUMBER(D163:K163)),1))</f>
        <v/>
      </c>
    </row>
    <row r="164">
      <c r="A164" t="inlineStr">
        <is>
          <t>Shinyanga</t>
        </is>
      </c>
      <c r="B164" t="inlineStr">
        <is>
          <t>Kishapu District</t>
        </is>
      </c>
      <c r="C164" t="inlineStr">
        <is>
          <t>C122</t>
        </is>
      </c>
      <c r="D164" s="7">
        <f>IF(SUMPRODUCT(ISNUMBER('Advanced 0-10'!D164:J164)*'Advanced Entry'!D$9:J$9)=0,"",ROUND(SUMPRODUCT(IFERROR('Advanced 0-10'!D164:J164*1,0)*'Advanced Entry'!D$9:J$9)/SUMPRODUCT(ISNUMBER('Advanced 0-10'!D164:J164)*'Advanced Entry'!D$9:J$9),1))</f>
        <v/>
      </c>
      <c r="E164" s="7">
        <f>IF(SUMPRODUCT(ISNUMBER('Advanced 0-10'!K164:O164)*'Advanced Entry'!K$9:O$9)=0,"",ROUND(SUMPRODUCT(IFERROR('Advanced 0-10'!K164:O164*1,0)*'Advanced Entry'!K$9:O$9)/SUMPRODUCT(ISNUMBER('Advanced 0-10'!K164:O164)*'Advanced Entry'!K$9:O$9),1))</f>
        <v/>
      </c>
      <c r="F164" s="7">
        <f>IF(SUMPRODUCT(ISNUMBER('Advanced 0-10'!P164:Q164)*'Advanced Entry'!P$9:Q$9)=0,"",ROUND(SUMPRODUCT(IFERROR('Advanced 0-10'!P164:Q164*1,0)*'Advanced Entry'!P$9:Q$9)/SUMPRODUCT(ISNUMBER('Advanced 0-10'!P164:Q164)*'Advanced Entry'!P$9:Q$9),1))</f>
        <v/>
      </c>
      <c r="G164" s="7">
        <f>IF(SUMPRODUCT(ISNUMBER('Advanced 0-10'!R164:S164)*'Advanced Entry'!R$9:S$9)=0,"",ROUND(SUMPRODUCT(IFERROR('Advanced 0-10'!R164:S164*1,0)*'Advanced Entry'!R$9:S$9)/SUMPRODUCT(ISNUMBER('Advanced 0-10'!R164:S164)*'Advanced Entry'!R$9:S$9),1))</f>
        <v/>
      </c>
      <c r="H164" s="7">
        <f>IF(SUMPRODUCT(ISNUMBER('Advanced 0-10'!T164:U164)*'Advanced Entry'!T$9:U$9)=0,"",ROUND(SUMPRODUCT(IFERROR('Advanced 0-10'!T164:U164*1,0)*'Advanced Entry'!T$9:U$9)/SUMPRODUCT(ISNUMBER('Advanced 0-10'!T164:U164)*'Advanced Entry'!T$9:U$9),1))</f>
        <v/>
      </c>
      <c r="I164" s="7">
        <f>IF(SUMPRODUCT(ISNUMBER('Advanced 0-10'!V164:Z164)*'Advanced Entry'!V$9:Z$9)=0,"",ROUND(SUMPRODUCT(IFERROR('Advanced 0-10'!V164:Z164*1,0)*'Advanced Entry'!V$9:Z$9)/SUMPRODUCT(ISNUMBER('Advanced 0-10'!V164:Z164)*'Advanced Entry'!V$9:Z$9),1))</f>
        <v/>
      </c>
      <c r="J164" s="7">
        <f>IF(SUMPRODUCT(ISNUMBER('Advanced 0-10'!AA164:AA164)*'Advanced Entry'!AA$9:AA$9)=0,"",ROUND(SUMPRODUCT(IFERROR('Advanced 0-10'!AA164:AA164*1,0)*'Advanced Entry'!AA$9:AA$9)/SUMPRODUCT(ISNUMBER('Advanced 0-10'!AA164:AA164)*'Advanced Entry'!AA$9:AA$9),1))</f>
        <v/>
      </c>
      <c r="K164" s="7">
        <f>IF(SUMPRODUCT(ISNUMBER('Advanced 0-10'!AB164:AB164)*'Advanced Entry'!AB$9:AB$9)=0,"",ROUND(SUMPRODUCT(IFERROR('Advanced 0-10'!AB164:AB164*1,0)*'Advanced Entry'!AB$9:AB$9)/SUMPRODUCT(ISNUMBER('Advanced 0-10'!AB164:AB164)*'Advanced Entry'!AB$9:AB$9),1))</f>
        <v/>
      </c>
      <c r="L164" s="19">
        <f>IF(SUMPRODUCT(--ISNUMBER(D164:K164))=0,"",ROUND(SUMPRODUCT(IFERROR(D164:K164*1,0))/SUMPRODUCT(--ISNUMBER(D164:K164)),1))</f>
        <v/>
      </c>
    </row>
    <row r="165">
      <c r="A165" t="inlineStr">
        <is>
          <t>Shinyanga</t>
        </is>
      </c>
      <c r="B165" t="inlineStr">
        <is>
          <t>Msalala District</t>
        </is>
      </c>
      <c r="C165" t="inlineStr">
        <is>
          <t>C121</t>
        </is>
      </c>
      <c r="D165" s="7">
        <f>IF(SUMPRODUCT(ISNUMBER('Advanced 0-10'!D165:J165)*'Advanced Entry'!D$9:J$9)=0,"",ROUND(SUMPRODUCT(IFERROR('Advanced 0-10'!D165:J165*1,0)*'Advanced Entry'!D$9:J$9)/SUMPRODUCT(ISNUMBER('Advanced 0-10'!D165:J165)*'Advanced Entry'!D$9:J$9),1))</f>
        <v/>
      </c>
      <c r="E165" s="7">
        <f>IF(SUMPRODUCT(ISNUMBER('Advanced 0-10'!K165:O165)*'Advanced Entry'!K$9:O$9)=0,"",ROUND(SUMPRODUCT(IFERROR('Advanced 0-10'!K165:O165*1,0)*'Advanced Entry'!K$9:O$9)/SUMPRODUCT(ISNUMBER('Advanced 0-10'!K165:O165)*'Advanced Entry'!K$9:O$9),1))</f>
        <v/>
      </c>
      <c r="F165" s="7">
        <f>IF(SUMPRODUCT(ISNUMBER('Advanced 0-10'!P165:Q165)*'Advanced Entry'!P$9:Q$9)=0,"",ROUND(SUMPRODUCT(IFERROR('Advanced 0-10'!P165:Q165*1,0)*'Advanced Entry'!P$9:Q$9)/SUMPRODUCT(ISNUMBER('Advanced 0-10'!P165:Q165)*'Advanced Entry'!P$9:Q$9),1))</f>
        <v/>
      </c>
      <c r="G165" s="7">
        <f>IF(SUMPRODUCT(ISNUMBER('Advanced 0-10'!R165:S165)*'Advanced Entry'!R$9:S$9)=0,"",ROUND(SUMPRODUCT(IFERROR('Advanced 0-10'!R165:S165*1,0)*'Advanced Entry'!R$9:S$9)/SUMPRODUCT(ISNUMBER('Advanced 0-10'!R165:S165)*'Advanced Entry'!R$9:S$9),1))</f>
        <v/>
      </c>
      <c r="H165" s="7">
        <f>IF(SUMPRODUCT(ISNUMBER('Advanced 0-10'!T165:U165)*'Advanced Entry'!T$9:U$9)=0,"",ROUND(SUMPRODUCT(IFERROR('Advanced 0-10'!T165:U165*1,0)*'Advanced Entry'!T$9:U$9)/SUMPRODUCT(ISNUMBER('Advanced 0-10'!T165:U165)*'Advanced Entry'!T$9:U$9),1))</f>
        <v/>
      </c>
      <c r="I165" s="7">
        <f>IF(SUMPRODUCT(ISNUMBER('Advanced 0-10'!V165:Z165)*'Advanced Entry'!V$9:Z$9)=0,"",ROUND(SUMPRODUCT(IFERROR('Advanced 0-10'!V165:Z165*1,0)*'Advanced Entry'!V$9:Z$9)/SUMPRODUCT(ISNUMBER('Advanced 0-10'!V165:Z165)*'Advanced Entry'!V$9:Z$9),1))</f>
        <v/>
      </c>
      <c r="J165" s="7">
        <f>IF(SUMPRODUCT(ISNUMBER('Advanced 0-10'!AA165:AA165)*'Advanced Entry'!AA$9:AA$9)=0,"",ROUND(SUMPRODUCT(IFERROR('Advanced 0-10'!AA165:AA165*1,0)*'Advanced Entry'!AA$9:AA$9)/SUMPRODUCT(ISNUMBER('Advanced 0-10'!AA165:AA165)*'Advanced Entry'!AA$9:AA$9),1))</f>
        <v/>
      </c>
      <c r="K165" s="7">
        <f>IF(SUMPRODUCT(ISNUMBER('Advanced 0-10'!AB165:AB165)*'Advanced Entry'!AB$9:AB$9)=0,"",ROUND(SUMPRODUCT(IFERROR('Advanced 0-10'!AB165:AB165*1,0)*'Advanced Entry'!AB$9:AB$9)/SUMPRODUCT(ISNUMBER('Advanced 0-10'!AB165:AB165)*'Advanced Entry'!AB$9:AB$9),1))</f>
        <v/>
      </c>
      <c r="L165" s="19">
        <f>IF(SUMPRODUCT(--ISNUMBER(D165:K165))=0,"",ROUND(SUMPRODUCT(IFERROR(D165:K165*1,0))/SUMPRODUCT(--ISNUMBER(D165:K165)),1))</f>
        <v/>
      </c>
    </row>
    <row r="166">
      <c r="A166" t="inlineStr">
        <is>
          <t>Shinyanga</t>
        </is>
      </c>
      <c r="B166" t="inlineStr">
        <is>
          <t>Shinyanga District</t>
        </is>
      </c>
      <c r="C166" t="inlineStr">
        <is>
          <t>C123</t>
        </is>
      </c>
      <c r="D166" s="7">
        <f>IF(SUMPRODUCT(ISNUMBER('Advanced 0-10'!D166:J166)*'Advanced Entry'!D$9:J$9)=0,"",ROUND(SUMPRODUCT(IFERROR('Advanced 0-10'!D166:J166*1,0)*'Advanced Entry'!D$9:J$9)/SUMPRODUCT(ISNUMBER('Advanced 0-10'!D166:J166)*'Advanced Entry'!D$9:J$9),1))</f>
        <v/>
      </c>
      <c r="E166" s="7">
        <f>IF(SUMPRODUCT(ISNUMBER('Advanced 0-10'!K166:O166)*'Advanced Entry'!K$9:O$9)=0,"",ROUND(SUMPRODUCT(IFERROR('Advanced 0-10'!K166:O166*1,0)*'Advanced Entry'!K$9:O$9)/SUMPRODUCT(ISNUMBER('Advanced 0-10'!K166:O166)*'Advanced Entry'!K$9:O$9),1))</f>
        <v/>
      </c>
      <c r="F166" s="7">
        <f>IF(SUMPRODUCT(ISNUMBER('Advanced 0-10'!P166:Q166)*'Advanced Entry'!P$9:Q$9)=0,"",ROUND(SUMPRODUCT(IFERROR('Advanced 0-10'!P166:Q166*1,0)*'Advanced Entry'!P$9:Q$9)/SUMPRODUCT(ISNUMBER('Advanced 0-10'!P166:Q166)*'Advanced Entry'!P$9:Q$9),1))</f>
        <v/>
      </c>
      <c r="G166" s="7">
        <f>IF(SUMPRODUCT(ISNUMBER('Advanced 0-10'!R166:S166)*'Advanced Entry'!R$9:S$9)=0,"",ROUND(SUMPRODUCT(IFERROR('Advanced 0-10'!R166:S166*1,0)*'Advanced Entry'!R$9:S$9)/SUMPRODUCT(ISNUMBER('Advanced 0-10'!R166:S166)*'Advanced Entry'!R$9:S$9),1))</f>
        <v/>
      </c>
      <c r="H166" s="7">
        <f>IF(SUMPRODUCT(ISNUMBER('Advanced 0-10'!T166:U166)*'Advanced Entry'!T$9:U$9)=0,"",ROUND(SUMPRODUCT(IFERROR('Advanced 0-10'!T166:U166*1,0)*'Advanced Entry'!T$9:U$9)/SUMPRODUCT(ISNUMBER('Advanced 0-10'!T166:U166)*'Advanced Entry'!T$9:U$9),1))</f>
        <v/>
      </c>
      <c r="I166" s="7">
        <f>IF(SUMPRODUCT(ISNUMBER('Advanced 0-10'!V166:Z166)*'Advanced Entry'!V$9:Z$9)=0,"",ROUND(SUMPRODUCT(IFERROR('Advanced 0-10'!V166:Z166*1,0)*'Advanced Entry'!V$9:Z$9)/SUMPRODUCT(ISNUMBER('Advanced 0-10'!V166:Z166)*'Advanced Entry'!V$9:Z$9),1))</f>
        <v/>
      </c>
      <c r="J166" s="7">
        <f>IF(SUMPRODUCT(ISNUMBER('Advanced 0-10'!AA166:AA166)*'Advanced Entry'!AA$9:AA$9)=0,"",ROUND(SUMPRODUCT(IFERROR('Advanced 0-10'!AA166:AA166*1,0)*'Advanced Entry'!AA$9:AA$9)/SUMPRODUCT(ISNUMBER('Advanced 0-10'!AA166:AA166)*'Advanced Entry'!AA$9:AA$9),1))</f>
        <v/>
      </c>
      <c r="K166" s="7">
        <f>IF(SUMPRODUCT(ISNUMBER('Advanced 0-10'!AB166:AB166)*'Advanced Entry'!AB$9:AB$9)=0,"",ROUND(SUMPRODUCT(IFERROR('Advanced 0-10'!AB166:AB166*1,0)*'Advanced Entry'!AB$9:AB$9)/SUMPRODUCT(ISNUMBER('Advanced 0-10'!AB166:AB166)*'Advanced Entry'!AB$9:AB$9),1))</f>
        <v/>
      </c>
      <c r="L166" s="19">
        <f>IF(SUMPRODUCT(--ISNUMBER(D166:K166))=0,"",ROUND(SUMPRODUCT(IFERROR(D166:K166*1,0))/SUMPRODUCT(--ISNUMBER(D166:K166)),1))</f>
        <v/>
      </c>
    </row>
    <row r="167">
      <c r="A167" t="inlineStr">
        <is>
          <t>Shinyanga</t>
        </is>
      </c>
      <c r="B167" t="inlineStr">
        <is>
          <t>Shinyanga Municipal</t>
        </is>
      </c>
      <c r="C167" t="inlineStr">
        <is>
          <t>C124</t>
        </is>
      </c>
      <c r="D167" s="7">
        <f>IF(SUMPRODUCT(ISNUMBER('Advanced 0-10'!D167:J167)*'Advanced Entry'!D$9:J$9)=0,"",ROUND(SUMPRODUCT(IFERROR('Advanced 0-10'!D167:J167*1,0)*'Advanced Entry'!D$9:J$9)/SUMPRODUCT(ISNUMBER('Advanced 0-10'!D167:J167)*'Advanced Entry'!D$9:J$9),1))</f>
        <v/>
      </c>
      <c r="E167" s="7">
        <f>IF(SUMPRODUCT(ISNUMBER('Advanced 0-10'!K167:O167)*'Advanced Entry'!K$9:O$9)=0,"",ROUND(SUMPRODUCT(IFERROR('Advanced 0-10'!K167:O167*1,0)*'Advanced Entry'!K$9:O$9)/SUMPRODUCT(ISNUMBER('Advanced 0-10'!K167:O167)*'Advanced Entry'!K$9:O$9),1))</f>
        <v/>
      </c>
      <c r="F167" s="7">
        <f>IF(SUMPRODUCT(ISNUMBER('Advanced 0-10'!P167:Q167)*'Advanced Entry'!P$9:Q$9)=0,"",ROUND(SUMPRODUCT(IFERROR('Advanced 0-10'!P167:Q167*1,0)*'Advanced Entry'!P$9:Q$9)/SUMPRODUCT(ISNUMBER('Advanced 0-10'!P167:Q167)*'Advanced Entry'!P$9:Q$9),1))</f>
        <v/>
      </c>
      <c r="G167" s="7">
        <f>IF(SUMPRODUCT(ISNUMBER('Advanced 0-10'!R167:S167)*'Advanced Entry'!R$9:S$9)=0,"",ROUND(SUMPRODUCT(IFERROR('Advanced 0-10'!R167:S167*1,0)*'Advanced Entry'!R$9:S$9)/SUMPRODUCT(ISNUMBER('Advanced 0-10'!R167:S167)*'Advanced Entry'!R$9:S$9),1))</f>
        <v/>
      </c>
      <c r="H167" s="7">
        <f>IF(SUMPRODUCT(ISNUMBER('Advanced 0-10'!T167:U167)*'Advanced Entry'!T$9:U$9)=0,"",ROUND(SUMPRODUCT(IFERROR('Advanced 0-10'!T167:U167*1,0)*'Advanced Entry'!T$9:U$9)/SUMPRODUCT(ISNUMBER('Advanced 0-10'!T167:U167)*'Advanced Entry'!T$9:U$9),1))</f>
        <v/>
      </c>
      <c r="I167" s="7">
        <f>IF(SUMPRODUCT(ISNUMBER('Advanced 0-10'!V167:Z167)*'Advanced Entry'!V$9:Z$9)=0,"",ROUND(SUMPRODUCT(IFERROR('Advanced 0-10'!V167:Z167*1,0)*'Advanced Entry'!V$9:Z$9)/SUMPRODUCT(ISNUMBER('Advanced 0-10'!V167:Z167)*'Advanced Entry'!V$9:Z$9),1))</f>
        <v/>
      </c>
      <c r="J167" s="7">
        <f>IF(SUMPRODUCT(ISNUMBER('Advanced 0-10'!AA167:AA167)*'Advanced Entry'!AA$9:AA$9)=0,"",ROUND(SUMPRODUCT(IFERROR('Advanced 0-10'!AA167:AA167*1,0)*'Advanced Entry'!AA$9:AA$9)/SUMPRODUCT(ISNUMBER('Advanced 0-10'!AA167:AA167)*'Advanced Entry'!AA$9:AA$9),1))</f>
        <v/>
      </c>
      <c r="K167" s="7">
        <f>IF(SUMPRODUCT(ISNUMBER('Advanced 0-10'!AB167:AB167)*'Advanced Entry'!AB$9:AB$9)=0,"",ROUND(SUMPRODUCT(IFERROR('Advanced 0-10'!AB167:AB167*1,0)*'Advanced Entry'!AB$9:AB$9)/SUMPRODUCT(ISNUMBER('Advanced 0-10'!AB167:AB167)*'Advanced Entry'!AB$9:AB$9),1))</f>
        <v/>
      </c>
      <c r="L167" s="19">
        <f>IF(SUMPRODUCT(--ISNUMBER(D167:K167))=0,"",ROUND(SUMPRODUCT(IFERROR(D167:K167*1,0))/SUMPRODUCT(--ISNUMBER(D167:K167)),1))</f>
        <v/>
      </c>
    </row>
    <row r="168">
      <c r="A168" t="inlineStr">
        <is>
          <t>Shinyanga</t>
        </is>
      </c>
      <c r="B168" t="inlineStr">
        <is>
          <t>Ushetu District</t>
        </is>
      </c>
      <c r="C168" t="inlineStr">
        <is>
          <t>C119</t>
        </is>
      </c>
      <c r="D168" s="7">
        <f>IF(SUMPRODUCT(ISNUMBER('Advanced 0-10'!D168:J168)*'Advanced Entry'!D$9:J$9)=0,"",ROUND(SUMPRODUCT(IFERROR('Advanced 0-10'!D168:J168*1,0)*'Advanced Entry'!D$9:J$9)/SUMPRODUCT(ISNUMBER('Advanced 0-10'!D168:J168)*'Advanced Entry'!D$9:J$9),1))</f>
        <v/>
      </c>
      <c r="E168" s="7">
        <f>IF(SUMPRODUCT(ISNUMBER('Advanced 0-10'!K168:O168)*'Advanced Entry'!K$9:O$9)=0,"",ROUND(SUMPRODUCT(IFERROR('Advanced 0-10'!K168:O168*1,0)*'Advanced Entry'!K$9:O$9)/SUMPRODUCT(ISNUMBER('Advanced 0-10'!K168:O168)*'Advanced Entry'!K$9:O$9),1))</f>
        <v/>
      </c>
      <c r="F168" s="7">
        <f>IF(SUMPRODUCT(ISNUMBER('Advanced 0-10'!P168:Q168)*'Advanced Entry'!P$9:Q$9)=0,"",ROUND(SUMPRODUCT(IFERROR('Advanced 0-10'!P168:Q168*1,0)*'Advanced Entry'!P$9:Q$9)/SUMPRODUCT(ISNUMBER('Advanced 0-10'!P168:Q168)*'Advanced Entry'!P$9:Q$9),1))</f>
        <v/>
      </c>
      <c r="G168" s="7">
        <f>IF(SUMPRODUCT(ISNUMBER('Advanced 0-10'!R168:S168)*'Advanced Entry'!R$9:S$9)=0,"",ROUND(SUMPRODUCT(IFERROR('Advanced 0-10'!R168:S168*1,0)*'Advanced Entry'!R$9:S$9)/SUMPRODUCT(ISNUMBER('Advanced 0-10'!R168:S168)*'Advanced Entry'!R$9:S$9),1))</f>
        <v/>
      </c>
      <c r="H168" s="7">
        <f>IF(SUMPRODUCT(ISNUMBER('Advanced 0-10'!T168:U168)*'Advanced Entry'!T$9:U$9)=0,"",ROUND(SUMPRODUCT(IFERROR('Advanced 0-10'!T168:U168*1,0)*'Advanced Entry'!T$9:U$9)/SUMPRODUCT(ISNUMBER('Advanced 0-10'!T168:U168)*'Advanced Entry'!T$9:U$9),1))</f>
        <v/>
      </c>
      <c r="I168" s="7">
        <f>IF(SUMPRODUCT(ISNUMBER('Advanced 0-10'!V168:Z168)*'Advanced Entry'!V$9:Z$9)=0,"",ROUND(SUMPRODUCT(IFERROR('Advanced 0-10'!V168:Z168*1,0)*'Advanced Entry'!V$9:Z$9)/SUMPRODUCT(ISNUMBER('Advanced 0-10'!V168:Z168)*'Advanced Entry'!V$9:Z$9),1))</f>
        <v/>
      </c>
      <c r="J168" s="7">
        <f>IF(SUMPRODUCT(ISNUMBER('Advanced 0-10'!AA168:AA168)*'Advanced Entry'!AA$9:AA$9)=0,"",ROUND(SUMPRODUCT(IFERROR('Advanced 0-10'!AA168:AA168*1,0)*'Advanced Entry'!AA$9:AA$9)/SUMPRODUCT(ISNUMBER('Advanced 0-10'!AA168:AA168)*'Advanced Entry'!AA$9:AA$9),1))</f>
        <v/>
      </c>
      <c r="K168" s="7">
        <f>IF(SUMPRODUCT(ISNUMBER('Advanced 0-10'!AB168:AB168)*'Advanced Entry'!AB$9:AB$9)=0,"",ROUND(SUMPRODUCT(IFERROR('Advanced 0-10'!AB168:AB168*1,0)*'Advanced Entry'!AB$9:AB$9)/SUMPRODUCT(ISNUMBER('Advanced 0-10'!AB168:AB168)*'Advanced Entry'!AB$9:AB$9),1))</f>
        <v/>
      </c>
      <c r="L168" s="19">
        <f>IF(SUMPRODUCT(--ISNUMBER(D168:K168))=0,"",ROUND(SUMPRODUCT(IFERROR(D168:K168*1,0))/SUMPRODUCT(--ISNUMBER(D168:K168)),1))</f>
        <v/>
      </c>
    </row>
    <row r="169">
      <c r="A169" t="inlineStr">
        <is>
          <t>Simiyu</t>
        </is>
      </c>
      <c r="B169" t="inlineStr">
        <is>
          <t>Bariadi District</t>
        </is>
      </c>
      <c r="C169" t="inlineStr">
        <is>
          <t>C168</t>
        </is>
      </c>
      <c r="D169" s="7">
        <f>IF(SUMPRODUCT(ISNUMBER('Advanced 0-10'!D169:J169)*'Advanced Entry'!D$9:J$9)=0,"",ROUND(SUMPRODUCT(IFERROR('Advanced 0-10'!D169:J169*1,0)*'Advanced Entry'!D$9:J$9)/SUMPRODUCT(ISNUMBER('Advanced 0-10'!D169:J169)*'Advanced Entry'!D$9:J$9),1))</f>
        <v/>
      </c>
      <c r="E169" s="7">
        <f>IF(SUMPRODUCT(ISNUMBER('Advanced 0-10'!K169:O169)*'Advanced Entry'!K$9:O$9)=0,"",ROUND(SUMPRODUCT(IFERROR('Advanced 0-10'!K169:O169*1,0)*'Advanced Entry'!K$9:O$9)/SUMPRODUCT(ISNUMBER('Advanced 0-10'!K169:O169)*'Advanced Entry'!K$9:O$9),1))</f>
        <v/>
      </c>
      <c r="F169" s="7">
        <f>IF(SUMPRODUCT(ISNUMBER('Advanced 0-10'!P169:Q169)*'Advanced Entry'!P$9:Q$9)=0,"",ROUND(SUMPRODUCT(IFERROR('Advanced 0-10'!P169:Q169*1,0)*'Advanced Entry'!P$9:Q$9)/SUMPRODUCT(ISNUMBER('Advanced 0-10'!P169:Q169)*'Advanced Entry'!P$9:Q$9),1))</f>
        <v/>
      </c>
      <c r="G169" s="7">
        <f>IF(SUMPRODUCT(ISNUMBER('Advanced 0-10'!R169:S169)*'Advanced Entry'!R$9:S$9)=0,"",ROUND(SUMPRODUCT(IFERROR('Advanced 0-10'!R169:S169*1,0)*'Advanced Entry'!R$9:S$9)/SUMPRODUCT(ISNUMBER('Advanced 0-10'!R169:S169)*'Advanced Entry'!R$9:S$9),1))</f>
        <v/>
      </c>
      <c r="H169" s="7">
        <f>IF(SUMPRODUCT(ISNUMBER('Advanced 0-10'!T169:U169)*'Advanced Entry'!T$9:U$9)=0,"",ROUND(SUMPRODUCT(IFERROR('Advanced 0-10'!T169:U169*1,0)*'Advanced Entry'!T$9:U$9)/SUMPRODUCT(ISNUMBER('Advanced 0-10'!T169:U169)*'Advanced Entry'!T$9:U$9),1))</f>
        <v/>
      </c>
      <c r="I169" s="7">
        <f>IF(SUMPRODUCT(ISNUMBER('Advanced 0-10'!V169:Z169)*'Advanced Entry'!V$9:Z$9)=0,"",ROUND(SUMPRODUCT(IFERROR('Advanced 0-10'!V169:Z169*1,0)*'Advanced Entry'!V$9:Z$9)/SUMPRODUCT(ISNUMBER('Advanced 0-10'!V169:Z169)*'Advanced Entry'!V$9:Z$9),1))</f>
        <v/>
      </c>
      <c r="J169" s="7">
        <f>IF(SUMPRODUCT(ISNUMBER('Advanced 0-10'!AA169:AA169)*'Advanced Entry'!AA$9:AA$9)=0,"",ROUND(SUMPRODUCT(IFERROR('Advanced 0-10'!AA169:AA169*1,0)*'Advanced Entry'!AA$9:AA$9)/SUMPRODUCT(ISNUMBER('Advanced 0-10'!AA169:AA169)*'Advanced Entry'!AA$9:AA$9),1))</f>
        <v/>
      </c>
      <c r="K169" s="7">
        <f>IF(SUMPRODUCT(ISNUMBER('Advanced 0-10'!AB169:AB169)*'Advanced Entry'!AB$9:AB$9)=0,"",ROUND(SUMPRODUCT(IFERROR('Advanced 0-10'!AB169:AB169*1,0)*'Advanced Entry'!AB$9:AB$9)/SUMPRODUCT(ISNUMBER('Advanced 0-10'!AB169:AB169)*'Advanced Entry'!AB$9:AB$9),1))</f>
        <v/>
      </c>
      <c r="L169" s="19">
        <f>IF(SUMPRODUCT(--ISNUMBER(D169:K169))=0,"",ROUND(SUMPRODUCT(IFERROR(D169:K169*1,0))/SUMPRODUCT(--ISNUMBER(D169:K169)),1))</f>
        <v/>
      </c>
    </row>
    <row r="170">
      <c r="A170" t="inlineStr">
        <is>
          <t>Simiyu</t>
        </is>
      </c>
      <c r="B170" t="inlineStr">
        <is>
          <t>Bariadi Town</t>
        </is>
      </c>
      <c r="C170" t="inlineStr">
        <is>
          <t>C169</t>
        </is>
      </c>
      <c r="D170" s="7">
        <f>IF(SUMPRODUCT(ISNUMBER('Advanced 0-10'!D170:J170)*'Advanced Entry'!D$9:J$9)=0,"",ROUND(SUMPRODUCT(IFERROR('Advanced 0-10'!D170:J170*1,0)*'Advanced Entry'!D$9:J$9)/SUMPRODUCT(ISNUMBER('Advanced 0-10'!D170:J170)*'Advanced Entry'!D$9:J$9),1))</f>
        <v/>
      </c>
      <c r="E170" s="7">
        <f>IF(SUMPRODUCT(ISNUMBER('Advanced 0-10'!K170:O170)*'Advanced Entry'!K$9:O$9)=0,"",ROUND(SUMPRODUCT(IFERROR('Advanced 0-10'!K170:O170*1,0)*'Advanced Entry'!K$9:O$9)/SUMPRODUCT(ISNUMBER('Advanced 0-10'!K170:O170)*'Advanced Entry'!K$9:O$9),1))</f>
        <v/>
      </c>
      <c r="F170" s="7">
        <f>IF(SUMPRODUCT(ISNUMBER('Advanced 0-10'!P170:Q170)*'Advanced Entry'!P$9:Q$9)=0,"",ROUND(SUMPRODUCT(IFERROR('Advanced 0-10'!P170:Q170*1,0)*'Advanced Entry'!P$9:Q$9)/SUMPRODUCT(ISNUMBER('Advanced 0-10'!P170:Q170)*'Advanced Entry'!P$9:Q$9),1))</f>
        <v/>
      </c>
      <c r="G170" s="7">
        <f>IF(SUMPRODUCT(ISNUMBER('Advanced 0-10'!R170:S170)*'Advanced Entry'!R$9:S$9)=0,"",ROUND(SUMPRODUCT(IFERROR('Advanced 0-10'!R170:S170*1,0)*'Advanced Entry'!R$9:S$9)/SUMPRODUCT(ISNUMBER('Advanced 0-10'!R170:S170)*'Advanced Entry'!R$9:S$9),1))</f>
        <v/>
      </c>
      <c r="H170" s="7">
        <f>IF(SUMPRODUCT(ISNUMBER('Advanced 0-10'!T170:U170)*'Advanced Entry'!T$9:U$9)=0,"",ROUND(SUMPRODUCT(IFERROR('Advanced 0-10'!T170:U170*1,0)*'Advanced Entry'!T$9:U$9)/SUMPRODUCT(ISNUMBER('Advanced 0-10'!T170:U170)*'Advanced Entry'!T$9:U$9),1))</f>
        <v/>
      </c>
      <c r="I170" s="7">
        <f>IF(SUMPRODUCT(ISNUMBER('Advanced 0-10'!V170:Z170)*'Advanced Entry'!V$9:Z$9)=0,"",ROUND(SUMPRODUCT(IFERROR('Advanced 0-10'!V170:Z170*1,0)*'Advanced Entry'!V$9:Z$9)/SUMPRODUCT(ISNUMBER('Advanced 0-10'!V170:Z170)*'Advanced Entry'!V$9:Z$9),1))</f>
        <v/>
      </c>
      <c r="J170" s="7">
        <f>IF(SUMPRODUCT(ISNUMBER('Advanced 0-10'!AA170:AA170)*'Advanced Entry'!AA$9:AA$9)=0,"",ROUND(SUMPRODUCT(IFERROR('Advanced 0-10'!AA170:AA170*1,0)*'Advanced Entry'!AA$9:AA$9)/SUMPRODUCT(ISNUMBER('Advanced 0-10'!AA170:AA170)*'Advanced Entry'!AA$9:AA$9),1))</f>
        <v/>
      </c>
      <c r="K170" s="7">
        <f>IF(SUMPRODUCT(ISNUMBER('Advanced 0-10'!AB170:AB170)*'Advanced Entry'!AB$9:AB$9)=0,"",ROUND(SUMPRODUCT(IFERROR('Advanced 0-10'!AB170:AB170*1,0)*'Advanced Entry'!AB$9:AB$9)/SUMPRODUCT(ISNUMBER('Advanced 0-10'!AB170:AB170)*'Advanced Entry'!AB$9:AB$9),1))</f>
        <v/>
      </c>
      <c r="L170" s="19">
        <f>IF(SUMPRODUCT(--ISNUMBER(D170:K170))=0,"",ROUND(SUMPRODUCT(IFERROR(D170:K170*1,0))/SUMPRODUCT(--ISNUMBER(D170:K170)),1))</f>
        <v/>
      </c>
    </row>
    <row r="171">
      <c r="A171" t="inlineStr">
        <is>
          <t>Simiyu</t>
        </is>
      </c>
      <c r="B171" t="inlineStr">
        <is>
          <t>Busega District</t>
        </is>
      </c>
      <c r="C171" t="inlineStr">
        <is>
          <t>C173</t>
        </is>
      </c>
      <c r="D171" s="7">
        <f>IF(SUMPRODUCT(ISNUMBER('Advanced 0-10'!D171:J171)*'Advanced Entry'!D$9:J$9)=0,"",ROUND(SUMPRODUCT(IFERROR('Advanced 0-10'!D171:J171*1,0)*'Advanced Entry'!D$9:J$9)/SUMPRODUCT(ISNUMBER('Advanced 0-10'!D171:J171)*'Advanced Entry'!D$9:J$9),1))</f>
        <v/>
      </c>
      <c r="E171" s="7">
        <f>IF(SUMPRODUCT(ISNUMBER('Advanced 0-10'!K171:O171)*'Advanced Entry'!K$9:O$9)=0,"",ROUND(SUMPRODUCT(IFERROR('Advanced 0-10'!K171:O171*1,0)*'Advanced Entry'!K$9:O$9)/SUMPRODUCT(ISNUMBER('Advanced 0-10'!K171:O171)*'Advanced Entry'!K$9:O$9),1))</f>
        <v/>
      </c>
      <c r="F171" s="7">
        <f>IF(SUMPRODUCT(ISNUMBER('Advanced 0-10'!P171:Q171)*'Advanced Entry'!P$9:Q$9)=0,"",ROUND(SUMPRODUCT(IFERROR('Advanced 0-10'!P171:Q171*1,0)*'Advanced Entry'!P$9:Q$9)/SUMPRODUCT(ISNUMBER('Advanced 0-10'!P171:Q171)*'Advanced Entry'!P$9:Q$9),1))</f>
        <v/>
      </c>
      <c r="G171" s="7">
        <f>IF(SUMPRODUCT(ISNUMBER('Advanced 0-10'!R171:S171)*'Advanced Entry'!R$9:S$9)=0,"",ROUND(SUMPRODUCT(IFERROR('Advanced 0-10'!R171:S171*1,0)*'Advanced Entry'!R$9:S$9)/SUMPRODUCT(ISNUMBER('Advanced 0-10'!R171:S171)*'Advanced Entry'!R$9:S$9),1))</f>
        <v/>
      </c>
      <c r="H171" s="7">
        <f>IF(SUMPRODUCT(ISNUMBER('Advanced 0-10'!T171:U171)*'Advanced Entry'!T$9:U$9)=0,"",ROUND(SUMPRODUCT(IFERROR('Advanced 0-10'!T171:U171*1,0)*'Advanced Entry'!T$9:U$9)/SUMPRODUCT(ISNUMBER('Advanced 0-10'!T171:U171)*'Advanced Entry'!T$9:U$9),1))</f>
        <v/>
      </c>
      <c r="I171" s="7">
        <f>IF(SUMPRODUCT(ISNUMBER('Advanced 0-10'!V171:Z171)*'Advanced Entry'!V$9:Z$9)=0,"",ROUND(SUMPRODUCT(IFERROR('Advanced 0-10'!V171:Z171*1,0)*'Advanced Entry'!V$9:Z$9)/SUMPRODUCT(ISNUMBER('Advanced 0-10'!V171:Z171)*'Advanced Entry'!V$9:Z$9),1))</f>
        <v/>
      </c>
      <c r="J171" s="7">
        <f>IF(SUMPRODUCT(ISNUMBER('Advanced 0-10'!AA171:AA171)*'Advanced Entry'!AA$9:AA$9)=0,"",ROUND(SUMPRODUCT(IFERROR('Advanced 0-10'!AA171:AA171*1,0)*'Advanced Entry'!AA$9:AA$9)/SUMPRODUCT(ISNUMBER('Advanced 0-10'!AA171:AA171)*'Advanced Entry'!AA$9:AA$9),1))</f>
        <v/>
      </c>
      <c r="K171" s="7">
        <f>IF(SUMPRODUCT(ISNUMBER('Advanced 0-10'!AB171:AB171)*'Advanced Entry'!AB$9:AB$9)=0,"",ROUND(SUMPRODUCT(IFERROR('Advanced 0-10'!AB171:AB171*1,0)*'Advanced Entry'!AB$9:AB$9)/SUMPRODUCT(ISNUMBER('Advanced 0-10'!AB171:AB171)*'Advanced Entry'!AB$9:AB$9),1))</f>
        <v/>
      </c>
      <c r="L171" s="19">
        <f>IF(SUMPRODUCT(--ISNUMBER(D171:K171))=0,"",ROUND(SUMPRODUCT(IFERROR(D171:K171*1,0))/SUMPRODUCT(--ISNUMBER(D171:K171)),1))</f>
        <v/>
      </c>
    </row>
    <row r="172">
      <c r="A172" t="inlineStr">
        <is>
          <t>Simiyu</t>
        </is>
      </c>
      <c r="B172" t="inlineStr">
        <is>
          <t>Itilima District</t>
        </is>
      </c>
      <c r="C172" t="inlineStr">
        <is>
          <t>C170</t>
        </is>
      </c>
      <c r="D172" s="7">
        <f>IF(SUMPRODUCT(ISNUMBER('Advanced 0-10'!D172:J172)*'Advanced Entry'!D$9:J$9)=0,"",ROUND(SUMPRODUCT(IFERROR('Advanced 0-10'!D172:J172*1,0)*'Advanced Entry'!D$9:J$9)/SUMPRODUCT(ISNUMBER('Advanced 0-10'!D172:J172)*'Advanced Entry'!D$9:J$9),1))</f>
        <v/>
      </c>
      <c r="E172" s="7">
        <f>IF(SUMPRODUCT(ISNUMBER('Advanced 0-10'!K172:O172)*'Advanced Entry'!K$9:O$9)=0,"",ROUND(SUMPRODUCT(IFERROR('Advanced 0-10'!K172:O172*1,0)*'Advanced Entry'!K$9:O$9)/SUMPRODUCT(ISNUMBER('Advanced 0-10'!K172:O172)*'Advanced Entry'!K$9:O$9),1))</f>
        <v/>
      </c>
      <c r="F172" s="7">
        <f>IF(SUMPRODUCT(ISNUMBER('Advanced 0-10'!P172:Q172)*'Advanced Entry'!P$9:Q$9)=0,"",ROUND(SUMPRODUCT(IFERROR('Advanced 0-10'!P172:Q172*1,0)*'Advanced Entry'!P$9:Q$9)/SUMPRODUCT(ISNUMBER('Advanced 0-10'!P172:Q172)*'Advanced Entry'!P$9:Q$9),1))</f>
        <v/>
      </c>
      <c r="G172" s="7">
        <f>IF(SUMPRODUCT(ISNUMBER('Advanced 0-10'!R172:S172)*'Advanced Entry'!R$9:S$9)=0,"",ROUND(SUMPRODUCT(IFERROR('Advanced 0-10'!R172:S172*1,0)*'Advanced Entry'!R$9:S$9)/SUMPRODUCT(ISNUMBER('Advanced 0-10'!R172:S172)*'Advanced Entry'!R$9:S$9),1))</f>
        <v/>
      </c>
      <c r="H172" s="7">
        <f>IF(SUMPRODUCT(ISNUMBER('Advanced 0-10'!T172:U172)*'Advanced Entry'!T$9:U$9)=0,"",ROUND(SUMPRODUCT(IFERROR('Advanced 0-10'!T172:U172*1,0)*'Advanced Entry'!T$9:U$9)/SUMPRODUCT(ISNUMBER('Advanced 0-10'!T172:U172)*'Advanced Entry'!T$9:U$9),1))</f>
        <v/>
      </c>
      <c r="I172" s="7">
        <f>IF(SUMPRODUCT(ISNUMBER('Advanced 0-10'!V172:Z172)*'Advanced Entry'!V$9:Z$9)=0,"",ROUND(SUMPRODUCT(IFERROR('Advanced 0-10'!V172:Z172*1,0)*'Advanced Entry'!V$9:Z$9)/SUMPRODUCT(ISNUMBER('Advanced 0-10'!V172:Z172)*'Advanced Entry'!V$9:Z$9),1))</f>
        <v/>
      </c>
      <c r="J172" s="7">
        <f>IF(SUMPRODUCT(ISNUMBER('Advanced 0-10'!AA172:AA172)*'Advanced Entry'!AA$9:AA$9)=0,"",ROUND(SUMPRODUCT(IFERROR('Advanced 0-10'!AA172:AA172*1,0)*'Advanced Entry'!AA$9:AA$9)/SUMPRODUCT(ISNUMBER('Advanced 0-10'!AA172:AA172)*'Advanced Entry'!AA$9:AA$9),1))</f>
        <v/>
      </c>
      <c r="K172" s="7">
        <f>IF(SUMPRODUCT(ISNUMBER('Advanced 0-10'!AB172:AB172)*'Advanced Entry'!AB$9:AB$9)=0,"",ROUND(SUMPRODUCT(IFERROR('Advanced 0-10'!AB172:AB172*1,0)*'Advanced Entry'!AB$9:AB$9)/SUMPRODUCT(ISNUMBER('Advanced 0-10'!AB172:AB172)*'Advanced Entry'!AB$9:AB$9),1))</f>
        <v/>
      </c>
      <c r="L172" s="19">
        <f>IF(SUMPRODUCT(--ISNUMBER(D172:K172))=0,"",ROUND(SUMPRODUCT(IFERROR(D172:K172*1,0))/SUMPRODUCT(--ISNUMBER(D172:K172)),1))</f>
        <v/>
      </c>
    </row>
    <row r="173">
      <c r="A173" t="inlineStr">
        <is>
          <t>Simiyu</t>
        </is>
      </c>
      <c r="B173" t="inlineStr">
        <is>
          <t>Maswa District</t>
        </is>
      </c>
      <c r="C173" t="inlineStr">
        <is>
          <t>C172</t>
        </is>
      </c>
      <c r="D173" s="7">
        <f>IF(SUMPRODUCT(ISNUMBER('Advanced 0-10'!D173:J173)*'Advanced Entry'!D$9:J$9)=0,"",ROUND(SUMPRODUCT(IFERROR('Advanced 0-10'!D173:J173*1,0)*'Advanced Entry'!D$9:J$9)/SUMPRODUCT(ISNUMBER('Advanced 0-10'!D173:J173)*'Advanced Entry'!D$9:J$9),1))</f>
        <v/>
      </c>
      <c r="E173" s="7">
        <f>IF(SUMPRODUCT(ISNUMBER('Advanced 0-10'!K173:O173)*'Advanced Entry'!K$9:O$9)=0,"",ROUND(SUMPRODUCT(IFERROR('Advanced 0-10'!K173:O173*1,0)*'Advanced Entry'!K$9:O$9)/SUMPRODUCT(ISNUMBER('Advanced 0-10'!K173:O173)*'Advanced Entry'!K$9:O$9),1))</f>
        <v/>
      </c>
      <c r="F173" s="7">
        <f>IF(SUMPRODUCT(ISNUMBER('Advanced 0-10'!P173:Q173)*'Advanced Entry'!P$9:Q$9)=0,"",ROUND(SUMPRODUCT(IFERROR('Advanced 0-10'!P173:Q173*1,0)*'Advanced Entry'!P$9:Q$9)/SUMPRODUCT(ISNUMBER('Advanced 0-10'!P173:Q173)*'Advanced Entry'!P$9:Q$9),1))</f>
        <v/>
      </c>
      <c r="G173" s="7">
        <f>IF(SUMPRODUCT(ISNUMBER('Advanced 0-10'!R173:S173)*'Advanced Entry'!R$9:S$9)=0,"",ROUND(SUMPRODUCT(IFERROR('Advanced 0-10'!R173:S173*1,0)*'Advanced Entry'!R$9:S$9)/SUMPRODUCT(ISNUMBER('Advanced 0-10'!R173:S173)*'Advanced Entry'!R$9:S$9),1))</f>
        <v/>
      </c>
      <c r="H173" s="7">
        <f>IF(SUMPRODUCT(ISNUMBER('Advanced 0-10'!T173:U173)*'Advanced Entry'!T$9:U$9)=0,"",ROUND(SUMPRODUCT(IFERROR('Advanced 0-10'!T173:U173*1,0)*'Advanced Entry'!T$9:U$9)/SUMPRODUCT(ISNUMBER('Advanced 0-10'!T173:U173)*'Advanced Entry'!T$9:U$9),1))</f>
        <v/>
      </c>
      <c r="I173" s="7">
        <f>IF(SUMPRODUCT(ISNUMBER('Advanced 0-10'!V173:Z173)*'Advanced Entry'!V$9:Z$9)=0,"",ROUND(SUMPRODUCT(IFERROR('Advanced 0-10'!V173:Z173*1,0)*'Advanced Entry'!V$9:Z$9)/SUMPRODUCT(ISNUMBER('Advanced 0-10'!V173:Z173)*'Advanced Entry'!V$9:Z$9),1))</f>
        <v/>
      </c>
      <c r="J173" s="7">
        <f>IF(SUMPRODUCT(ISNUMBER('Advanced 0-10'!AA173:AA173)*'Advanced Entry'!AA$9:AA$9)=0,"",ROUND(SUMPRODUCT(IFERROR('Advanced 0-10'!AA173:AA173*1,0)*'Advanced Entry'!AA$9:AA$9)/SUMPRODUCT(ISNUMBER('Advanced 0-10'!AA173:AA173)*'Advanced Entry'!AA$9:AA$9),1))</f>
        <v/>
      </c>
      <c r="K173" s="7">
        <f>IF(SUMPRODUCT(ISNUMBER('Advanced 0-10'!AB173:AB173)*'Advanced Entry'!AB$9:AB$9)=0,"",ROUND(SUMPRODUCT(IFERROR('Advanced 0-10'!AB173:AB173*1,0)*'Advanced Entry'!AB$9:AB$9)/SUMPRODUCT(ISNUMBER('Advanced 0-10'!AB173:AB173)*'Advanced Entry'!AB$9:AB$9),1))</f>
        <v/>
      </c>
      <c r="L173" s="19">
        <f>IF(SUMPRODUCT(--ISNUMBER(D173:K173))=0,"",ROUND(SUMPRODUCT(IFERROR(D173:K173*1,0))/SUMPRODUCT(--ISNUMBER(D173:K173)),1))</f>
        <v/>
      </c>
    </row>
    <row r="174">
      <c r="A174" t="inlineStr">
        <is>
          <t>Simiyu</t>
        </is>
      </c>
      <c r="B174" t="inlineStr">
        <is>
          <t>Meatu District</t>
        </is>
      </c>
      <c r="C174" t="inlineStr">
        <is>
          <t>C171</t>
        </is>
      </c>
      <c r="D174" s="7">
        <f>IF(SUMPRODUCT(ISNUMBER('Advanced 0-10'!D174:J174)*'Advanced Entry'!D$9:J$9)=0,"",ROUND(SUMPRODUCT(IFERROR('Advanced 0-10'!D174:J174*1,0)*'Advanced Entry'!D$9:J$9)/SUMPRODUCT(ISNUMBER('Advanced 0-10'!D174:J174)*'Advanced Entry'!D$9:J$9),1))</f>
        <v/>
      </c>
      <c r="E174" s="7">
        <f>IF(SUMPRODUCT(ISNUMBER('Advanced 0-10'!K174:O174)*'Advanced Entry'!K$9:O$9)=0,"",ROUND(SUMPRODUCT(IFERROR('Advanced 0-10'!K174:O174*1,0)*'Advanced Entry'!K$9:O$9)/SUMPRODUCT(ISNUMBER('Advanced 0-10'!K174:O174)*'Advanced Entry'!K$9:O$9),1))</f>
        <v/>
      </c>
      <c r="F174" s="7">
        <f>IF(SUMPRODUCT(ISNUMBER('Advanced 0-10'!P174:Q174)*'Advanced Entry'!P$9:Q$9)=0,"",ROUND(SUMPRODUCT(IFERROR('Advanced 0-10'!P174:Q174*1,0)*'Advanced Entry'!P$9:Q$9)/SUMPRODUCT(ISNUMBER('Advanced 0-10'!P174:Q174)*'Advanced Entry'!P$9:Q$9),1))</f>
        <v/>
      </c>
      <c r="G174" s="7">
        <f>IF(SUMPRODUCT(ISNUMBER('Advanced 0-10'!R174:S174)*'Advanced Entry'!R$9:S$9)=0,"",ROUND(SUMPRODUCT(IFERROR('Advanced 0-10'!R174:S174*1,0)*'Advanced Entry'!R$9:S$9)/SUMPRODUCT(ISNUMBER('Advanced 0-10'!R174:S174)*'Advanced Entry'!R$9:S$9),1))</f>
        <v/>
      </c>
      <c r="H174" s="7">
        <f>IF(SUMPRODUCT(ISNUMBER('Advanced 0-10'!T174:U174)*'Advanced Entry'!T$9:U$9)=0,"",ROUND(SUMPRODUCT(IFERROR('Advanced 0-10'!T174:U174*1,0)*'Advanced Entry'!T$9:U$9)/SUMPRODUCT(ISNUMBER('Advanced 0-10'!T174:U174)*'Advanced Entry'!T$9:U$9),1))</f>
        <v/>
      </c>
      <c r="I174" s="7">
        <f>IF(SUMPRODUCT(ISNUMBER('Advanced 0-10'!V174:Z174)*'Advanced Entry'!V$9:Z$9)=0,"",ROUND(SUMPRODUCT(IFERROR('Advanced 0-10'!V174:Z174*1,0)*'Advanced Entry'!V$9:Z$9)/SUMPRODUCT(ISNUMBER('Advanced 0-10'!V174:Z174)*'Advanced Entry'!V$9:Z$9),1))</f>
        <v/>
      </c>
      <c r="J174" s="7">
        <f>IF(SUMPRODUCT(ISNUMBER('Advanced 0-10'!AA174:AA174)*'Advanced Entry'!AA$9:AA$9)=0,"",ROUND(SUMPRODUCT(IFERROR('Advanced 0-10'!AA174:AA174*1,0)*'Advanced Entry'!AA$9:AA$9)/SUMPRODUCT(ISNUMBER('Advanced 0-10'!AA174:AA174)*'Advanced Entry'!AA$9:AA$9),1))</f>
        <v/>
      </c>
      <c r="K174" s="7">
        <f>IF(SUMPRODUCT(ISNUMBER('Advanced 0-10'!AB174:AB174)*'Advanced Entry'!AB$9:AB$9)=0,"",ROUND(SUMPRODUCT(IFERROR('Advanced 0-10'!AB174:AB174*1,0)*'Advanced Entry'!AB$9:AB$9)/SUMPRODUCT(ISNUMBER('Advanced 0-10'!AB174:AB174)*'Advanced Entry'!AB$9:AB$9),1))</f>
        <v/>
      </c>
      <c r="L174" s="19">
        <f>IF(SUMPRODUCT(--ISNUMBER(D174:K174))=0,"",ROUND(SUMPRODUCT(IFERROR(D174:K174*1,0))/SUMPRODUCT(--ISNUMBER(D174:K174)),1))</f>
        <v/>
      </c>
    </row>
    <row r="175">
      <c r="A175" t="inlineStr">
        <is>
          <t>Singida</t>
        </is>
      </c>
      <c r="B175" t="inlineStr">
        <is>
          <t>Ikungi District</t>
        </is>
      </c>
      <c r="C175" t="inlineStr">
        <is>
          <t>C097</t>
        </is>
      </c>
      <c r="D175" s="7">
        <f>IF(SUMPRODUCT(ISNUMBER('Advanced 0-10'!D175:J175)*'Advanced Entry'!D$9:J$9)=0,"",ROUND(SUMPRODUCT(IFERROR('Advanced 0-10'!D175:J175*1,0)*'Advanced Entry'!D$9:J$9)/SUMPRODUCT(ISNUMBER('Advanced 0-10'!D175:J175)*'Advanced Entry'!D$9:J$9),1))</f>
        <v/>
      </c>
      <c r="E175" s="7">
        <f>IF(SUMPRODUCT(ISNUMBER('Advanced 0-10'!K175:O175)*'Advanced Entry'!K$9:O$9)=0,"",ROUND(SUMPRODUCT(IFERROR('Advanced 0-10'!K175:O175*1,0)*'Advanced Entry'!K$9:O$9)/SUMPRODUCT(ISNUMBER('Advanced 0-10'!K175:O175)*'Advanced Entry'!K$9:O$9),1))</f>
        <v/>
      </c>
      <c r="F175" s="7">
        <f>IF(SUMPRODUCT(ISNUMBER('Advanced 0-10'!P175:Q175)*'Advanced Entry'!P$9:Q$9)=0,"",ROUND(SUMPRODUCT(IFERROR('Advanced 0-10'!P175:Q175*1,0)*'Advanced Entry'!P$9:Q$9)/SUMPRODUCT(ISNUMBER('Advanced 0-10'!P175:Q175)*'Advanced Entry'!P$9:Q$9),1))</f>
        <v/>
      </c>
      <c r="G175" s="7">
        <f>IF(SUMPRODUCT(ISNUMBER('Advanced 0-10'!R175:S175)*'Advanced Entry'!R$9:S$9)=0,"",ROUND(SUMPRODUCT(IFERROR('Advanced 0-10'!R175:S175*1,0)*'Advanced Entry'!R$9:S$9)/SUMPRODUCT(ISNUMBER('Advanced 0-10'!R175:S175)*'Advanced Entry'!R$9:S$9),1))</f>
        <v/>
      </c>
      <c r="H175" s="7">
        <f>IF(SUMPRODUCT(ISNUMBER('Advanced 0-10'!T175:U175)*'Advanced Entry'!T$9:U$9)=0,"",ROUND(SUMPRODUCT(IFERROR('Advanced 0-10'!T175:U175*1,0)*'Advanced Entry'!T$9:U$9)/SUMPRODUCT(ISNUMBER('Advanced 0-10'!T175:U175)*'Advanced Entry'!T$9:U$9),1))</f>
        <v/>
      </c>
      <c r="I175" s="7">
        <f>IF(SUMPRODUCT(ISNUMBER('Advanced 0-10'!V175:Z175)*'Advanced Entry'!V$9:Z$9)=0,"",ROUND(SUMPRODUCT(IFERROR('Advanced 0-10'!V175:Z175*1,0)*'Advanced Entry'!V$9:Z$9)/SUMPRODUCT(ISNUMBER('Advanced 0-10'!V175:Z175)*'Advanced Entry'!V$9:Z$9),1))</f>
        <v/>
      </c>
      <c r="J175" s="7">
        <f>IF(SUMPRODUCT(ISNUMBER('Advanced 0-10'!AA175:AA175)*'Advanced Entry'!AA$9:AA$9)=0,"",ROUND(SUMPRODUCT(IFERROR('Advanced 0-10'!AA175:AA175*1,0)*'Advanced Entry'!AA$9:AA$9)/SUMPRODUCT(ISNUMBER('Advanced 0-10'!AA175:AA175)*'Advanced Entry'!AA$9:AA$9),1))</f>
        <v/>
      </c>
      <c r="K175" s="7">
        <f>IF(SUMPRODUCT(ISNUMBER('Advanced 0-10'!AB175:AB175)*'Advanced Entry'!AB$9:AB$9)=0,"",ROUND(SUMPRODUCT(IFERROR('Advanced 0-10'!AB175:AB175*1,0)*'Advanced Entry'!AB$9:AB$9)/SUMPRODUCT(ISNUMBER('Advanced 0-10'!AB175:AB175)*'Advanced Entry'!AB$9:AB$9),1))</f>
        <v/>
      </c>
      <c r="L175" s="19">
        <f>IF(SUMPRODUCT(--ISNUMBER(D175:K175))=0,"",ROUND(SUMPRODUCT(IFERROR(D175:K175*1,0))/SUMPRODUCT(--ISNUMBER(D175:K175)),1))</f>
        <v/>
      </c>
    </row>
    <row r="176">
      <c r="A176" t="inlineStr">
        <is>
          <t>Singida</t>
        </is>
      </c>
      <c r="B176" t="inlineStr">
        <is>
          <t>Iramba District</t>
        </is>
      </c>
      <c r="C176" t="inlineStr">
        <is>
          <t>C092</t>
        </is>
      </c>
      <c r="D176" s="7">
        <f>IF(SUMPRODUCT(ISNUMBER('Advanced 0-10'!D176:J176)*'Advanced Entry'!D$9:J$9)=0,"",ROUND(SUMPRODUCT(IFERROR('Advanced 0-10'!D176:J176*1,0)*'Advanced Entry'!D$9:J$9)/SUMPRODUCT(ISNUMBER('Advanced 0-10'!D176:J176)*'Advanced Entry'!D$9:J$9),1))</f>
        <v/>
      </c>
      <c r="E176" s="7">
        <f>IF(SUMPRODUCT(ISNUMBER('Advanced 0-10'!K176:O176)*'Advanced Entry'!K$9:O$9)=0,"",ROUND(SUMPRODUCT(IFERROR('Advanced 0-10'!K176:O176*1,0)*'Advanced Entry'!K$9:O$9)/SUMPRODUCT(ISNUMBER('Advanced 0-10'!K176:O176)*'Advanced Entry'!K$9:O$9),1))</f>
        <v/>
      </c>
      <c r="F176" s="7">
        <f>IF(SUMPRODUCT(ISNUMBER('Advanced 0-10'!P176:Q176)*'Advanced Entry'!P$9:Q$9)=0,"",ROUND(SUMPRODUCT(IFERROR('Advanced 0-10'!P176:Q176*1,0)*'Advanced Entry'!P$9:Q$9)/SUMPRODUCT(ISNUMBER('Advanced 0-10'!P176:Q176)*'Advanced Entry'!P$9:Q$9),1))</f>
        <v/>
      </c>
      <c r="G176" s="7">
        <f>IF(SUMPRODUCT(ISNUMBER('Advanced 0-10'!R176:S176)*'Advanced Entry'!R$9:S$9)=0,"",ROUND(SUMPRODUCT(IFERROR('Advanced 0-10'!R176:S176*1,0)*'Advanced Entry'!R$9:S$9)/SUMPRODUCT(ISNUMBER('Advanced 0-10'!R176:S176)*'Advanced Entry'!R$9:S$9),1))</f>
        <v/>
      </c>
      <c r="H176" s="7">
        <f>IF(SUMPRODUCT(ISNUMBER('Advanced 0-10'!T176:U176)*'Advanced Entry'!T$9:U$9)=0,"",ROUND(SUMPRODUCT(IFERROR('Advanced 0-10'!T176:U176*1,0)*'Advanced Entry'!T$9:U$9)/SUMPRODUCT(ISNUMBER('Advanced 0-10'!T176:U176)*'Advanced Entry'!T$9:U$9),1))</f>
        <v/>
      </c>
      <c r="I176" s="7">
        <f>IF(SUMPRODUCT(ISNUMBER('Advanced 0-10'!V176:Z176)*'Advanced Entry'!V$9:Z$9)=0,"",ROUND(SUMPRODUCT(IFERROR('Advanced 0-10'!V176:Z176*1,0)*'Advanced Entry'!V$9:Z$9)/SUMPRODUCT(ISNUMBER('Advanced 0-10'!V176:Z176)*'Advanced Entry'!V$9:Z$9),1))</f>
        <v/>
      </c>
      <c r="J176" s="7">
        <f>IF(SUMPRODUCT(ISNUMBER('Advanced 0-10'!AA176:AA176)*'Advanced Entry'!AA$9:AA$9)=0,"",ROUND(SUMPRODUCT(IFERROR('Advanced 0-10'!AA176:AA176*1,0)*'Advanced Entry'!AA$9:AA$9)/SUMPRODUCT(ISNUMBER('Advanced 0-10'!AA176:AA176)*'Advanced Entry'!AA$9:AA$9),1))</f>
        <v/>
      </c>
      <c r="K176" s="7">
        <f>IF(SUMPRODUCT(ISNUMBER('Advanced 0-10'!AB176:AB176)*'Advanced Entry'!AB$9:AB$9)=0,"",ROUND(SUMPRODUCT(IFERROR('Advanced 0-10'!AB176:AB176*1,0)*'Advanced Entry'!AB$9:AB$9)/SUMPRODUCT(ISNUMBER('Advanced 0-10'!AB176:AB176)*'Advanced Entry'!AB$9:AB$9),1))</f>
        <v/>
      </c>
      <c r="L176" s="19">
        <f>IF(SUMPRODUCT(--ISNUMBER(D176:K176))=0,"",ROUND(SUMPRODUCT(IFERROR(D176:K176*1,0))/SUMPRODUCT(--ISNUMBER(D176:K176)),1))</f>
        <v/>
      </c>
    </row>
    <row r="177">
      <c r="A177" t="inlineStr">
        <is>
          <t>Singida</t>
        </is>
      </c>
      <c r="B177" t="inlineStr">
        <is>
          <t>Itigi District</t>
        </is>
      </c>
      <c r="C177" t="inlineStr">
        <is>
          <t>C096</t>
        </is>
      </c>
      <c r="D177" s="7">
        <f>IF(SUMPRODUCT(ISNUMBER('Advanced 0-10'!D177:J177)*'Advanced Entry'!D$9:J$9)=0,"",ROUND(SUMPRODUCT(IFERROR('Advanced 0-10'!D177:J177*1,0)*'Advanced Entry'!D$9:J$9)/SUMPRODUCT(ISNUMBER('Advanced 0-10'!D177:J177)*'Advanced Entry'!D$9:J$9),1))</f>
        <v/>
      </c>
      <c r="E177" s="7">
        <f>IF(SUMPRODUCT(ISNUMBER('Advanced 0-10'!K177:O177)*'Advanced Entry'!K$9:O$9)=0,"",ROUND(SUMPRODUCT(IFERROR('Advanced 0-10'!K177:O177*1,0)*'Advanced Entry'!K$9:O$9)/SUMPRODUCT(ISNUMBER('Advanced 0-10'!K177:O177)*'Advanced Entry'!K$9:O$9),1))</f>
        <v/>
      </c>
      <c r="F177" s="7">
        <f>IF(SUMPRODUCT(ISNUMBER('Advanced 0-10'!P177:Q177)*'Advanced Entry'!P$9:Q$9)=0,"",ROUND(SUMPRODUCT(IFERROR('Advanced 0-10'!P177:Q177*1,0)*'Advanced Entry'!P$9:Q$9)/SUMPRODUCT(ISNUMBER('Advanced 0-10'!P177:Q177)*'Advanced Entry'!P$9:Q$9),1))</f>
        <v/>
      </c>
      <c r="G177" s="7">
        <f>IF(SUMPRODUCT(ISNUMBER('Advanced 0-10'!R177:S177)*'Advanced Entry'!R$9:S$9)=0,"",ROUND(SUMPRODUCT(IFERROR('Advanced 0-10'!R177:S177*1,0)*'Advanced Entry'!R$9:S$9)/SUMPRODUCT(ISNUMBER('Advanced 0-10'!R177:S177)*'Advanced Entry'!R$9:S$9),1))</f>
        <v/>
      </c>
      <c r="H177" s="7">
        <f>IF(SUMPRODUCT(ISNUMBER('Advanced 0-10'!T177:U177)*'Advanced Entry'!T$9:U$9)=0,"",ROUND(SUMPRODUCT(IFERROR('Advanced 0-10'!T177:U177*1,0)*'Advanced Entry'!T$9:U$9)/SUMPRODUCT(ISNUMBER('Advanced 0-10'!T177:U177)*'Advanced Entry'!T$9:U$9),1))</f>
        <v/>
      </c>
      <c r="I177" s="7">
        <f>IF(SUMPRODUCT(ISNUMBER('Advanced 0-10'!V177:Z177)*'Advanced Entry'!V$9:Z$9)=0,"",ROUND(SUMPRODUCT(IFERROR('Advanced 0-10'!V177:Z177*1,0)*'Advanced Entry'!V$9:Z$9)/SUMPRODUCT(ISNUMBER('Advanced 0-10'!V177:Z177)*'Advanced Entry'!V$9:Z$9),1))</f>
        <v/>
      </c>
      <c r="J177" s="7">
        <f>IF(SUMPRODUCT(ISNUMBER('Advanced 0-10'!AA177:AA177)*'Advanced Entry'!AA$9:AA$9)=0,"",ROUND(SUMPRODUCT(IFERROR('Advanced 0-10'!AA177:AA177*1,0)*'Advanced Entry'!AA$9:AA$9)/SUMPRODUCT(ISNUMBER('Advanced 0-10'!AA177:AA177)*'Advanced Entry'!AA$9:AA$9),1))</f>
        <v/>
      </c>
      <c r="K177" s="7">
        <f>IF(SUMPRODUCT(ISNUMBER('Advanced 0-10'!AB177:AB177)*'Advanced Entry'!AB$9:AB$9)=0,"",ROUND(SUMPRODUCT(IFERROR('Advanced 0-10'!AB177:AB177*1,0)*'Advanced Entry'!AB$9:AB$9)/SUMPRODUCT(ISNUMBER('Advanced 0-10'!AB177:AB177)*'Advanced Entry'!AB$9:AB$9),1))</f>
        <v/>
      </c>
      <c r="L177" s="19">
        <f>IF(SUMPRODUCT(--ISNUMBER(D177:K177))=0,"",ROUND(SUMPRODUCT(IFERROR(D177:K177*1,0))/SUMPRODUCT(--ISNUMBER(D177:K177)),1))</f>
        <v/>
      </c>
    </row>
    <row r="178">
      <c r="A178" t="inlineStr">
        <is>
          <t>Singida</t>
        </is>
      </c>
      <c r="B178" t="inlineStr">
        <is>
          <t>Manyoni District</t>
        </is>
      </c>
      <c r="C178" t="inlineStr">
        <is>
          <t>C095</t>
        </is>
      </c>
      <c r="D178" s="7">
        <f>IF(SUMPRODUCT(ISNUMBER('Advanced 0-10'!D178:J178)*'Advanced Entry'!D$9:J$9)=0,"",ROUND(SUMPRODUCT(IFERROR('Advanced 0-10'!D178:J178*1,0)*'Advanced Entry'!D$9:J$9)/SUMPRODUCT(ISNUMBER('Advanced 0-10'!D178:J178)*'Advanced Entry'!D$9:J$9),1))</f>
        <v/>
      </c>
      <c r="E178" s="7">
        <f>IF(SUMPRODUCT(ISNUMBER('Advanced 0-10'!K178:O178)*'Advanced Entry'!K$9:O$9)=0,"",ROUND(SUMPRODUCT(IFERROR('Advanced 0-10'!K178:O178*1,0)*'Advanced Entry'!K$9:O$9)/SUMPRODUCT(ISNUMBER('Advanced 0-10'!K178:O178)*'Advanced Entry'!K$9:O$9),1))</f>
        <v/>
      </c>
      <c r="F178" s="7">
        <f>IF(SUMPRODUCT(ISNUMBER('Advanced 0-10'!P178:Q178)*'Advanced Entry'!P$9:Q$9)=0,"",ROUND(SUMPRODUCT(IFERROR('Advanced 0-10'!P178:Q178*1,0)*'Advanced Entry'!P$9:Q$9)/SUMPRODUCT(ISNUMBER('Advanced 0-10'!P178:Q178)*'Advanced Entry'!P$9:Q$9),1))</f>
        <v/>
      </c>
      <c r="G178" s="7">
        <f>IF(SUMPRODUCT(ISNUMBER('Advanced 0-10'!R178:S178)*'Advanced Entry'!R$9:S$9)=0,"",ROUND(SUMPRODUCT(IFERROR('Advanced 0-10'!R178:S178*1,0)*'Advanced Entry'!R$9:S$9)/SUMPRODUCT(ISNUMBER('Advanced 0-10'!R178:S178)*'Advanced Entry'!R$9:S$9),1))</f>
        <v/>
      </c>
      <c r="H178" s="7">
        <f>IF(SUMPRODUCT(ISNUMBER('Advanced 0-10'!T178:U178)*'Advanced Entry'!T$9:U$9)=0,"",ROUND(SUMPRODUCT(IFERROR('Advanced 0-10'!T178:U178*1,0)*'Advanced Entry'!T$9:U$9)/SUMPRODUCT(ISNUMBER('Advanced 0-10'!T178:U178)*'Advanced Entry'!T$9:U$9),1))</f>
        <v/>
      </c>
      <c r="I178" s="7">
        <f>IF(SUMPRODUCT(ISNUMBER('Advanced 0-10'!V178:Z178)*'Advanced Entry'!V$9:Z$9)=0,"",ROUND(SUMPRODUCT(IFERROR('Advanced 0-10'!V178:Z178*1,0)*'Advanced Entry'!V$9:Z$9)/SUMPRODUCT(ISNUMBER('Advanced 0-10'!V178:Z178)*'Advanced Entry'!V$9:Z$9),1))</f>
        <v/>
      </c>
      <c r="J178" s="7">
        <f>IF(SUMPRODUCT(ISNUMBER('Advanced 0-10'!AA178:AA178)*'Advanced Entry'!AA$9:AA$9)=0,"",ROUND(SUMPRODUCT(IFERROR('Advanced 0-10'!AA178:AA178*1,0)*'Advanced Entry'!AA$9:AA$9)/SUMPRODUCT(ISNUMBER('Advanced 0-10'!AA178:AA178)*'Advanced Entry'!AA$9:AA$9),1))</f>
        <v/>
      </c>
      <c r="K178" s="7">
        <f>IF(SUMPRODUCT(ISNUMBER('Advanced 0-10'!AB178:AB178)*'Advanced Entry'!AB$9:AB$9)=0,"",ROUND(SUMPRODUCT(IFERROR('Advanced 0-10'!AB178:AB178*1,0)*'Advanced Entry'!AB$9:AB$9)/SUMPRODUCT(ISNUMBER('Advanced 0-10'!AB178:AB178)*'Advanced Entry'!AB$9:AB$9),1))</f>
        <v/>
      </c>
      <c r="L178" s="19">
        <f>IF(SUMPRODUCT(--ISNUMBER(D178:K178))=0,"",ROUND(SUMPRODUCT(IFERROR(D178:K178*1,0))/SUMPRODUCT(--ISNUMBER(D178:K178)),1))</f>
        <v/>
      </c>
    </row>
    <row r="179">
      <c r="A179" t="inlineStr">
        <is>
          <t>Singida</t>
        </is>
      </c>
      <c r="B179" t="inlineStr">
        <is>
          <t>Mkalama District</t>
        </is>
      </c>
      <c r="C179" t="inlineStr">
        <is>
          <t>C098</t>
        </is>
      </c>
      <c r="D179" s="7">
        <f>IF(SUMPRODUCT(ISNUMBER('Advanced 0-10'!D179:J179)*'Advanced Entry'!D$9:J$9)=0,"",ROUND(SUMPRODUCT(IFERROR('Advanced 0-10'!D179:J179*1,0)*'Advanced Entry'!D$9:J$9)/SUMPRODUCT(ISNUMBER('Advanced 0-10'!D179:J179)*'Advanced Entry'!D$9:J$9),1))</f>
        <v/>
      </c>
      <c r="E179" s="7">
        <f>IF(SUMPRODUCT(ISNUMBER('Advanced 0-10'!K179:O179)*'Advanced Entry'!K$9:O$9)=0,"",ROUND(SUMPRODUCT(IFERROR('Advanced 0-10'!K179:O179*1,0)*'Advanced Entry'!K$9:O$9)/SUMPRODUCT(ISNUMBER('Advanced 0-10'!K179:O179)*'Advanced Entry'!K$9:O$9),1))</f>
        <v/>
      </c>
      <c r="F179" s="7">
        <f>IF(SUMPRODUCT(ISNUMBER('Advanced 0-10'!P179:Q179)*'Advanced Entry'!P$9:Q$9)=0,"",ROUND(SUMPRODUCT(IFERROR('Advanced 0-10'!P179:Q179*1,0)*'Advanced Entry'!P$9:Q$9)/SUMPRODUCT(ISNUMBER('Advanced 0-10'!P179:Q179)*'Advanced Entry'!P$9:Q$9),1))</f>
        <v/>
      </c>
      <c r="G179" s="7">
        <f>IF(SUMPRODUCT(ISNUMBER('Advanced 0-10'!R179:S179)*'Advanced Entry'!R$9:S$9)=0,"",ROUND(SUMPRODUCT(IFERROR('Advanced 0-10'!R179:S179*1,0)*'Advanced Entry'!R$9:S$9)/SUMPRODUCT(ISNUMBER('Advanced 0-10'!R179:S179)*'Advanced Entry'!R$9:S$9),1))</f>
        <v/>
      </c>
      <c r="H179" s="7">
        <f>IF(SUMPRODUCT(ISNUMBER('Advanced 0-10'!T179:U179)*'Advanced Entry'!T$9:U$9)=0,"",ROUND(SUMPRODUCT(IFERROR('Advanced 0-10'!T179:U179*1,0)*'Advanced Entry'!T$9:U$9)/SUMPRODUCT(ISNUMBER('Advanced 0-10'!T179:U179)*'Advanced Entry'!T$9:U$9),1))</f>
        <v/>
      </c>
      <c r="I179" s="7">
        <f>IF(SUMPRODUCT(ISNUMBER('Advanced 0-10'!V179:Z179)*'Advanced Entry'!V$9:Z$9)=0,"",ROUND(SUMPRODUCT(IFERROR('Advanced 0-10'!V179:Z179*1,0)*'Advanced Entry'!V$9:Z$9)/SUMPRODUCT(ISNUMBER('Advanced 0-10'!V179:Z179)*'Advanced Entry'!V$9:Z$9),1))</f>
        <v/>
      </c>
      <c r="J179" s="7">
        <f>IF(SUMPRODUCT(ISNUMBER('Advanced 0-10'!AA179:AA179)*'Advanced Entry'!AA$9:AA$9)=0,"",ROUND(SUMPRODUCT(IFERROR('Advanced 0-10'!AA179:AA179*1,0)*'Advanced Entry'!AA$9:AA$9)/SUMPRODUCT(ISNUMBER('Advanced 0-10'!AA179:AA179)*'Advanced Entry'!AA$9:AA$9),1))</f>
        <v/>
      </c>
      <c r="K179" s="7">
        <f>IF(SUMPRODUCT(ISNUMBER('Advanced 0-10'!AB179:AB179)*'Advanced Entry'!AB$9:AB$9)=0,"",ROUND(SUMPRODUCT(IFERROR('Advanced 0-10'!AB179:AB179*1,0)*'Advanced Entry'!AB$9:AB$9)/SUMPRODUCT(ISNUMBER('Advanced 0-10'!AB179:AB179)*'Advanced Entry'!AB$9:AB$9),1))</f>
        <v/>
      </c>
      <c r="L179" s="19">
        <f>IF(SUMPRODUCT(--ISNUMBER(D179:K179))=0,"",ROUND(SUMPRODUCT(IFERROR(D179:K179*1,0))/SUMPRODUCT(--ISNUMBER(D179:K179)),1))</f>
        <v/>
      </c>
    </row>
    <row r="180">
      <c r="A180" t="inlineStr">
        <is>
          <t>Singida</t>
        </is>
      </c>
      <c r="B180" t="inlineStr">
        <is>
          <t>Singida District</t>
        </is>
      </c>
      <c r="C180" t="inlineStr">
        <is>
          <t>C093</t>
        </is>
      </c>
      <c r="D180" s="7">
        <f>IF(SUMPRODUCT(ISNUMBER('Advanced 0-10'!D180:J180)*'Advanced Entry'!D$9:J$9)=0,"",ROUND(SUMPRODUCT(IFERROR('Advanced 0-10'!D180:J180*1,0)*'Advanced Entry'!D$9:J$9)/SUMPRODUCT(ISNUMBER('Advanced 0-10'!D180:J180)*'Advanced Entry'!D$9:J$9),1))</f>
        <v/>
      </c>
      <c r="E180" s="7">
        <f>IF(SUMPRODUCT(ISNUMBER('Advanced 0-10'!K180:O180)*'Advanced Entry'!K$9:O$9)=0,"",ROUND(SUMPRODUCT(IFERROR('Advanced 0-10'!K180:O180*1,0)*'Advanced Entry'!K$9:O$9)/SUMPRODUCT(ISNUMBER('Advanced 0-10'!K180:O180)*'Advanced Entry'!K$9:O$9),1))</f>
        <v/>
      </c>
      <c r="F180" s="7">
        <f>IF(SUMPRODUCT(ISNUMBER('Advanced 0-10'!P180:Q180)*'Advanced Entry'!P$9:Q$9)=0,"",ROUND(SUMPRODUCT(IFERROR('Advanced 0-10'!P180:Q180*1,0)*'Advanced Entry'!P$9:Q$9)/SUMPRODUCT(ISNUMBER('Advanced 0-10'!P180:Q180)*'Advanced Entry'!P$9:Q$9),1))</f>
        <v/>
      </c>
      <c r="G180" s="7">
        <f>IF(SUMPRODUCT(ISNUMBER('Advanced 0-10'!R180:S180)*'Advanced Entry'!R$9:S$9)=0,"",ROUND(SUMPRODUCT(IFERROR('Advanced 0-10'!R180:S180*1,0)*'Advanced Entry'!R$9:S$9)/SUMPRODUCT(ISNUMBER('Advanced 0-10'!R180:S180)*'Advanced Entry'!R$9:S$9),1))</f>
        <v/>
      </c>
      <c r="H180" s="7">
        <f>IF(SUMPRODUCT(ISNUMBER('Advanced 0-10'!T180:U180)*'Advanced Entry'!T$9:U$9)=0,"",ROUND(SUMPRODUCT(IFERROR('Advanced 0-10'!T180:U180*1,0)*'Advanced Entry'!T$9:U$9)/SUMPRODUCT(ISNUMBER('Advanced 0-10'!T180:U180)*'Advanced Entry'!T$9:U$9),1))</f>
        <v/>
      </c>
      <c r="I180" s="7">
        <f>IF(SUMPRODUCT(ISNUMBER('Advanced 0-10'!V180:Z180)*'Advanced Entry'!V$9:Z$9)=0,"",ROUND(SUMPRODUCT(IFERROR('Advanced 0-10'!V180:Z180*1,0)*'Advanced Entry'!V$9:Z$9)/SUMPRODUCT(ISNUMBER('Advanced 0-10'!V180:Z180)*'Advanced Entry'!V$9:Z$9),1))</f>
        <v/>
      </c>
      <c r="J180" s="7">
        <f>IF(SUMPRODUCT(ISNUMBER('Advanced 0-10'!AA180:AA180)*'Advanced Entry'!AA$9:AA$9)=0,"",ROUND(SUMPRODUCT(IFERROR('Advanced 0-10'!AA180:AA180*1,0)*'Advanced Entry'!AA$9:AA$9)/SUMPRODUCT(ISNUMBER('Advanced 0-10'!AA180:AA180)*'Advanced Entry'!AA$9:AA$9),1))</f>
        <v/>
      </c>
      <c r="K180" s="7">
        <f>IF(SUMPRODUCT(ISNUMBER('Advanced 0-10'!AB180:AB180)*'Advanced Entry'!AB$9:AB$9)=0,"",ROUND(SUMPRODUCT(IFERROR('Advanced 0-10'!AB180:AB180*1,0)*'Advanced Entry'!AB$9:AB$9)/SUMPRODUCT(ISNUMBER('Advanced 0-10'!AB180:AB180)*'Advanced Entry'!AB$9:AB$9),1))</f>
        <v/>
      </c>
      <c r="L180" s="19">
        <f>IF(SUMPRODUCT(--ISNUMBER(D180:K180))=0,"",ROUND(SUMPRODUCT(IFERROR(D180:K180*1,0))/SUMPRODUCT(--ISNUMBER(D180:K180)),1))</f>
        <v/>
      </c>
    </row>
    <row r="181">
      <c r="A181" t="inlineStr">
        <is>
          <t>Singida</t>
        </is>
      </c>
      <c r="B181" t="inlineStr">
        <is>
          <t>Singida Municipal</t>
        </is>
      </c>
      <c r="C181" t="inlineStr">
        <is>
          <t>C094</t>
        </is>
      </c>
      <c r="D181" s="7">
        <f>IF(SUMPRODUCT(ISNUMBER('Advanced 0-10'!D181:J181)*'Advanced Entry'!D$9:J$9)=0,"",ROUND(SUMPRODUCT(IFERROR('Advanced 0-10'!D181:J181*1,0)*'Advanced Entry'!D$9:J$9)/SUMPRODUCT(ISNUMBER('Advanced 0-10'!D181:J181)*'Advanced Entry'!D$9:J$9),1))</f>
        <v/>
      </c>
      <c r="E181" s="7">
        <f>IF(SUMPRODUCT(ISNUMBER('Advanced 0-10'!K181:O181)*'Advanced Entry'!K$9:O$9)=0,"",ROUND(SUMPRODUCT(IFERROR('Advanced 0-10'!K181:O181*1,0)*'Advanced Entry'!K$9:O$9)/SUMPRODUCT(ISNUMBER('Advanced 0-10'!K181:O181)*'Advanced Entry'!K$9:O$9),1))</f>
        <v/>
      </c>
      <c r="F181" s="7">
        <f>IF(SUMPRODUCT(ISNUMBER('Advanced 0-10'!P181:Q181)*'Advanced Entry'!P$9:Q$9)=0,"",ROUND(SUMPRODUCT(IFERROR('Advanced 0-10'!P181:Q181*1,0)*'Advanced Entry'!P$9:Q$9)/SUMPRODUCT(ISNUMBER('Advanced 0-10'!P181:Q181)*'Advanced Entry'!P$9:Q$9),1))</f>
        <v/>
      </c>
      <c r="G181" s="7">
        <f>IF(SUMPRODUCT(ISNUMBER('Advanced 0-10'!R181:S181)*'Advanced Entry'!R$9:S$9)=0,"",ROUND(SUMPRODUCT(IFERROR('Advanced 0-10'!R181:S181*1,0)*'Advanced Entry'!R$9:S$9)/SUMPRODUCT(ISNUMBER('Advanced 0-10'!R181:S181)*'Advanced Entry'!R$9:S$9),1))</f>
        <v/>
      </c>
      <c r="H181" s="7">
        <f>IF(SUMPRODUCT(ISNUMBER('Advanced 0-10'!T181:U181)*'Advanced Entry'!T$9:U$9)=0,"",ROUND(SUMPRODUCT(IFERROR('Advanced 0-10'!T181:U181*1,0)*'Advanced Entry'!T$9:U$9)/SUMPRODUCT(ISNUMBER('Advanced 0-10'!T181:U181)*'Advanced Entry'!T$9:U$9),1))</f>
        <v/>
      </c>
      <c r="I181" s="7">
        <f>IF(SUMPRODUCT(ISNUMBER('Advanced 0-10'!V181:Z181)*'Advanced Entry'!V$9:Z$9)=0,"",ROUND(SUMPRODUCT(IFERROR('Advanced 0-10'!V181:Z181*1,0)*'Advanced Entry'!V$9:Z$9)/SUMPRODUCT(ISNUMBER('Advanced 0-10'!V181:Z181)*'Advanced Entry'!V$9:Z$9),1))</f>
        <v/>
      </c>
      <c r="J181" s="7">
        <f>IF(SUMPRODUCT(ISNUMBER('Advanced 0-10'!AA181:AA181)*'Advanced Entry'!AA$9:AA$9)=0,"",ROUND(SUMPRODUCT(IFERROR('Advanced 0-10'!AA181:AA181*1,0)*'Advanced Entry'!AA$9:AA$9)/SUMPRODUCT(ISNUMBER('Advanced 0-10'!AA181:AA181)*'Advanced Entry'!AA$9:AA$9),1))</f>
        <v/>
      </c>
      <c r="K181" s="7">
        <f>IF(SUMPRODUCT(ISNUMBER('Advanced 0-10'!AB181:AB181)*'Advanced Entry'!AB$9:AB$9)=0,"",ROUND(SUMPRODUCT(IFERROR('Advanced 0-10'!AB181:AB181*1,0)*'Advanced Entry'!AB$9:AB$9)/SUMPRODUCT(ISNUMBER('Advanced 0-10'!AB181:AB181)*'Advanced Entry'!AB$9:AB$9),1))</f>
        <v/>
      </c>
      <c r="L181" s="19">
        <f>IF(SUMPRODUCT(--ISNUMBER(D181:K181))=0,"",ROUND(SUMPRODUCT(IFERROR(D181:K181*1,0))/SUMPRODUCT(--ISNUMBER(D181:K181)),1))</f>
        <v/>
      </c>
    </row>
    <row r="182">
      <c r="A182" t="inlineStr">
        <is>
          <t>Songwe</t>
        </is>
      </c>
      <c r="B182" t="inlineStr">
        <is>
          <t>Ileje District</t>
        </is>
      </c>
      <c r="C182" t="inlineStr">
        <is>
          <t>C184</t>
        </is>
      </c>
      <c r="D182" s="7">
        <f>IF(SUMPRODUCT(ISNUMBER('Advanced 0-10'!D182:J182)*'Advanced Entry'!D$9:J$9)=0,"",ROUND(SUMPRODUCT(IFERROR('Advanced 0-10'!D182:J182*1,0)*'Advanced Entry'!D$9:J$9)/SUMPRODUCT(ISNUMBER('Advanced 0-10'!D182:J182)*'Advanced Entry'!D$9:J$9),1))</f>
        <v/>
      </c>
      <c r="E182" s="7">
        <f>IF(SUMPRODUCT(ISNUMBER('Advanced 0-10'!K182:O182)*'Advanced Entry'!K$9:O$9)=0,"",ROUND(SUMPRODUCT(IFERROR('Advanced 0-10'!K182:O182*1,0)*'Advanced Entry'!K$9:O$9)/SUMPRODUCT(ISNUMBER('Advanced 0-10'!K182:O182)*'Advanced Entry'!K$9:O$9),1))</f>
        <v/>
      </c>
      <c r="F182" s="7">
        <f>IF(SUMPRODUCT(ISNUMBER('Advanced 0-10'!P182:Q182)*'Advanced Entry'!P$9:Q$9)=0,"",ROUND(SUMPRODUCT(IFERROR('Advanced 0-10'!P182:Q182*1,0)*'Advanced Entry'!P$9:Q$9)/SUMPRODUCT(ISNUMBER('Advanced 0-10'!P182:Q182)*'Advanced Entry'!P$9:Q$9),1))</f>
        <v/>
      </c>
      <c r="G182" s="7">
        <f>IF(SUMPRODUCT(ISNUMBER('Advanced 0-10'!R182:S182)*'Advanced Entry'!R$9:S$9)=0,"",ROUND(SUMPRODUCT(IFERROR('Advanced 0-10'!R182:S182*1,0)*'Advanced Entry'!R$9:S$9)/SUMPRODUCT(ISNUMBER('Advanced 0-10'!R182:S182)*'Advanced Entry'!R$9:S$9),1))</f>
        <v/>
      </c>
      <c r="H182" s="7">
        <f>IF(SUMPRODUCT(ISNUMBER('Advanced 0-10'!T182:U182)*'Advanced Entry'!T$9:U$9)=0,"",ROUND(SUMPRODUCT(IFERROR('Advanced 0-10'!T182:U182*1,0)*'Advanced Entry'!T$9:U$9)/SUMPRODUCT(ISNUMBER('Advanced 0-10'!T182:U182)*'Advanced Entry'!T$9:U$9),1))</f>
        <v/>
      </c>
      <c r="I182" s="7">
        <f>IF(SUMPRODUCT(ISNUMBER('Advanced 0-10'!V182:Z182)*'Advanced Entry'!V$9:Z$9)=0,"",ROUND(SUMPRODUCT(IFERROR('Advanced 0-10'!V182:Z182*1,0)*'Advanced Entry'!V$9:Z$9)/SUMPRODUCT(ISNUMBER('Advanced 0-10'!V182:Z182)*'Advanced Entry'!V$9:Z$9),1))</f>
        <v/>
      </c>
      <c r="J182" s="7">
        <f>IF(SUMPRODUCT(ISNUMBER('Advanced 0-10'!AA182:AA182)*'Advanced Entry'!AA$9:AA$9)=0,"",ROUND(SUMPRODUCT(IFERROR('Advanced 0-10'!AA182:AA182*1,0)*'Advanced Entry'!AA$9:AA$9)/SUMPRODUCT(ISNUMBER('Advanced 0-10'!AA182:AA182)*'Advanced Entry'!AA$9:AA$9),1))</f>
        <v/>
      </c>
      <c r="K182" s="7">
        <f>IF(SUMPRODUCT(ISNUMBER('Advanced 0-10'!AB182:AB182)*'Advanced Entry'!AB$9:AB$9)=0,"",ROUND(SUMPRODUCT(IFERROR('Advanced 0-10'!AB182:AB182*1,0)*'Advanced Entry'!AB$9:AB$9)/SUMPRODUCT(ISNUMBER('Advanced 0-10'!AB182:AB182)*'Advanced Entry'!AB$9:AB$9),1))</f>
        <v/>
      </c>
      <c r="L182" s="19">
        <f>IF(SUMPRODUCT(--ISNUMBER(D182:K182))=0,"",ROUND(SUMPRODUCT(IFERROR(D182:K182*1,0))/SUMPRODUCT(--ISNUMBER(D182:K182)),1))</f>
        <v/>
      </c>
    </row>
    <row r="183">
      <c r="A183" t="inlineStr">
        <is>
          <t>Songwe</t>
        </is>
      </c>
      <c r="B183" t="inlineStr">
        <is>
          <t>Mbozi District</t>
        </is>
      </c>
      <c r="C183" t="inlineStr">
        <is>
          <t>C183</t>
        </is>
      </c>
      <c r="D183" s="7">
        <f>IF(SUMPRODUCT(ISNUMBER('Advanced 0-10'!D183:J183)*'Advanced Entry'!D$9:J$9)=0,"",ROUND(SUMPRODUCT(IFERROR('Advanced 0-10'!D183:J183*1,0)*'Advanced Entry'!D$9:J$9)/SUMPRODUCT(ISNUMBER('Advanced 0-10'!D183:J183)*'Advanced Entry'!D$9:J$9),1))</f>
        <v/>
      </c>
      <c r="E183" s="7">
        <f>IF(SUMPRODUCT(ISNUMBER('Advanced 0-10'!K183:O183)*'Advanced Entry'!K$9:O$9)=0,"",ROUND(SUMPRODUCT(IFERROR('Advanced 0-10'!K183:O183*1,0)*'Advanced Entry'!K$9:O$9)/SUMPRODUCT(ISNUMBER('Advanced 0-10'!K183:O183)*'Advanced Entry'!K$9:O$9),1))</f>
        <v/>
      </c>
      <c r="F183" s="7">
        <f>IF(SUMPRODUCT(ISNUMBER('Advanced 0-10'!P183:Q183)*'Advanced Entry'!P$9:Q$9)=0,"",ROUND(SUMPRODUCT(IFERROR('Advanced 0-10'!P183:Q183*1,0)*'Advanced Entry'!P$9:Q$9)/SUMPRODUCT(ISNUMBER('Advanced 0-10'!P183:Q183)*'Advanced Entry'!P$9:Q$9),1))</f>
        <v/>
      </c>
      <c r="G183" s="7">
        <f>IF(SUMPRODUCT(ISNUMBER('Advanced 0-10'!R183:S183)*'Advanced Entry'!R$9:S$9)=0,"",ROUND(SUMPRODUCT(IFERROR('Advanced 0-10'!R183:S183*1,0)*'Advanced Entry'!R$9:S$9)/SUMPRODUCT(ISNUMBER('Advanced 0-10'!R183:S183)*'Advanced Entry'!R$9:S$9),1))</f>
        <v/>
      </c>
      <c r="H183" s="7">
        <f>IF(SUMPRODUCT(ISNUMBER('Advanced 0-10'!T183:U183)*'Advanced Entry'!T$9:U$9)=0,"",ROUND(SUMPRODUCT(IFERROR('Advanced 0-10'!T183:U183*1,0)*'Advanced Entry'!T$9:U$9)/SUMPRODUCT(ISNUMBER('Advanced 0-10'!T183:U183)*'Advanced Entry'!T$9:U$9),1))</f>
        <v/>
      </c>
      <c r="I183" s="7">
        <f>IF(SUMPRODUCT(ISNUMBER('Advanced 0-10'!V183:Z183)*'Advanced Entry'!V$9:Z$9)=0,"",ROUND(SUMPRODUCT(IFERROR('Advanced 0-10'!V183:Z183*1,0)*'Advanced Entry'!V$9:Z$9)/SUMPRODUCT(ISNUMBER('Advanced 0-10'!V183:Z183)*'Advanced Entry'!V$9:Z$9),1))</f>
        <v/>
      </c>
      <c r="J183" s="7">
        <f>IF(SUMPRODUCT(ISNUMBER('Advanced 0-10'!AA183:AA183)*'Advanced Entry'!AA$9:AA$9)=0,"",ROUND(SUMPRODUCT(IFERROR('Advanced 0-10'!AA183:AA183*1,0)*'Advanced Entry'!AA$9:AA$9)/SUMPRODUCT(ISNUMBER('Advanced 0-10'!AA183:AA183)*'Advanced Entry'!AA$9:AA$9),1))</f>
        <v/>
      </c>
      <c r="K183" s="7">
        <f>IF(SUMPRODUCT(ISNUMBER('Advanced 0-10'!AB183:AB183)*'Advanced Entry'!AB$9:AB$9)=0,"",ROUND(SUMPRODUCT(IFERROR('Advanced 0-10'!AB183:AB183*1,0)*'Advanced Entry'!AB$9:AB$9)/SUMPRODUCT(ISNUMBER('Advanced 0-10'!AB183:AB183)*'Advanced Entry'!AB$9:AB$9),1))</f>
        <v/>
      </c>
      <c r="L183" s="19">
        <f>IF(SUMPRODUCT(--ISNUMBER(D183:K183))=0,"",ROUND(SUMPRODUCT(IFERROR(D183:K183*1,0))/SUMPRODUCT(--ISNUMBER(D183:K183)),1))</f>
        <v/>
      </c>
    </row>
    <row r="184">
      <c r="A184" t="inlineStr">
        <is>
          <t>Songwe</t>
        </is>
      </c>
      <c r="B184" t="inlineStr">
        <is>
          <t>Momba District</t>
        </is>
      </c>
      <c r="C184" t="inlineStr">
        <is>
          <t>C180</t>
        </is>
      </c>
      <c r="D184" s="7">
        <f>IF(SUMPRODUCT(ISNUMBER('Advanced 0-10'!D184:J184)*'Advanced Entry'!D$9:J$9)=0,"",ROUND(SUMPRODUCT(IFERROR('Advanced 0-10'!D184:J184*1,0)*'Advanced Entry'!D$9:J$9)/SUMPRODUCT(ISNUMBER('Advanced 0-10'!D184:J184)*'Advanced Entry'!D$9:J$9),1))</f>
        <v/>
      </c>
      <c r="E184" s="7">
        <f>IF(SUMPRODUCT(ISNUMBER('Advanced 0-10'!K184:O184)*'Advanced Entry'!K$9:O$9)=0,"",ROUND(SUMPRODUCT(IFERROR('Advanced 0-10'!K184:O184*1,0)*'Advanced Entry'!K$9:O$9)/SUMPRODUCT(ISNUMBER('Advanced 0-10'!K184:O184)*'Advanced Entry'!K$9:O$9),1))</f>
        <v/>
      </c>
      <c r="F184" s="7">
        <f>IF(SUMPRODUCT(ISNUMBER('Advanced 0-10'!P184:Q184)*'Advanced Entry'!P$9:Q$9)=0,"",ROUND(SUMPRODUCT(IFERROR('Advanced 0-10'!P184:Q184*1,0)*'Advanced Entry'!P$9:Q$9)/SUMPRODUCT(ISNUMBER('Advanced 0-10'!P184:Q184)*'Advanced Entry'!P$9:Q$9),1))</f>
        <v/>
      </c>
      <c r="G184" s="7">
        <f>IF(SUMPRODUCT(ISNUMBER('Advanced 0-10'!R184:S184)*'Advanced Entry'!R$9:S$9)=0,"",ROUND(SUMPRODUCT(IFERROR('Advanced 0-10'!R184:S184*1,0)*'Advanced Entry'!R$9:S$9)/SUMPRODUCT(ISNUMBER('Advanced 0-10'!R184:S184)*'Advanced Entry'!R$9:S$9),1))</f>
        <v/>
      </c>
      <c r="H184" s="7">
        <f>IF(SUMPRODUCT(ISNUMBER('Advanced 0-10'!T184:U184)*'Advanced Entry'!T$9:U$9)=0,"",ROUND(SUMPRODUCT(IFERROR('Advanced 0-10'!T184:U184*1,0)*'Advanced Entry'!T$9:U$9)/SUMPRODUCT(ISNUMBER('Advanced 0-10'!T184:U184)*'Advanced Entry'!T$9:U$9),1))</f>
        <v/>
      </c>
      <c r="I184" s="7">
        <f>IF(SUMPRODUCT(ISNUMBER('Advanced 0-10'!V184:Z184)*'Advanced Entry'!V$9:Z$9)=0,"",ROUND(SUMPRODUCT(IFERROR('Advanced 0-10'!V184:Z184*1,0)*'Advanced Entry'!V$9:Z$9)/SUMPRODUCT(ISNUMBER('Advanced 0-10'!V184:Z184)*'Advanced Entry'!V$9:Z$9),1))</f>
        <v/>
      </c>
      <c r="J184" s="7">
        <f>IF(SUMPRODUCT(ISNUMBER('Advanced 0-10'!AA184:AA184)*'Advanced Entry'!AA$9:AA$9)=0,"",ROUND(SUMPRODUCT(IFERROR('Advanced 0-10'!AA184:AA184*1,0)*'Advanced Entry'!AA$9:AA$9)/SUMPRODUCT(ISNUMBER('Advanced 0-10'!AA184:AA184)*'Advanced Entry'!AA$9:AA$9),1))</f>
        <v/>
      </c>
      <c r="K184" s="7">
        <f>IF(SUMPRODUCT(ISNUMBER('Advanced 0-10'!AB184:AB184)*'Advanced Entry'!AB$9:AB$9)=0,"",ROUND(SUMPRODUCT(IFERROR('Advanced 0-10'!AB184:AB184*1,0)*'Advanced Entry'!AB$9:AB$9)/SUMPRODUCT(ISNUMBER('Advanced 0-10'!AB184:AB184)*'Advanced Entry'!AB$9:AB$9),1))</f>
        <v/>
      </c>
      <c r="L184" s="19">
        <f>IF(SUMPRODUCT(--ISNUMBER(D184:K184))=0,"",ROUND(SUMPRODUCT(IFERROR(D184:K184*1,0))/SUMPRODUCT(--ISNUMBER(D184:K184)),1))</f>
        <v/>
      </c>
    </row>
    <row r="185">
      <c r="A185" t="inlineStr">
        <is>
          <t>Songwe</t>
        </is>
      </c>
      <c r="B185" t="inlineStr">
        <is>
          <t>Songwe District</t>
        </is>
      </c>
      <c r="C185" t="inlineStr">
        <is>
          <t>C182</t>
        </is>
      </c>
      <c r="D185" s="7">
        <f>IF(SUMPRODUCT(ISNUMBER('Advanced 0-10'!D185:J185)*'Advanced Entry'!D$9:J$9)=0,"",ROUND(SUMPRODUCT(IFERROR('Advanced 0-10'!D185:J185*1,0)*'Advanced Entry'!D$9:J$9)/SUMPRODUCT(ISNUMBER('Advanced 0-10'!D185:J185)*'Advanced Entry'!D$9:J$9),1))</f>
        <v/>
      </c>
      <c r="E185" s="7">
        <f>IF(SUMPRODUCT(ISNUMBER('Advanced 0-10'!K185:O185)*'Advanced Entry'!K$9:O$9)=0,"",ROUND(SUMPRODUCT(IFERROR('Advanced 0-10'!K185:O185*1,0)*'Advanced Entry'!K$9:O$9)/SUMPRODUCT(ISNUMBER('Advanced 0-10'!K185:O185)*'Advanced Entry'!K$9:O$9),1))</f>
        <v/>
      </c>
      <c r="F185" s="7">
        <f>IF(SUMPRODUCT(ISNUMBER('Advanced 0-10'!P185:Q185)*'Advanced Entry'!P$9:Q$9)=0,"",ROUND(SUMPRODUCT(IFERROR('Advanced 0-10'!P185:Q185*1,0)*'Advanced Entry'!P$9:Q$9)/SUMPRODUCT(ISNUMBER('Advanced 0-10'!P185:Q185)*'Advanced Entry'!P$9:Q$9),1))</f>
        <v/>
      </c>
      <c r="G185" s="7">
        <f>IF(SUMPRODUCT(ISNUMBER('Advanced 0-10'!R185:S185)*'Advanced Entry'!R$9:S$9)=0,"",ROUND(SUMPRODUCT(IFERROR('Advanced 0-10'!R185:S185*1,0)*'Advanced Entry'!R$9:S$9)/SUMPRODUCT(ISNUMBER('Advanced 0-10'!R185:S185)*'Advanced Entry'!R$9:S$9),1))</f>
        <v/>
      </c>
      <c r="H185" s="7">
        <f>IF(SUMPRODUCT(ISNUMBER('Advanced 0-10'!T185:U185)*'Advanced Entry'!T$9:U$9)=0,"",ROUND(SUMPRODUCT(IFERROR('Advanced 0-10'!T185:U185*1,0)*'Advanced Entry'!T$9:U$9)/SUMPRODUCT(ISNUMBER('Advanced 0-10'!T185:U185)*'Advanced Entry'!T$9:U$9),1))</f>
        <v/>
      </c>
      <c r="I185" s="7">
        <f>IF(SUMPRODUCT(ISNUMBER('Advanced 0-10'!V185:Z185)*'Advanced Entry'!V$9:Z$9)=0,"",ROUND(SUMPRODUCT(IFERROR('Advanced 0-10'!V185:Z185*1,0)*'Advanced Entry'!V$9:Z$9)/SUMPRODUCT(ISNUMBER('Advanced 0-10'!V185:Z185)*'Advanced Entry'!V$9:Z$9),1))</f>
        <v/>
      </c>
      <c r="J185" s="7">
        <f>IF(SUMPRODUCT(ISNUMBER('Advanced 0-10'!AA185:AA185)*'Advanced Entry'!AA$9:AA$9)=0,"",ROUND(SUMPRODUCT(IFERROR('Advanced 0-10'!AA185:AA185*1,0)*'Advanced Entry'!AA$9:AA$9)/SUMPRODUCT(ISNUMBER('Advanced 0-10'!AA185:AA185)*'Advanced Entry'!AA$9:AA$9),1))</f>
        <v/>
      </c>
      <c r="K185" s="7">
        <f>IF(SUMPRODUCT(ISNUMBER('Advanced 0-10'!AB185:AB185)*'Advanced Entry'!AB$9:AB$9)=0,"",ROUND(SUMPRODUCT(IFERROR('Advanced 0-10'!AB185:AB185*1,0)*'Advanced Entry'!AB$9:AB$9)/SUMPRODUCT(ISNUMBER('Advanced 0-10'!AB185:AB185)*'Advanced Entry'!AB$9:AB$9),1))</f>
        <v/>
      </c>
      <c r="L185" s="19">
        <f>IF(SUMPRODUCT(--ISNUMBER(D185:K185))=0,"",ROUND(SUMPRODUCT(IFERROR(D185:K185*1,0))/SUMPRODUCT(--ISNUMBER(D185:K185)),1))</f>
        <v/>
      </c>
    </row>
    <row r="186">
      <c r="A186" t="inlineStr">
        <is>
          <t>Songwe</t>
        </is>
      </c>
      <c r="B186" t="inlineStr">
        <is>
          <t>Tunduma Town</t>
        </is>
      </c>
      <c r="C186" t="inlineStr">
        <is>
          <t>C181</t>
        </is>
      </c>
      <c r="D186" s="7">
        <f>IF(SUMPRODUCT(ISNUMBER('Advanced 0-10'!D186:J186)*'Advanced Entry'!D$9:J$9)=0,"",ROUND(SUMPRODUCT(IFERROR('Advanced 0-10'!D186:J186*1,0)*'Advanced Entry'!D$9:J$9)/SUMPRODUCT(ISNUMBER('Advanced 0-10'!D186:J186)*'Advanced Entry'!D$9:J$9),1))</f>
        <v/>
      </c>
      <c r="E186" s="7">
        <f>IF(SUMPRODUCT(ISNUMBER('Advanced 0-10'!K186:O186)*'Advanced Entry'!K$9:O$9)=0,"",ROUND(SUMPRODUCT(IFERROR('Advanced 0-10'!K186:O186*1,0)*'Advanced Entry'!K$9:O$9)/SUMPRODUCT(ISNUMBER('Advanced 0-10'!K186:O186)*'Advanced Entry'!K$9:O$9),1))</f>
        <v/>
      </c>
      <c r="F186" s="7">
        <f>IF(SUMPRODUCT(ISNUMBER('Advanced 0-10'!P186:Q186)*'Advanced Entry'!P$9:Q$9)=0,"",ROUND(SUMPRODUCT(IFERROR('Advanced 0-10'!P186:Q186*1,0)*'Advanced Entry'!P$9:Q$9)/SUMPRODUCT(ISNUMBER('Advanced 0-10'!P186:Q186)*'Advanced Entry'!P$9:Q$9),1))</f>
        <v/>
      </c>
      <c r="G186" s="7">
        <f>IF(SUMPRODUCT(ISNUMBER('Advanced 0-10'!R186:S186)*'Advanced Entry'!R$9:S$9)=0,"",ROUND(SUMPRODUCT(IFERROR('Advanced 0-10'!R186:S186*1,0)*'Advanced Entry'!R$9:S$9)/SUMPRODUCT(ISNUMBER('Advanced 0-10'!R186:S186)*'Advanced Entry'!R$9:S$9),1))</f>
        <v/>
      </c>
      <c r="H186" s="7">
        <f>IF(SUMPRODUCT(ISNUMBER('Advanced 0-10'!T186:U186)*'Advanced Entry'!T$9:U$9)=0,"",ROUND(SUMPRODUCT(IFERROR('Advanced 0-10'!T186:U186*1,0)*'Advanced Entry'!T$9:U$9)/SUMPRODUCT(ISNUMBER('Advanced 0-10'!T186:U186)*'Advanced Entry'!T$9:U$9),1))</f>
        <v/>
      </c>
      <c r="I186" s="7">
        <f>IF(SUMPRODUCT(ISNUMBER('Advanced 0-10'!V186:Z186)*'Advanced Entry'!V$9:Z$9)=0,"",ROUND(SUMPRODUCT(IFERROR('Advanced 0-10'!V186:Z186*1,0)*'Advanced Entry'!V$9:Z$9)/SUMPRODUCT(ISNUMBER('Advanced 0-10'!V186:Z186)*'Advanced Entry'!V$9:Z$9),1))</f>
        <v/>
      </c>
      <c r="J186" s="7">
        <f>IF(SUMPRODUCT(ISNUMBER('Advanced 0-10'!AA186:AA186)*'Advanced Entry'!AA$9:AA$9)=0,"",ROUND(SUMPRODUCT(IFERROR('Advanced 0-10'!AA186:AA186*1,0)*'Advanced Entry'!AA$9:AA$9)/SUMPRODUCT(ISNUMBER('Advanced 0-10'!AA186:AA186)*'Advanced Entry'!AA$9:AA$9),1))</f>
        <v/>
      </c>
      <c r="K186" s="7">
        <f>IF(SUMPRODUCT(ISNUMBER('Advanced 0-10'!AB186:AB186)*'Advanced Entry'!AB$9:AB$9)=0,"",ROUND(SUMPRODUCT(IFERROR('Advanced 0-10'!AB186:AB186*1,0)*'Advanced Entry'!AB$9:AB$9)/SUMPRODUCT(ISNUMBER('Advanced 0-10'!AB186:AB186)*'Advanced Entry'!AB$9:AB$9),1))</f>
        <v/>
      </c>
      <c r="L186" s="19">
        <f>IF(SUMPRODUCT(--ISNUMBER(D186:K186))=0,"",ROUND(SUMPRODUCT(IFERROR(D186:K186*1,0))/SUMPRODUCT(--ISNUMBER(D186:K186)),1))</f>
        <v/>
      </c>
    </row>
    <row r="187">
      <c r="A187" t="inlineStr">
        <is>
          <t>Tabora</t>
        </is>
      </c>
      <c r="B187" t="inlineStr">
        <is>
          <t>Igunga District</t>
        </is>
      </c>
      <c r="C187" t="inlineStr">
        <is>
          <t>C101</t>
        </is>
      </c>
      <c r="D187" s="7">
        <f>IF(SUMPRODUCT(ISNUMBER('Advanced 0-10'!D187:J187)*'Advanced Entry'!D$9:J$9)=0,"",ROUND(SUMPRODUCT(IFERROR('Advanced 0-10'!D187:J187*1,0)*'Advanced Entry'!D$9:J$9)/SUMPRODUCT(ISNUMBER('Advanced 0-10'!D187:J187)*'Advanced Entry'!D$9:J$9),1))</f>
        <v/>
      </c>
      <c r="E187" s="7">
        <f>IF(SUMPRODUCT(ISNUMBER('Advanced 0-10'!K187:O187)*'Advanced Entry'!K$9:O$9)=0,"",ROUND(SUMPRODUCT(IFERROR('Advanced 0-10'!K187:O187*1,0)*'Advanced Entry'!K$9:O$9)/SUMPRODUCT(ISNUMBER('Advanced 0-10'!K187:O187)*'Advanced Entry'!K$9:O$9),1))</f>
        <v/>
      </c>
      <c r="F187" s="7">
        <f>IF(SUMPRODUCT(ISNUMBER('Advanced 0-10'!P187:Q187)*'Advanced Entry'!P$9:Q$9)=0,"",ROUND(SUMPRODUCT(IFERROR('Advanced 0-10'!P187:Q187*1,0)*'Advanced Entry'!P$9:Q$9)/SUMPRODUCT(ISNUMBER('Advanced 0-10'!P187:Q187)*'Advanced Entry'!P$9:Q$9),1))</f>
        <v/>
      </c>
      <c r="G187" s="7">
        <f>IF(SUMPRODUCT(ISNUMBER('Advanced 0-10'!R187:S187)*'Advanced Entry'!R$9:S$9)=0,"",ROUND(SUMPRODUCT(IFERROR('Advanced 0-10'!R187:S187*1,0)*'Advanced Entry'!R$9:S$9)/SUMPRODUCT(ISNUMBER('Advanced 0-10'!R187:S187)*'Advanced Entry'!R$9:S$9),1))</f>
        <v/>
      </c>
      <c r="H187" s="7">
        <f>IF(SUMPRODUCT(ISNUMBER('Advanced 0-10'!T187:U187)*'Advanced Entry'!T$9:U$9)=0,"",ROUND(SUMPRODUCT(IFERROR('Advanced 0-10'!T187:U187*1,0)*'Advanced Entry'!T$9:U$9)/SUMPRODUCT(ISNUMBER('Advanced 0-10'!T187:U187)*'Advanced Entry'!T$9:U$9),1))</f>
        <v/>
      </c>
      <c r="I187" s="7">
        <f>IF(SUMPRODUCT(ISNUMBER('Advanced 0-10'!V187:Z187)*'Advanced Entry'!V$9:Z$9)=0,"",ROUND(SUMPRODUCT(IFERROR('Advanced 0-10'!V187:Z187*1,0)*'Advanced Entry'!V$9:Z$9)/SUMPRODUCT(ISNUMBER('Advanced 0-10'!V187:Z187)*'Advanced Entry'!V$9:Z$9),1))</f>
        <v/>
      </c>
      <c r="J187" s="7">
        <f>IF(SUMPRODUCT(ISNUMBER('Advanced 0-10'!AA187:AA187)*'Advanced Entry'!AA$9:AA$9)=0,"",ROUND(SUMPRODUCT(IFERROR('Advanced 0-10'!AA187:AA187*1,0)*'Advanced Entry'!AA$9:AA$9)/SUMPRODUCT(ISNUMBER('Advanced 0-10'!AA187:AA187)*'Advanced Entry'!AA$9:AA$9),1))</f>
        <v/>
      </c>
      <c r="K187" s="7">
        <f>IF(SUMPRODUCT(ISNUMBER('Advanced 0-10'!AB187:AB187)*'Advanced Entry'!AB$9:AB$9)=0,"",ROUND(SUMPRODUCT(IFERROR('Advanced 0-10'!AB187:AB187*1,0)*'Advanced Entry'!AB$9:AB$9)/SUMPRODUCT(ISNUMBER('Advanced 0-10'!AB187:AB187)*'Advanced Entry'!AB$9:AB$9),1))</f>
        <v/>
      </c>
      <c r="L187" s="19">
        <f>IF(SUMPRODUCT(--ISNUMBER(D187:K187))=0,"",ROUND(SUMPRODUCT(IFERROR(D187:K187*1,0))/SUMPRODUCT(--ISNUMBER(D187:K187)),1))</f>
        <v/>
      </c>
    </row>
    <row r="188">
      <c r="A188" t="inlineStr">
        <is>
          <t>Tabora</t>
        </is>
      </c>
      <c r="B188" t="inlineStr">
        <is>
          <t>Kaliua District</t>
        </is>
      </c>
      <c r="C188" t="inlineStr">
        <is>
          <t>C106</t>
        </is>
      </c>
      <c r="D188" s="7">
        <f>IF(SUMPRODUCT(ISNUMBER('Advanced 0-10'!D188:J188)*'Advanced Entry'!D$9:J$9)=0,"",ROUND(SUMPRODUCT(IFERROR('Advanced 0-10'!D188:J188*1,0)*'Advanced Entry'!D$9:J$9)/SUMPRODUCT(ISNUMBER('Advanced 0-10'!D188:J188)*'Advanced Entry'!D$9:J$9),1))</f>
        <v/>
      </c>
      <c r="E188" s="7">
        <f>IF(SUMPRODUCT(ISNUMBER('Advanced 0-10'!K188:O188)*'Advanced Entry'!K$9:O$9)=0,"",ROUND(SUMPRODUCT(IFERROR('Advanced 0-10'!K188:O188*1,0)*'Advanced Entry'!K$9:O$9)/SUMPRODUCT(ISNUMBER('Advanced 0-10'!K188:O188)*'Advanced Entry'!K$9:O$9),1))</f>
        <v/>
      </c>
      <c r="F188" s="7">
        <f>IF(SUMPRODUCT(ISNUMBER('Advanced 0-10'!P188:Q188)*'Advanced Entry'!P$9:Q$9)=0,"",ROUND(SUMPRODUCT(IFERROR('Advanced 0-10'!P188:Q188*1,0)*'Advanced Entry'!P$9:Q$9)/SUMPRODUCT(ISNUMBER('Advanced 0-10'!P188:Q188)*'Advanced Entry'!P$9:Q$9),1))</f>
        <v/>
      </c>
      <c r="G188" s="7">
        <f>IF(SUMPRODUCT(ISNUMBER('Advanced 0-10'!R188:S188)*'Advanced Entry'!R$9:S$9)=0,"",ROUND(SUMPRODUCT(IFERROR('Advanced 0-10'!R188:S188*1,0)*'Advanced Entry'!R$9:S$9)/SUMPRODUCT(ISNUMBER('Advanced 0-10'!R188:S188)*'Advanced Entry'!R$9:S$9),1))</f>
        <v/>
      </c>
      <c r="H188" s="7">
        <f>IF(SUMPRODUCT(ISNUMBER('Advanced 0-10'!T188:U188)*'Advanced Entry'!T$9:U$9)=0,"",ROUND(SUMPRODUCT(IFERROR('Advanced 0-10'!T188:U188*1,0)*'Advanced Entry'!T$9:U$9)/SUMPRODUCT(ISNUMBER('Advanced 0-10'!T188:U188)*'Advanced Entry'!T$9:U$9),1))</f>
        <v/>
      </c>
      <c r="I188" s="7">
        <f>IF(SUMPRODUCT(ISNUMBER('Advanced 0-10'!V188:Z188)*'Advanced Entry'!V$9:Z$9)=0,"",ROUND(SUMPRODUCT(IFERROR('Advanced 0-10'!V188:Z188*1,0)*'Advanced Entry'!V$9:Z$9)/SUMPRODUCT(ISNUMBER('Advanced 0-10'!V188:Z188)*'Advanced Entry'!V$9:Z$9),1))</f>
        <v/>
      </c>
      <c r="J188" s="7">
        <f>IF(SUMPRODUCT(ISNUMBER('Advanced 0-10'!AA188:AA188)*'Advanced Entry'!AA$9:AA$9)=0,"",ROUND(SUMPRODUCT(IFERROR('Advanced 0-10'!AA188:AA188*1,0)*'Advanced Entry'!AA$9:AA$9)/SUMPRODUCT(ISNUMBER('Advanced 0-10'!AA188:AA188)*'Advanced Entry'!AA$9:AA$9),1))</f>
        <v/>
      </c>
      <c r="K188" s="7">
        <f>IF(SUMPRODUCT(ISNUMBER('Advanced 0-10'!AB188:AB188)*'Advanced Entry'!AB$9:AB$9)=0,"",ROUND(SUMPRODUCT(IFERROR('Advanced 0-10'!AB188:AB188*1,0)*'Advanced Entry'!AB$9:AB$9)/SUMPRODUCT(ISNUMBER('Advanced 0-10'!AB188:AB188)*'Advanced Entry'!AB$9:AB$9),1))</f>
        <v/>
      </c>
      <c r="L188" s="19">
        <f>IF(SUMPRODUCT(--ISNUMBER(D188:K188))=0,"",ROUND(SUMPRODUCT(IFERROR(D188:K188*1,0))/SUMPRODUCT(--ISNUMBER(D188:K188)),1))</f>
        <v/>
      </c>
    </row>
    <row r="189">
      <c r="A189" t="inlineStr">
        <is>
          <t>Tabora</t>
        </is>
      </c>
      <c r="B189" t="inlineStr">
        <is>
          <t>Nzega District</t>
        </is>
      </c>
      <c r="C189" t="inlineStr">
        <is>
          <t>C100</t>
        </is>
      </c>
      <c r="D189" s="7">
        <f>IF(SUMPRODUCT(ISNUMBER('Advanced 0-10'!D189:J189)*'Advanced Entry'!D$9:J$9)=0,"",ROUND(SUMPRODUCT(IFERROR('Advanced 0-10'!D189:J189*1,0)*'Advanced Entry'!D$9:J$9)/SUMPRODUCT(ISNUMBER('Advanced 0-10'!D189:J189)*'Advanced Entry'!D$9:J$9),1))</f>
        <v/>
      </c>
      <c r="E189" s="7">
        <f>IF(SUMPRODUCT(ISNUMBER('Advanced 0-10'!K189:O189)*'Advanced Entry'!K$9:O$9)=0,"",ROUND(SUMPRODUCT(IFERROR('Advanced 0-10'!K189:O189*1,0)*'Advanced Entry'!K$9:O$9)/SUMPRODUCT(ISNUMBER('Advanced 0-10'!K189:O189)*'Advanced Entry'!K$9:O$9),1))</f>
        <v/>
      </c>
      <c r="F189" s="7">
        <f>IF(SUMPRODUCT(ISNUMBER('Advanced 0-10'!P189:Q189)*'Advanced Entry'!P$9:Q$9)=0,"",ROUND(SUMPRODUCT(IFERROR('Advanced 0-10'!P189:Q189*1,0)*'Advanced Entry'!P$9:Q$9)/SUMPRODUCT(ISNUMBER('Advanced 0-10'!P189:Q189)*'Advanced Entry'!P$9:Q$9),1))</f>
        <v/>
      </c>
      <c r="G189" s="7">
        <f>IF(SUMPRODUCT(ISNUMBER('Advanced 0-10'!R189:S189)*'Advanced Entry'!R$9:S$9)=0,"",ROUND(SUMPRODUCT(IFERROR('Advanced 0-10'!R189:S189*1,0)*'Advanced Entry'!R$9:S$9)/SUMPRODUCT(ISNUMBER('Advanced 0-10'!R189:S189)*'Advanced Entry'!R$9:S$9),1))</f>
        <v/>
      </c>
      <c r="H189" s="7">
        <f>IF(SUMPRODUCT(ISNUMBER('Advanced 0-10'!T189:U189)*'Advanced Entry'!T$9:U$9)=0,"",ROUND(SUMPRODUCT(IFERROR('Advanced 0-10'!T189:U189*1,0)*'Advanced Entry'!T$9:U$9)/SUMPRODUCT(ISNUMBER('Advanced 0-10'!T189:U189)*'Advanced Entry'!T$9:U$9),1))</f>
        <v/>
      </c>
      <c r="I189" s="7">
        <f>IF(SUMPRODUCT(ISNUMBER('Advanced 0-10'!V189:Z189)*'Advanced Entry'!V$9:Z$9)=0,"",ROUND(SUMPRODUCT(IFERROR('Advanced 0-10'!V189:Z189*1,0)*'Advanced Entry'!V$9:Z$9)/SUMPRODUCT(ISNUMBER('Advanced 0-10'!V189:Z189)*'Advanced Entry'!V$9:Z$9),1))</f>
        <v/>
      </c>
      <c r="J189" s="7">
        <f>IF(SUMPRODUCT(ISNUMBER('Advanced 0-10'!AA189:AA189)*'Advanced Entry'!AA$9:AA$9)=0,"",ROUND(SUMPRODUCT(IFERROR('Advanced 0-10'!AA189:AA189*1,0)*'Advanced Entry'!AA$9:AA$9)/SUMPRODUCT(ISNUMBER('Advanced 0-10'!AA189:AA189)*'Advanced Entry'!AA$9:AA$9),1))</f>
        <v/>
      </c>
      <c r="K189" s="7">
        <f>IF(SUMPRODUCT(ISNUMBER('Advanced 0-10'!AB189:AB189)*'Advanced Entry'!AB$9:AB$9)=0,"",ROUND(SUMPRODUCT(IFERROR('Advanced 0-10'!AB189:AB189*1,0)*'Advanced Entry'!AB$9:AB$9)/SUMPRODUCT(ISNUMBER('Advanced 0-10'!AB189:AB189)*'Advanced Entry'!AB$9:AB$9),1))</f>
        <v/>
      </c>
      <c r="L189" s="19">
        <f>IF(SUMPRODUCT(--ISNUMBER(D189:K189))=0,"",ROUND(SUMPRODUCT(IFERROR(D189:K189*1,0))/SUMPRODUCT(--ISNUMBER(D189:K189)),1))</f>
        <v/>
      </c>
    </row>
    <row r="190">
      <c r="A190" t="inlineStr">
        <is>
          <t>Tabora</t>
        </is>
      </c>
      <c r="B190" t="inlineStr">
        <is>
          <t>Nzega Town</t>
        </is>
      </c>
      <c r="C190" t="inlineStr">
        <is>
          <t>C099</t>
        </is>
      </c>
      <c r="D190" s="7">
        <f>IF(SUMPRODUCT(ISNUMBER('Advanced 0-10'!D190:J190)*'Advanced Entry'!D$9:J$9)=0,"",ROUND(SUMPRODUCT(IFERROR('Advanced 0-10'!D190:J190*1,0)*'Advanced Entry'!D$9:J$9)/SUMPRODUCT(ISNUMBER('Advanced 0-10'!D190:J190)*'Advanced Entry'!D$9:J$9),1))</f>
        <v/>
      </c>
      <c r="E190" s="7">
        <f>IF(SUMPRODUCT(ISNUMBER('Advanced 0-10'!K190:O190)*'Advanced Entry'!K$9:O$9)=0,"",ROUND(SUMPRODUCT(IFERROR('Advanced 0-10'!K190:O190*1,0)*'Advanced Entry'!K$9:O$9)/SUMPRODUCT(ISNUMBER('Advanced 0-10'!K190:O190)*'Advanced Entry'!K$9:O$9),1))</f>
        <v/>
      </c>
      <c r="F190" s="7">
        <f>IF(SUMPRODUCT(ISNUMBER('Advanced 0-10'!P190:Q190)*'Advanced Entry'!P$9:Q$9)=0,"",ROUND(SUMPRODUCT(IFERROR('Advanced 0-10'!P190:Q190*1,0)*'Advanced Entry'!P$9:Q$9)/SUMPRODUCT(ISNUMBER('Advanced 0-10'!P190:Q190)*'Advanced Entry'!P$9:Q$9),1))</f>
        <v/>
      </c>
      <c r="G190" s="7">
        <f>IF(SUMPRODUCT(ISNUMBER('Advanced 0-10'!R190:S190)*'Advanced Entry'!R$9:S$9)=0,"",ROUND(SUMPRODUCT(IFERROR('Advanced 0-10'!R190:S190*1,0)*'Advanced Entry'!R$9:S$9)/SUMPRODUCT(ISNUMBER('Advanced 0-10'!R190:S190)*'Advanced Entry'!R$9:S$9),1))</f>
        <v/>
      </c>
      <c r="H190" s="7">
        <f>IF(SUMPRODUCT(ISNUMBER('Advanced 0-10'!T190:U190)*'Advanced Entry'!T$9:U$9)=0,"",ROUND(SUMPRODUCT(IFERROR('Advanced 0-10'!T190:U190*1,0)*'Advanced Entry'!T$9:U$9)/SUMPRODUCT(ISNUMBER('Advanced 0-10'!T190:U190)*'Advanced Entry'!T$9:U$9),1))</f>
        <v/>
      </c>
      <c r="I190" s="7">
        <f>IF(SUMPRODUCT(ISNUMBER('Advanced 0-10'!V190:Z190)*'Advanced Entry'!V$9:Z$9)=0,"",ROUND(SUMPRODUCT(IFERROR('Advanced 0-10'!V190:Z190*1,0)*'Advanced Entry'!V$9:Z$9)/SUMPRODUCT(ISNUMBER('Advanced 0-10'!V190:Z190)*'Advanced Entry'!V$9:Z$9),1))</f>
        <v/>
      </c>
      <c r="J190" s="7">
        <f>IF(SUMPRODUCT(ISNUMBER('Advanced 0-10'!AA190:AA190)*'Advanced Entry'!AA$9:AA$9)=0,"",ROUND(SUMPRODUCT(IFERROR('Advanced 0-10'!AA190:AA190*1,0)*'Advanced Entry'!AA$9:AA$9)/SUMPRODUCT(ISNUMBER('Advanced 0-10'!AA190:AA190)*'Advanced Entry'!AA$9:AA$9),1))</f>
        <v/>
      </c>
      <c r="K190" s="7">
        <f>IF(SUMPRODUCT(ISNUMBER('Advanced 0-10'!AB190:AB190)*'Advanced Entry'!AB$9:AB$9)=0,"",ROUND(SUMPRODUCT(IFERROR('Advanced 0-10'!AB190:AB190*1,0)*'Advanced Entry'!AB$9:AB$9)/SUMPRODUCT(ISNUMBER('Advanced 0-10'!AB190:AB190)*'Advanced Entry'!AB$9:AB$9),1))</f>
        <v/>
      </c>
      <c r="L190" s="19">
        <f>IF(SUMPRODUCT(--ISNUMBER(D190:K190))=0,"",ROUND(SUMPRODUCT(IFERROR(D190:K190*1,0))/SUMPRODUCT(--ISNUMBER(D190:K190)),1))</f>
        <v/>
      </c>
    </row>
    <row r="191">
      <c r="A191" t="inlineStr">
        <is>
          <t>Tabora</t>
        </is>
      </c>
      <c r="B191" t="inlineStr">
        <is>
          <t>Sikonge District</t>
        </is>
      </c>
      <c r="C191" t="inlineStr">
        <is>
          <t>C104</t>
        </is>
      </c>
      <c r="D191" s="7">
        <f>IF(SUMPRODUCT(ISNUMBER('Advanced 0-10'!D191:J191)*'Advanced Entry'!D$9:J$9)=0,"",ROUND(SUMPRODUCT(IFERROR('Advanced 0-10'!D191:J191*1,0)*'Advanced Entry'!D$9:J$9)/SUMPRODUCT(ISNUMBER('Advanced 0-10'!D191:J191)*'Advanced Entry'!D$9:J$9),1))</f>
        <v/>
      </c>
      <c r="E191" s="7">
        <f>IF(SUMPRODUCT(ISNUMBER('Advanced 0-10'!K191:O191)*'Advanced Entry'!K$9:O$9)=0,"",ROUND(SUMPRODUCT(IFERROR('Advanced 0-10'!K191:O191*1,0)*'Advanced Entry'!K$9:O$9)/SUMPRODUCT(ISNUMBER('Advanced 0-10'!K191:O191)*'Advanced Entry'!K$9:O$9),1))</f>
        <v/>
      </c>
      <c r="F191" s="7">
        <f>IF(SUMPRODUCT(ISNUMBER('Advanced 0-10'!P191:Q191)*'Advanced Entry'!P$9:Q$9)=0,"",ROUND(SUMPRODUCT(IFERROR('Advanced 0-10'!P191:Q191*1,0)*'Advanced Entry'!P$9:Q$9)/SUMPRODUCT(ISNUMBER('Advanced 0-10'!P191:Q191)*'Advanced Entry'!P$9:Q$9),1))</f>
        <v/>
      </c>
      <c r="G191" s="7">
        <f>IF(SUMPRODUCT(ISNUMBER('Advanced 0-10'!R191:S191)*'Advanced Entry'!R$9:S$9)=0,"",ROUND(SUMPRODUCT(IFERROR('Advanced 0-10'!R191:S191*1,0)*'Advanced Entry'!R$9:S$9)/SUMPRODUCT(ISNUMBER('Advanced 0-10'!R191:S191)*'Advanced Entry'!R$9:S$9),1))</f>
        <v/>
      </c>
      <c r="H191" s="7">
        <f>IF(SUMPRODUCT(ISNUMBER('Advanced 0-10'!T191:U191)*'Advanced Entry'!T$9:U$9)=0,"",ROUND(SUMPRODUCT(IFERROR('Advanced 0-10'!T191:U191*1,0)*'Advanced Entry'!T$9:U$9)/SUMPRODUCT(ISNUMBER('Advanced 0-10'!T191:U191)*'Advanced Entry'!T$9:U$9),1))</f>
        <v/>
      </c>
      <c r="I191" s="7">
        <f>IF(SUMPRODUCT(ISNUMBER('Advanced 0-10'!V191:Z191)*'Advanced Entry'!V$9:Z$9)=0,"",ROUND(SUMPRODUCT(IFERROR('Advanced 0-10'!V191:Z191*1,0)*'Advanced Entry'!V$9:Z$9)/SUMPRODUCT(ISNUMBER('Advanced 0-10'!V191:Z191)*'Advanced Entry'!V$9:Z$9),1))</f>
        <v/>
      </c>
      <c r="J191" s="7">
        <f>IF(SUMPRODUCT(ISNUMBER('Advanced 0-10'!AA191:AA191)*'Advanced Entry'!AA$9:AA$9)=0,"",ROUND(SUMPRODUCT(IFERROR('Advanced 0-10'!AA191:AA191*1,0)*'Advanced Entry'!AA$9:AA$9)/SUMPRODUCT(ISNUMBER('Advanced 0-10'!AA191:AA191)*'Advanced Entry'!AA$9:AA$9),1))</f>
        <v/>
      </c>
      <c r="K191" s="7">
        <f>IF(SUMPRODUCT(ISNUMBER('Advanced 0-10'!AB191:AB191)*'Advanced Entry'!AB$9:AB$9)=0,"",ROUND(SUMPRODUCT(IFERROR('Advanced 0-10'!AB191:AB191*1,0)*'Advanced Entry'!AB$9:AB$9)/SUMPRODUCT(ISNUMBER('Advanced 0-10'!AB191:AB191)*'Advanced Entry'!AB$9:AB$9),1))</f>
        <v/>
      </c>
      <c r="L191" s="19">
        <f>IF(SUMPRODUCT(--ISNUMBER(D191:K191))=0,"",ROUND(SUMPRODUCT(IFERROR(D191:K191*1,0))/SUMPRODUCT(--ISNUMBER(D191:K191)),1))</f>
        <v/>
      </c>
    </row>
    <row r="192">
      <c r="A192" t="inlineStr">
        <is>
          <t>Tabora</t>
        </is>
      </c>
      <c r="B192" t="inlineStr">
        <is>
          <t>Tabora Municipal</t>
        </is>
      </c>
      <c r="C192" t="inlineStr">
        <is>
          <t>C105</t>
        </is>
      </c>
      <c r="D192" s="7">
        <f>IF(SUMPRODUCT(ISNUMBER('Advanced 0-10'!D192:J192)*'Advanced Entry'!D$9:J$9)=0,"",ROUND(SUMPRODUCT(IFERROR('Advanced 0-10'!D192:J192*1,0)*'Advanced Entry'!D$9:J$9)/SUMPRODUCT(ISNUMBER('Advanced 0-10'!D192:J192)*'Advanced Entry'!D$9:J$9),1))</f>
        <v/>
      </c>
      <c r="E192" s="7">
        <f>IF(SUMPRODUCT(ISNUMBER('Advanced 0-10'!K192:O192)*'Advanced Entry'!K$9:O$9)=0,"",ROUND(SUMPRODUCT(IFERROR('Advanced 0-10'!K192:O192*1,0)*'Advanced Entry'!K$9:O$9)/SUMPRODUCT(ISNUMBER('Advanced 0-10'!K192:O192)*'Advanced Entry'!K$9:O$9),1))</f>
        <v/>
      </c>
      <c r="F192" s="7">
        <f>IF(SUMPRODUCT(ISNUMBER('Advanced 0-10'!P192:Q192)*'Advanced Entry'!P$9:Q$9)=0,"",ROUND(SUMPRODUCT(IFERROR('Advanced 0-10'!P192:Q192*1,0)*'Advanced Entry'!P$9:Q$9)/SUMPRODUCT(ISNUMBER('Advanced 0-10'!P192:Q192)*'Advanced Entry'!P$9:Q$9),1))</f>
        <v/>
      </c>
      <c r="G192" s="7">
        <f>IF(SUMPRODUCT(ISNUMBER('Advanced 0-10'!R192:S192)*'Advanced Entry'!R$9:S$9)=0,"",ROUND(SUMPRODUCT(IFERROR('Advanced 0-10'!R192:S192*1,0)*'Advanced Entry'!R$9:S$9)/SUMPRODUCT(ISNUMBER('Advanced 0-10'!R192:S192)*'Advanced Entry'!R$9:S$9),1))</f>
        <v/>
      </c>
      <c r="H192" s="7">
        <f>IF(SUMPRODUCT(ISNUMBER('Advanced 0-10'!T192:U192)*'Advanced Entry'!T$9:U$9)=0,"",ROUND(SUMPRODUCT(IFERROR('Advanced 0-10'!T192:U192*1,0)*'Advanced Entry'!T$9:U$9)/SUMPRODUCT(ISNUMBER('Advanced 0-10'!T192:U192)*'Advanced Entry'!T$9:U$9),1))</f>
        <v/>
      </c>
      <c r="I192" s="7">
        <f>IF(SUMPRODUCT(ISNUMBER('Advanced 0-10'!V192:Z192)*'Advanced Entry'!V$9:Z$9)=0,"",ROUND(SUMPRODUCT(IFERROR('Advanced 0-10'!V192:Z192*1,0)*'Advanced Entry'!V$9:Z$9)/SUMPRODUCT(ISNUMBER('Advanced 0-10'!V192:Z192)*'Advanced Entry'!V$9:Z$9),1))</f>
        <v/>
      </c>
      <c r="J192" s="7">
        <f>IF(SUMPRODUCT(ISNUMBER('Advanced 0-10'!AA192:AA192)*'Advanced Entry'!AA$9:AA$9)=0,"",ROUND(SUMPRODUCT(IFERROR('Advanced 0-10'!AA192:AA192*1,0)*'Advanced Entry'!AA$9:AA$9)/SUMPRODUCT(ISNUMBER('Advanced 0-10'!AA192:AA192)*'Advanced Entry'!AA$9:AA$9),1))</f>
        <v/>
      </c>
      <c r="K192" s="7">
        <f>IF(SUMPRODUCT(ISNUMBER('Advanced 0-10'!AB192:AB192)*'Advanced Entry'!AB$9:AB$9)=0,"",ROUND(SUMPRODUCT(IFERROR('Advanced 0-10'!AB192:AB192*1,0)*'Advanced Entry'!AB$9:AB$9)/SUMPRODUCT(ISNUMBER('Advanced 0-10'!AB192:AB192)*'Advanced Entry'!AB$9:AB$9),1))</f>
        <v/>
      </c>
      <c r="L192" s="19">
        <f>IF(SUMPRODUCT(--ISNUMBER(D192:K192))=0,"",ROUND(SUMPRODUCT(IFERROR(D192:K192*1,0))/SUMPRODUCT(--ISNUMBER(D192:K192)),1))</f>
        <v/>
      </c>
    </row>
    <row r="193">
      <c r="A193" t="inlineStr">
        <is>
          <t>Tabora</t>
        </is>
      </c>
      <c r="B193" t="inlineStr">
        <is>
          <t>Urambo District</t>
        </is>
      </c>
      <c r="C193" t="inlineStr">
        <is>
          <t>C103</t>
        </is>
      </c>
      <c r="D193" s="7">
        <f>IF(SUMPRODUCT(ISNUMBER('Advanced 0-10'!D193:J193)*'Advanced Entry'!D$9:J$9)=0,"",ROUND(SUMPRODUCT(IFERROR('Advanced 0-10'!D193:J193*1,0)*'Advanced Entry'!D$9:J$9)/SUMPRODUCT(ISNUMBER('Advanced 0-10'!D193:J193)*'Advanced Entry'!D$9:J$9),1))</f>
        <v/>
      </c>
      <c r="E193" s="7">
        <f>IF(SUMPRODUCT(ISNUMBER('Advanced 0-10'!K193:O193)*'Advanced Entry'!K$9:O$9)=0,"",ROUND(SUMPRODUCT(IFERROR('Advanced 0-10'!K193:O193*1,0)*'Advanced Entry'!K$9:O$9)/SUMPRODUCT(ISNUMBER('Advanced 0-10'!K193:O193)*'Advanced Entry'!K$9:O$9),1))</f>
        <v/>
      </c>
      <c r="F193" s="7">
        <f>IF(SUMPRODUCT(ISNUMBER('Advanced 0-10'!P193:Q193)*'Advanced Entry'!P$9:Q$9)=0,"",ROUND(SUMPRODUCT(IFERROR('Advanced 0-10'!P193:Q193*1,0)*'Advanced Entry'!P$9:Q$9)/SUMPRODUCT(ISNUMBER('Advanced 0-10'!P193:Q193)*'Advanced Entry'!P$9:Q$9),1))</f>
        <v/>
      </c>
      <c r="G193" s="7">
        <f>IF(SUMPRODUCT(ISNUMBER('Advanced 0-10'!R193:S193)*'Advanced Entry'!R$9:S$9)=0,"",ROUND(SUMPRODUCT(IFERROR('Advanced 0-10'!R193:S193*1,0)*'Advanced Entry'!R$9:S$9)/SUMPRODUCT(ISNUMBER('Advanced 0-10'!R193:S193)*'Advanced Entry'!R$9:S$9),1))</f>
        <v/>
      </c>
      <c r="H193" s="7">
        <f>IF(SUMPRODUCT(ISNUMBER('Advanced 0-10'!T193:U193)*'Advanced Entry'!T$9:U$9)=0,"",ROUND(SUMPRODUCT(IFERROR('Advanced 0-10'!T193:U193*1,0)*'Advanced Entry'!T$9:U$9)/SUMPRODUCT(ISNUMBER('Advanced 0-10'!T193:U193)*'Advanced Entry'!T$9:U$9),1))</f>
        <v/>
      </c>
      <c r="I193" s="7">
        <f>IF(SUMPRODUCT(ISNUMBER('Advanced 0-10'!V193:Z193)*'Advanced Entry'!V$9:Z$9)=0,"",ROUND(SUMPRODUCT(IFERROR('Advanced 0-10'!V193:Z193*1,0)*'Advanced Entry'!V$9:Z$9)/SUMPRODUCT(ISNUMBER('Advanced 0-10'!V193:Z193)*'Advanced Entry'!V$9:Z$9),1))</f>
        <v/>
      </c>
      <c r="J193" s="7">
        <f>IF(SUMPRODUCT(ISNUMBER('Advanced 0-10'!AA193:AA193)*'Advanced Entry'!AA$9:AA$9)=0,"",ROUND(SUMPRODUCT(IFERROR('Advanced 0-10'!AA193:AA193*1,0)*'Advanced Entry'!AA$9:AA$9)/SUMPRODUCT(ISNUMBER('Advanced 0-10'!AA193:AA193)*'Advanced Entry'!AA$9:AA$9),1))</f>
        <v/>
      </c>
      <c r="K193" s="7">
        <f>IF(SUMPRODUCT(ISNUMBER('Advanced 0-10'!AB193:AB193)*'Advanced Entry'!AB$9:AB$9)=0,"",ROUND(SUMPRODUCT(IFERROR('Advanced 0-10'!AB193:AB193*1,0)*'Advanced Entry'!AB$9:AB$9)/SUMPRODUCT(ISNUMBER('Advanced 0-10'!AB193:AB193)*'Advanced Entry'!AB$9:AB$9),1))</f>
        <v/>
      </c>
      <c r="L193" s="19">
        <f>IF(SUMPRODUCT(--ISNUMBER(D193:K193))=0,"",ROUND(SUMPRODUCT(IFERROR(D193:K193*1,0))/SUMPRODUCT(--ISNUMBER(D193:K193)),1))</f>
        <v/>
      </c>
    </row>
    <row r="194">
      <c r="A194" t="inlineStr">
        <is>
          <t>Tabora</t>
        </is>
      </c>
      <c r="B194" t="inlineStr">
        <is>
          <t>Uyui District</t>
        </is>
      </c>
      <c r="C194" t="inlineStr">
        <is>
          <t>C102</t>
        </is>
      </c>
      <c r="D194" s="7">
        <f>IF(SUMPRODUCT(ISNUMBER('Advanced 0-10'!D194:J194)*'Advanced Entry'!D$9:J$9)=0,"",ROUND(SUMPRODUCT(IFERROR('Advanced 0-10'!D194:J194*1,0)*'Advanced Entry'!D$9:J$9)/SUMPRODUCT(ISNUMBER('Advanced 0-10'!D194:J194)*'Advanced Entry'!D$9:J$9),1))</f>
        <v/>
      </c>
      <c r="E194" s="7">
        <f>IF(SUMPRODUCT(ISNUMBER('Advanced 0-10'!K194:O194)*'Advanced Entry'!K$9:O$9)=0,"",ROUND(SUMPRODUCT(IFERROR('Advanced 0-10'!K194:O194*1,0)*'Advanced Entry'!K$9:O$9)/SUMPRODUCT(ISNUMBER('Advanced 0-10'!K194:O194)*'Advanced Entry'!K$9:O$9),1))</f>
        <v/>
      </c>
      <c r="F194" s="7">
        <f>IF(SUMPRODUCT(ISNUMBER('Advanced 0-10'!P194:Q194)*'Advanced Entry'!P$9:Q$9)=0,"",ROUND(SUMPRODUCT(IFERROR('Advanced 0-10'!P194:Q194*1,0)*'Advanced Entry'!P$9:Q$9)/SUMPRODUCT(ISNUMBER('Advanced 0-10'!P194:Q194)*'Advanced Entry'!P$9:Q$9),1))</f>
        <v/>
      </c>
      <c r="G194" s="7">
        <f>IF(SUMPRODUCT(ISNUMBER('Advanced 0-10'!R194:S194)*'Advanced Entry'!R$9:S$9)=0,"",ROUND(SUMPRODUCT(IFERROR('Advanced 0-10'!R194:S194*1,0)*'Advanced Entry'!R$9:S$9)/SUMPRODUCT(ISNUMBER('Advanced 0-10'!R194:S194)*'Advanced Entry'!R$9:S$9),1))</f>
        <v/>
      </c>
      <c r="H194" s="7">
        <f>IF(SUMPRODUCT(ISNUMBER('Advanced 0-10'!T194:U194)*'Advanced Entry'!T$9:U$9)=0,"",ROUND(SUMPRODUCT(IFERROR('Advanced 0-10'!T194:U194*1,0)*'Advanced Entry'!T$9:U$9)/SUMPRODUCT(ISNUMBER('Advanced 0-10'!T194:U194)*'Advanced Entry'!T$9:U$9),1))</f>
        <v/>
      </c>
      <c r="I194" s="7">
        <f>IF(SUMPRODUCT(ISNUMBER('Advanced 0-10'!V194:Z194)*'Advanced Entry'!V$9:Z$9)=0,"",ROUND(SUMPRODUCT(IFERROR('Advanced 0-10'!V194:Z194*1,0)*'Advanced Entry'!V$9:Z$9)/SUMPRODUCT(ISNUMBER('Advanced 0-10'!V194:Z194)*'Advanced Entry'!V$9:Z$9),1))</f>
        <v/>
      </c>
      <c r="J194" s="7">
        <f>IF(SUMPRODUCT(ISNUMBER('Advanced 0-10'!AA194:AA194)*'Advanced Entry'!AA$9:AA$9)=0,"",ROUND(SUMPRODUCT(IFERROR('Advanced 0-10'!AA194:AA194*1,0)*'Advanced Entry'!AA$9:AA$9)/SUMPRODUCT(ISNUMBER('Advanced 0-10'!AA194:AA194)*'Advanced Entry'!AA$9:AA$9),1))</f>
        <v/>
      </c>
      <c r="K194" s="7">
        <f>IF(SUMPRODUCT(ISNUMBER('Advanced 0-10'!AB194:AB194)*'Advanced Entry'!AB$9:AB$9)=0,"",ROUND(SUMPRODUCT(IFERROR('Advanced 0-10'!AB194:AB194*1,0)*'Advanced Entry'!AB$9:AB$9)/SUMPRODUCT(ISNUMBER('Advanced 0-10'!AB194:AB194)*'Advanced Entry'!AB$9:AB$9),1))</f>
        <v/>
      </c>
      <c r="L194" s="19">
        <f>IF(SUMPRODUCT(--ISNUMBER(D194:K194))=0,"",ROUND(SUMPRODUCT(IFERROR(D194:K194*1,0))/SUMPRODUCT(--ISNUMBER(D194:K194)),1))</f>
        <v/>
      </c>
    </row>
    <row r="195">
      <c r="A195" t="inlineStr">
        <is>
          <t>Tanga</t>
        </is>
      </c>
      <c r="B195" t="inlineStr">
        <is>
          <t>Bumbuli District</t>
        </is>
      </c>
      <c r="C195" t="inlineStr">
        <is>
          <t>C024</t>
        </is>
      </c>
      <c r="D195" s="7">
        <f>IF(SUMPRODUCT(ISNUMBER('Advanced 0-10'!D195:J195)*'Advanced Entry'!D$9:J$9)=0,"",ROUND(SUMPRODUCT(IFERROR('Advanced 0-10'!D195:J195*1,0)*'Advanced Entry'!D$9:J$9)/SUMPRODUCT(ISNUMBER('Advanced 0-10'!D195:J195)*'Advanced Entry'!D$9:J$9),1))</f>
        <v/>
      </c>
      <c r="E195" s="7">
        <f>IF(SUMPRODUCT(ISNUMBER('Advanced 0-10'!K195:O195)*'Advanced Entry'!K$9:O$9)=0,"",ROUND(SUMPRODUCT(IFERROR('Advanced 0-10'!K195:O195*1,0)*'Advanced Entry'!K$9:O$9)/SUMPRODUCT(ISNUMBER('Advanced 0-10'!K195:O195)*'Advanced Entry'!K$9:O$9),1))</f>
        <v/>
      </c>
      <c r="F195" s="7">
        <f>IF(SUMPRODUCT(ISNUMBER('Advanced 0-10'!P195:Q195)*'Advanced Entry'!P$9:Q$9)=0,"",ROUND(SUMPRODUCT(IFERROR('Advanced 0-10'!P195:Q195*1,0)*'Advanced Entry'!P$9:Q$9)/SUMPRODUCT(ISNUMBER('Advanced 0-10'!P195:Q195)*'Advanced Entry'!P$9:Q$9),1))</f>
        <v/>
      </c>
      <c r="G195" s="7">
        <f>IF(SUMPRODUCT(ISNUMBER('Advanced 0-10'!R195:S195)*'Advanced Entry'!R$9:S$9)=0,"",ROUND(SUMPRODUCT(IFERROR('Advanced 0-10'!R195:S195*1,0)*'Advanced Entry'!R$9:S$9)/SUMPRODUCT(ISNUMBER('Advanced 0-10'!R195:S195)*'Advanced Entry'!R$9:S$9),1))</f>
        <v/>
      </c>
      <c r="H195" s="7">
        <f>IF(SUMPRODUCT(ISNUMBER('Advanced 0-10'!T195:U195)*'Advanced Entry'!T$9:U$9)=0,"",ROUND(SUMPRODUCT(IFERROR('Advanced 0-10'!T195:U195*1,0)*'Advanced Entry'!T$9:U$9)/SUMPRODUCT(ISNUMBER('Advanced 0-10'!T195:U195)*'Advanced Entry'!T$9:U$9),1))</f>
        <v/>
      </c>
      <c r="I195" s="7">
        <f>IF(SUMPRODUCT(ISNUMBER('Advanced 0-10'!V195:Z195)*'Advanced Entry'!V$9:Z$9)=0,"",ROUND(SUMPRODUCT(IFERROR('Advanced 0-10'!V195:Z195*1,0)*'Advanced Entry'!V$9:Z$9)/SUMPRODUCT(ISNUMBER('Advanced 0-10'!V195:Z195)*'Advanced Entry'!V$9:Z$9),1))</f>
        <v/>
      </c>
      <c r="J195" s="7">
        <f>IF(SUMPRODUCT(ISNUMBER('Advanced 0-10'!AA195:AA195)*'Advanced Entry'!AA$9:AA$9)=0,"",ROUND(SUMPRODUCT(IFERROR('Advanced 0-10'!AA195:AA195*1,0)*'Advanced Entry'!AA$9:AA$9)/SUMPRODUCT(ISNUMBER('Advanced 0-10'!AA195:AA195)*'Advanced Entry'!AA$9:AA$9),1))</f>
        <v/>
      </c>
      <c r="K195" s="7">
        <f>IF(SUMPRODUCT(ISNUMBER('Advanced 0-10'!AB195:AB195)*'Advanced Entry'!AB$9:AB$9)=0,"",ROUND(SUMPRODUCT(IFERROR('Advanced 0-10'!AB195:AB195*1,0)*'Advanced Entry'!AB$9:AB$9)/SUMPRODUCT(ISNUMBER('Advanced 0-10'!AB195:AB195)*'Advanced Entry'!AB$9:AB$9),1))</f>
        <v/>
      </c>
      <c r="L195" s="19">
        <f>IF(SUMPRODUCT(--ISNUMBER(D195:K195))=0,"",ROUND(SUMPRODUCT(IFERROR(D195:K195*1,0))/SUMPRODUCT(--ISNUMBER(D195:K195)),1))</f>
        <v/>
      </c>
    </row>
    <row r="196">
      <c r="A196" t="inlineStr">
        <is>
          <t>Tanga</t>
        </is>
      </c>
      <c r="B196" t="inlineStr">
        <is>
          <t>Handeni District</t>
        </is>
      </c>
      <c r="C196" t="inlineStr">
        <is>
          <t>C030</t>
        </is>
      </c>
      <c r="D196" s="7">
        <f>IF(SUMPRODUCT(ISNUMBER('Advanced 0-10'!D196:J196)*'Advanced Entry'!D$9:J$9)=0,"",ROUND(SUMPRODUCT(IFERROR('Advanced 0-10'!D196:J196*1,0)*'Advanced Entry'!D$9:J$9)/SUMPRODUCT(ISNUMBER('Advanced 0-10'!D196:J196)*'Advanced Entry'!D$9:J$9),1))</f>
        <v/>
      </c>
      <c r="E196" s="7">
        <f>IF(SUMPRODUCT(ISNUMBER('Advanced 0-10'!K196:O196)*'Advanced Entry'!K$9:O$9)=0,"",ROUND(SUMPRODUCT(IFERROR('Advanced 0-10'!K196:O196*1,0)*'Advanced Entry'!K$9:O$9)/SUMPRODUCT(ISNUMBER('Advanced 0-10'!K196:O196)*'Advanced Entry'!K$9:O$9),1))</f>
        <v/>
      </c>
      <c r="F196" s="7">
        <f>IF(SUMPRODUCT(ISNUMBER('Advanced 0-10'!P196:Q196)*'Advanced Entry'!P$9:Q$9)=0,"",ROUND(SUMPRODUCT(IFERROR('Advanced 0-10'!P196:Q196*1,0)*'Advanced Entry'!P$9:Q$9)/SUMPRODUCT(ISNUMBER('Advanced 0-10'!P196:Q196)*'Advanced Entry'!P$9:Q$9),1))</f>
        <v/>
      </c>
      <c r="G196" s="7">
        <f>IF(SUMPRODUCT(ISNUMBER('Advanced 0-10'!R196:S196)*'Advanced Entry'!R$9:S$9)=0,"",ROUND(SUMPRODUCT(IFERROR('Advanced 0-10'!R196:S196*1,0)*'Advanced Entry'!R$9:S$9)/SUMPRODUCT(ISNUMBER('Advanced 0-10'!R196:S196)*'Advanced Entry'!R$9:S$9),1))</f>
        <v/>
      </c>
      <c r="H196" s="7">
        <f>IF(SUMPRODUCT(ISNUMBER('Advanced 0-10'!T196:U196)*'Advanced Entry'!T$9:U$9)=0,"",ROUND(SUMPRODUCT(IFERROR('Advanced 0-10'!T196:U196*1,0)*'Advanced Entry'!T$9:U$9)/SUMPRODUCT(ISNUMBER('Advanced 0-10'!T196:U196)*'Advanced Entry'!T$9:U$9),1))</f>
        <v/>
      </c>
      <c r="I196" s="7">
        <f>IF(SUMPRODUCT(ISNUMBER('Advanced 0-10'!V196:Z196)*'Advanced Entry'!V$9:Z$9)=0,"",ROUND(SUMPRODUCT(IFERROR('Advanced 0-10'!V196:Z196*1,0)*'Advanced Entry'!V$9:Z$9)/SUMPRODUCT(ISNUMBER('Advanced 0-10'!V196:Z196)*'Advanced Entry'!V$9:Z$9),1))</f>
        <v/>
      </c>
      <c r="J196" s="7">
        <f>IF(SUMPRODUCT(ISNUMBER('Advanced 0-10'!AA196:AA196)*'Advanced Entry'!AA$9:AA$9)=0,"",ROUND(SUMPRODUCT(IFERROR('Advanced 0-10'!AA196:AA196*1,0)*'Advanced Entry'!AA$9:AA$9)/SUMPRODUCT(ISNUMBER('Advanced 0-10'!AA196:AA196)*'Advanced Entry'!AA$9:AA$9),1))</f>
        <v/>
      </c>
      <c r="K196" s="7">
        <f>IF(SUMPRODUCT(ISNUMBER('Advanced 0-10'!AB196:AB196)*'Advanced Entry'!AB$9:AB$9)=0,"",ROUND(SUMPRODUCT(IFERROR('Advanced 0-10'!AB196:AB196*1,0)*'Advanced Entry'!AB$9:AB$9)/SUMPRODUCT(ISNUMBER('Advanced 0-10'!AB196:AB196)*'Advanced Entry'!AB$9:AB$9),1))</f>
        <v/>
      </c>
      <c r="L196" s="19">
        <f>IF(SUMPRODUCT(--ISNUMBER(D196:K196))=0,"",ROUND(SUMPRODUCT(IFERROR(D196:K196*1,0))/SUMPRODUCT(--ISNUMBER(D196:K196)),1))</f>
        <v/>
      </c>
    </row>
    <row r="197">
      <c r="A197" t="inlineStr">
        <is>
          <t>Tanga</t>
        </is>
      </c>
      <c r="B197" t="inlineStr">
        <is>
          <t>Handeni Town</t>
        </is>
      </c>
      <c r="C197" t="inlineStr">
        <is>
          <t>C031</t>
        </is>
      </c>
      <c r="D197" s="7">
        <f>IF(SUMPRODUCT(ISNUMBER('Advanced 0-10'!D197:J197)*'Advanced Entry'!D$9:J$9)=0,"",ROUND(SUMPRODUCT(IFERROR('Advanced 0-10'!D197:J197*1,0)*'Advanced Entry'!D$9:J$9)/SUMPRODUCT(ISNUMBER('Advanced 0-10'!D197:J197)*'Advanced Entry'!D$9:J$9),1))</f>
        <v/>
      </c>
      <c r="E197" s="7">
        <f>IF(SUMPRODUCT(ISNUMBER('Advanced 0-10'!K197:O197)*'Advanced Entry'!K$9:O$9)=0,"",ROUND(SUMPRODUCT(IFERROR('Advanced 0-10'!K197:O197*1,0)*'Advanced Entry'!K$9:O$9)/SUMPRODUCT(ISNUMBER('Advanced 0-10'!K197:O197)*'Advanced Entry'!K$9:O$9),1))</f>
        <v/>
      </c>
      <c r="F197" s="7">
        <f>IF(SUMPRODUCT(ISNUMBER('Advanced 0-10'!P197:Q197)*'Advanced Entry'!P$9:Q$9)=0,"",ROUND(SUMPRODUCT(IFERROR('Advanced 0-10'!P197:Q197*1,0)*'Advanced Entry'!P$9:Q$9)/SUMPRODUCT(ISNUMBER('Advanced 0-10'!P197:Q197)*'Advanced Entry'!P$9:Q$9),1))</f>
        <v/>
      </c>
      <c r="G197" s="7">
        <f>IF(SUMPRODUCT(ISNUMBER('Advanced 0-10'!R197:S197)*'Advanced Entry'!R$9:S$9)=0,"",ROUND(SUMPRODUCT(IFERROR('Advanced 0-10'!R197:S197*1,0)*'Advanced Entry'!R$9:S$9)/SUMPRODUCT(ISNUMBER('Advanced 0-10'!R197:S197)*'Advanced Entry'!R$9:S$9),1))</f>
        <v/>
      </c>
      <c r="H197" s="7">
        <f>IF(SUMPRODUCT(ISNUMBER('Advanced 0-10'!T197:U197)*'Advanced Entry'!T$9:U$9)=0,"",ROUND(SUMPRODUCT(IFERROR('Advanced 0-10'!T197:U197*1,0)*'Advanced Entry'!T$9:U$9)/SUMPRODUCT(ISNUMBER('Advanced 0-10'!T197:U197)*'Advanced Entry'!T$9:U$9),1))</f>
        <v/>
      </c>
      <c r="I197" s="7">
        <f>IF(SUMPRODUCT(ISNUMBER('Advanced 0-10'!V197:Z197)*'Advanced Entry'!V$9:Z$9)=0,"",ROUND(SUMPRODUCT(IFERROR('Advanced 0-10'!V197:Z197*1,0)*'Advanced Entry'!V$9:Z$9)/SUMPRODUCT(ISNUMBER('Advanced 0-10'!V197:Z197)*'Advanced Entry'!V$9:Z$9),1))</f>
        <v/>
      </c>
      <c r="J197" s="7">
        <f>IF(SUMPRODUCT(ISNUMBER('Advanced 0-10'!AA197:AA197)*'Advanced Entry'!AA$9:AA$9)=0,"",ROUND(SUMPRODUCT(IFERROR('Advanced 0-10'!AA197:AA197*1,0)*'Advanced Entry'!AA$9:AA$9)/SUMPRODUCT(ISNUMBER('Advanced 0-10'!AA197:AA197)*'Advanced Entry'!AA$9:AA$9),1))</f>
        <v/>
      </c>
      <c r="K197" s="7">
        <f>IF(SUMPRODUCT(ISNUMBER('Advanced 0-10'!AB197:AB197)*'Advanced Entry'!AB$9:AB$9)=0,"",ROUND(SUMPRODUCT(IFERROR('Advanced 0-10'!AB197:AB197*1,0)*'Advanced Entry'!AB$9:AB$9)/SUMPRODUCT(ISNUMBER('Advanced 0-10'!AB197:AB197)*'Advanced Entry'!AB$9:AB$9),1))</f>
        <v/>
      </c>
      <c r="L197" s="19">
        <f>IF(SUMPRODUCT(--ISNUMBER(D197:K197))=0,"",ROUND(SUMPRODUCT(IFERROR(D197:K197*1,0))/SUMPRODUCT(--ISNUMBER(D197:K197)),1))</f>
        <v/>
      </c>
    </row>
    <row r="198">
      <c r="A198" t="inlineStr">
        <is>
          <t>Tanga</t>
        </is>
      </c>
      <c r="B198" t="inlineStr">
        <is>
          <t>Kilindi District</t>
        </is>
      </c>
      <c r="C198" t="inlineStr">
        <is>
          <t>C032</t>
        </is>
      </c>
      <c r="D198" s="7">
        <f>IF(SUMPRODUCT(ISNUMBER('Advanced 0-10'!D198:J198)*'Advanced Entry'!D$9:J$9)=0,"",ROUND(SUMPRODUCT(IFERROR('Advanced 0-10'!D198:J198*1,0)*'Advanced Entry'!D$9:J$9)/SUMPRODUCT(ISNUMBER('Advanced 0-10'!D198:J198)*'Advanced Entry'!D$9:J$9),1))</f>
        <v/>
      </c>
      <c r="E198" s="7">
        <f>IF(SUMPRODUCT(ISNUMBER('Advanced 0-10'!K198:O198)*'Advanced Entry'!K$9:O$9)=0,"",ROUND(SUMPRODUCT(IFERROR('Advanced 0-10'!K198:O198*1,0)*'Advanced Entry'!K$9:O$9)/SUMPRODUCT(ISNUMBER('Advanced 0-10'!K198:O198)*'Advanced Entry'!K$9:O$9),1))</f>
        <v/>
      </c>
      <c r="F198" s="7">
        <f>IF(SUMPRODUCT(ISNUMBER('Advanced 0-10'!P198:Q198)*'Advanced Entry'!P$9:Q$9)=0,"",ROUND(SUMPRODUCT(IFERROR('Advanced 0-10'!P198:Q198*1,0)*'Advanced Entry'!P$9:Q$9)/SUMPRODUCT(ISNUMBER('Advanced 0-10'!P198:Q198)*'Advanced Entry'!P$9:Q$9),1))</f>
        <v/>
      </c>
      <c r="G198" s="7">
        <f>IF(SUMPRODUCT(ISNUMBER('Advanced 0-10'!R198:S198)*'Advanced Entry'!R$9:S$9)=0,"",ROUND(SUMPRODUCT(IFERROR('Advanced 0-10'!R198:S198*1,0)*'Advanced Entry'!R$9:S$9)/SUMPRODUCT(ISNUMBER('Advanced 0-10'!R198:S198)*'Advanced Entry'!R$9:S$9),1))</f>
        <v/>
      </c>
      <c r="H198" s="7">
        <f>IF(SUMPRODUCT(ISNUMBER('Advanced 0-10'!T198:U198)*'Advanced Entry'!T$9:U$9)=0,"",ROUND(SUMPRODUCT(IFERROR('Advanced 0-10'!T198:U198*1,0)*'Advanced Entry'!T$9:U$9)/SUMPRODUCT(ISNUMBER('Advanced 0-10'!T198:U198)*'Advanced Entry'!T$9:U$9),1))</f>
        <v/>
      </c>
      <c r="I198" s="7">
        <f>IF(SUMPRODUCT(ISNUMBER('Advanced 0-10'!V198:Z198)*'Advanced Entry'!V$9:Z$9)=0,"",ROUND(SUMPRODUCT(IFERROR('Advanced 0-10'!V198:Z198*1,0)*'Advanced Entry'!V$9:Z$9)/SUMPRODUCT(ISNUMBER('Advanced 0-10'!V198:Z198)*'Advanced Entry'!V$9:Z$9),1))</f>
        <v/>
      </c>
      <c r="J198" s="7">
        <f>IF(SUMPRODUCT(ISNUMBER('Advanced 0-10'!AA198:AA198)*'Advanced Entry'!AA$9:AA$9)=0,"",ROUND(SUMPRODUCT(IFERROR('Advanced 0-10'!AA198:AA198*1,0)*'Advanced Entry'!AA$9:AA$9)/SUMPRODUCT(ISNUMBER('Advanced 0-10'!AA198:AA198)*'Advanced Entry'!AA$9:AA$9),1))</f>
        <v/>
      </c>
      <c r="K198" s="7">
        <f>IF(SUMPRODUCT(ISNUMBER('Advanced 0-10'!AB198:AB198)*'Advanced Entry'!AB$9:AB$9)=0,"",ROUND(SUMPRODUCT(IFERROR('Advanced 0-10'!AB198:AB198*1,0)*'Advanced Entry'!AB$9:AB$9)/SUMPRODUCT(ISNUMBER('Advanced 0-10'!AB198:AB198)*'Advanced Entry'!AB$9:AB$9),1))</f>
        <v/>
      </c>
      <c r="L198" s="19">
        <f>IF(SUMPRODUCT(--ISNUMBER(D198:K198))=0,"",ROUND(SUMPRODUCT(IFERROR(D198:K198*1,0))/SUMPRODUCT(--ISNUMBER(D198:K198)),1))</f>
        <v/>
      </c>
    </row>
    <row r="199">
      <c r="A199" t="inlineStr">
        <is>
          <t>Tanga</t>
        </is>
      </c>
      <c r="B199" t="inlineStr">
        <is>
          <t>Korogwe District</t>
        </is>
      </c>
      <c r="C199" t="inlineStr">
        <is>
          <t>C025</t>
        </is>
      </c>
      <c r="D199" s="7">
        <f>IF(SUMPRODUCT(ISNUMBER('Advanced 0-10'!D199:J199)*'Advanced Entry'!D$9:J$9)=0,"",ROUND(SUMPRODUCT(IFERROR('Advanced 0-10'!D199:J199*1,0)*'Advanced Entry'!D$9:J$9)/SUMPRODUCT(ISNUMBER('Advanced 0-10'!D199:J199)*'Advanced Entry'!D$9:J$9),1))</f>
        <v/>
      </c>
      <c r="E199" s="7">
        <f>IF(SUMPRODUCT(ISNUMBER('Advanced 0-10'!K199:O199)*'Advanced Entry'!K$9:O$9)=0,"",ROUND(SUMPRODUCT(IFERROR('Advanced 0-10'!K199:O199*1,0)*'Advanced Entry'!K$9:O$9)/SUMPRODUCT(ISNUMBER('Advanced 0-10'!K199:O199)*'Advanced Entry'!K$9:O$9),1))</f>
        <v/>
      </c>
      <c r="F199" s="7">
        <f>IF(SUMPRODUCT(ISNUMBER('Advanced 0-10'!P199:Q199)*'Advanced Entry'!P$9:Q$9)=0,"",ROUND(SUMPRODUCT(IFERROR('Advanced 0-10'!P199:Q199*1,0)*'Advanced Entry'!P$9:Q$9)/SUMPRODUCT(ISNUMBER('Advanced 0-10'!P199:Q199)*'Advanced Entry'!P$9:Q$9),1))</f>
        <v/>
      </c>
      <c r="G199" s="7">
        <f>IF(SUMPRODUCT(ISNUMBER('Advanced 0-10'!R199:S199)*'Advanced Entry'!R$9:S$9)=0,"",ROUND(SUMPRODUCT(IFERROR('Advanced 0-10'!R199:S199*1,0)*'Advanced Entry'!R$9:S$9)/SUMPRODUCT(ISNUMBER('Advanced 0-10'!R199:S199)*'Advanced Entry'!R$9:S$9),1))</f>
        <v/>
      </c>
      <c r="H199" s="7">
        <f>IF(SUMPRODUCT(ISNUMBER('Advanced 0-10'!T199:U199)*'Advanced Entry'!T$9:U$9)=0,"",ROUND(SUMPRODUCT(IFERROR('Advanced 0-10'!T199:U199*1,0)*'Advanced Entry'!T$9:U$9)/SUMPRODUCT(ISNUMBER('Advanced 0-10'!T199:U199)*'Advanced Entry'!T$9:U$9),1))</f>
        <v/>
      </c>
      <c r="I199" s="7">
        <f>IF(SUMPRODUCT(ISNUMBER('Advanced 0-10'!V199:Z199)*'Advanced Entry'!V$9:Z$9)=0,"",ROUND(SUMPRODUCT(IFERROR('Advanced 0-10'!V199:Z199*1,0)*'Advanced Entry'!V$9:Z$9)/SUMPRODUCT(ISNUMBER('Advanced 0-10'!V199:Z199)*'Advanced Entry'!V$9:Z$9),1))</f>
        <v/>
      </c>
      <c r="J199" s="7">
        <f>IF(SUMPRODUCT(ISNUMBER('Advanced 0-10'!AA199:AA199)*'Advanced Entry'!AA$9:AA$9)=0,"",ROUND(SUMPRODUCT(IFERROR('Advanced 0-10'!AA199:AA199*1,0)*'Advanced Entry'!AA$9:AA$9)/SUMPRODUCT(ISNUMBER('Advanced 0-10'!AA199:AA199)*'Advanced Entry'!AA$9:AA$9),1))</f>
        <v/>
      </c>
      <c r="K199" s="7">
        <f>IF(SUMPRODUCT(ISNUMBER('Advanced 0-10'!AB199:AB199)*'Advanced Entry'!AB$9:AB$9)=0,"",ROUND(SUMPRODUCT(IFERROR('Advanced 0-10'!AB199:AB199*1,0)*'Advanced Entry'!AB$9:AB$9)/SUMPRODUCT(ISNUMBER('Advanced 0-10'!AB199:AB199)*'Advanced Entry'!AB$9:AB$9),1))</f>
        <v/>
      </c>
      <c r="L199" s="19">
        <f>IF(SUMPRODUCT(--ISNUMBER(D199:K199))=0,"",ROUND(SUMPRODUCT(IFERROR(D199:K199*1,0))/SUMPRODUCT(--ISNUMBER(D199:K199)),1))</f>
        <v/>
      </c>
    </row>
    <row r="200">
      <c r="A200" t="inlineStr">
        <is>
          <t>Tanga</t>
        </is>
      </c>
      <c r="B200" t="inlineStr">
        <is>
          <t>Korogwe Town</t>
        </is>
      </c>
      <c r="C200" t="inlineStr">
        <is>
          <t>C026</t>
        </is>
      </c>
      <c r="D200" s="7">
        <f>IF(SUMPRODUCT(ISNUMBER('Advanced 0-10'!D200:J200)*'Advanced Entry'!D$9:J$9)=0,"",ROUND(SUMPRODUCT(IFERROR('Advanced 0-10'!D200:J200*1,0)*'Advanced Entry'!D$9:J$9)/SUMPRODUCT(ISNUMBER('Advanced 0-10'!D200:J200)*'Advanced Entry'!D$9:J$9),1))</f>
        <v/>
      </c>
      <c r="E200" s="7">
        <f>IF(SUMPRODUCT(ISNUMBER('Advanced 0-10'!K200:O200)*'Advanced Entry'!K$9:O$9)=0,"",ROUND(SUMPRODUCT(IFERROR('Advanced 0-10'!K200:O200*1,0)*'Advanced Entry'!K$9:O$9)/SUMPRODUCT(ISNUMBER('Advanced 0-10'!K200:O200)*'Advanced Entry'!K$9:O$9),1))</f>
        <v/>
      </c>
      <c r="F200" s="7">
        <f>IF(SUMPRODUCT(ISNUMBER('Advanced 0-10'!P200:Q200)*'Advanced Entry'!P$9:Q$9)=0,"",ROUND(SUMPRODUCT(IFERROR('Advanced 0-10'!P200:Q200*1,0)*'Advanced Entry'!P$9:Q$9)/SUMPRODUCT(ISNUMBER('Advanced 0-10'!P200:Q200)*'Advanced Entry'!P$9:Q$9),1))</f>
        <v/>
      </c>
      <c r="G200" s="7">
        <f>IF(SUMPRODUCT(ISNUMBER('Advanced 0-10'!R200:S200)*'Advanced Entry'!R$9:S$9)=0,"",ROUND(SUMPRODUCT(IFERROR('Advanced 0-10'!R200:S200*1,0)*'Advanced Entry'!R$9:S$9)/SUMPRODUCT(ISNUMBER('Advanced 0-10'!R200:S200)*'Advanced Entry'!R$9:S$9),1))</f>
        <v/>
      </c>
      <c r="H200" s="7">
        <f>IF(SUMPRODUCT(ISNUMBER('Advanced 0-10'!T200:U200)*'Advanced Entry'!T$9:U$9)=0,"",ROUND(SUMPRODUCT(IFERROR('Advanced 0-10'!T200:U200*1,0)*'Advanced Entry'!T$9:U$9)/SUMPRODUCT(ISNUMBER('Advanced 0-10'!T200:U200)*'Advanced Entry'!T$9:U$9),1))</f>
        <v/>
      </c>
      <c r="I200" s="7">
        <f>IF(SUMPRODUCT(ISNUMBER('Advanced 0-10'!V200:Z200)*'Advanced Entry'!V$9:Z$9)=0,"",ROUND(SUMPRODUCT(IFERROR('Advanced 0-10'!V200:Z200*1,0)*'Advanced Entry'!V$9:Z$9)/SUMPRODUCT(ISNUMBER('Advanced 0-10'!V200:Z200)*'Advanced Entry'!V$9:Z$9),1))</f>
        <v/>
      </c>
      <c r="J200" s="7">
        <f>IF(SUMPRODUCT(ISNUMBER('Advanced 0-10'!AA200:AA200)*'Advanced Entry'!AA$9:AA$9)=0,"",ROUND(SUMPRODUCT(IFERROR('Advanced 0-10'!AA200:AA200*1,0)*'Advanced Entry'!AA$9:AA$9)/SUMPRODUCT(ISNUMBER('Advanced 0-10'!AA200:AA200)*'Advanced Entry'!AA$9:AA$9),1))</f>
        <v/>
      </c>
      <c r="K200" s="7">
        <f>IF(SUMPRODUCT(ISNUMBER('Advanced 0-10'!AB200:AB200)*'Advanced Entry'!AB$9:AB$9)=0,"",ROUND(SUMPRODUCT(IFERROR('Advanced 0-10'!AB200:AB200*1,0)*'Advanced Entry'!AB$9:AB$9)/SUMPRODUCT(ISNUMBER('Advanced 0-10'!AB200:AB200)*'Advanced Entry'!AB$9:AB$9),1))</f>
        <v/>
      </c>
      <c r="L200" s="19">
        <f>IF(SUMPRODUCT(--ISNUMBER(D200:K200))=0,"",ROUND(SUMPRODUCT(IFERROR(D200:K200*1,0))/SUMPRODUCT(--ISNUMBER(D200:K200)),1))</f>
        <v/>
      </c>
    </row>
    <row r="201">
      <c r="A201" t="inlineStr">
        <is>
          <t>Tanga</t>
        </is>
      </c>
      <c r="B201" t="inlineStr">
        <is>
          <t>Lushoto District</t>
        </is>
      </c>
      <c r="C201" t="inlineStr">
        <is>
          <t>C023</t>
        </is>
      </c>
      <c r="D201" s="7">
        <f>IF(SUMPRODUCT(ISNUMBER('Advanced 0-10'!D201:J201)*'Advanced Entry'!D$9:J$9)=0,"",ROUND(SUMPRODUCT(IFERROR('Advanced 0-10'!D201:J201*1,0)*'Advanced Entry'!D$9:J$9)/SUMPRODUCT(ISNUMBER('Advanced 0-10'!D201:J201)*'Advanced Entry'!D$9:J$9),1))</f>
        <v/>
      </c>
      <c r="E201" s="7">
        <f>IF(SUMPRODUCT(ISNUMBER('Advanced 0-10'!K201:O201)*'Advanced Entry'!K$9:O$9)=0,"",ROUND(SUMPRODUCT(IFERROR('Advanced 0-10'!K201:O201*1,0)*'Advanced Entry'!K$9:O$9)/SUMPRODUCT(ISNUMBER('Advanced 0-10'!K201:O201)*'Advanced Entry'!K$9:O$9),1))</f>
        <v/>
      </c>
      <c r="F201" s="7">
        <f>IF(SUMPRODUCT(ISNUMBER('Advanced 0-10'!P201:Q201)*'Advanced Entry'!P$9:Q$9)=0,"",ROUND(SUMPRODUCT(IFERROR('Advanced 0-10'!P201:Q201*1,0)*'Advanced Entry'!P$9:Q$9)/SUMPRODUCT(ISNUMBER('Advanced 0-10'!P201:Q201)*'Advanced Entry'!P$9:Q$9),1))</f>
        <v/>
      </c>
      <c r="G201" s="7">
        <f>IF(SUMPRODUCT(ISNUMBER('Advanced 0-10'!R201:S201)*'Advanced Entry'!R$9:S$9)=0,"",ROUND(SUMPRODUCT(IFERROR('Advanced 0-10'!R201:S201*1,0)*'Advanced Entry'!R$9:S$9)/SUMPRODUCT(ISNUMBER('Advanced 0-10'!R201:S201)*'Advanced Entry'!R$9:S$9),1))</f>
        <v/>
      </c>
      <c r="H201" s="7">
        <f>IF(SUMPRODUCT(ISNUMBER('Advanced 0-10'!T201:U201)*'Advanced Entry'!T$9:U$9)=0,"",ROUND(SUMPRODUCT(IFERROR('Advanced 0-10'!T201:U201*1,0)*'Advanced Entry'!T$9:U$9)/SUMPRODUCT(ISNUMBER('Advanced 0-10'!T201:U201)*'Advanced Entry'!T$9:U$9),1))</f>
        <v/>
      </c>
      <c r="I201" s="7">
        <f>IF(SUMPRODUCT(ISNUMBER('Advanced 0-10'!V201:Z201)*'Advanced Entry'!V$9:Z$9)=0,"",ROUND(SUMPRODUCT(IFERROR('Advanced 0-10'!V201:Z201*1,0)*'Advanced Entry'!V$9:Z$9)/SUMPRODUCT(ISNUMBER('Advanced 0-10'!V201:Z201)*'Advanced Entry'!V$9:Z$9),1))</f>
        <v/>
      </c>
      <c r="J201" s="7">
        <f>IF(SUMPRODUCT(ISNUMBER('Advanced 0-10'!AA201:AA201)*'Advanced Entry'!AA$9:AA$9)=0,"",ROUND(SUMPRODUCT(IFERROR('Advanced 0-10'!AA201:AA201*1,0)*'Advanced Entry'!AA$9:AA$9)/SUMPRODUCT(ISNUMBER('Advanced 0-10'!AA201:AA201)*'Advanced Entry'!AA$9:AA$9),1))</f>
        <v/>
      </c>
      <c r="K201" s="7">
        <f>IF(SUMPRODUCT(ISNUMBER('Advanced 0-10'!AB201:AB201)*'Advanced Entry'!AB$9:AB$9)=0,"",ROUND(SUMPRODUCT(IFERROR('Advanced 0-10'!AB201:AB201*1,0)*'Advanced Entry'!AB$9:AB$9)/SUMPRODUCT(ISNUMBER('Advanced 0-10'!AB201:AB201)*'Advanced Entry'!AB$9:AB$9),1))</f>
        <v/>
      </c>
      <c r="L201" s="19">
        <f>IF(SUMPRODUCT(--ISNUMBER(D201:K201))=0,"",ROUND(SUMPRODUCT(IFERROR(D201:K201*1,0))/SUMPRODUCT(--ISNUMBER(D201:K201)),1))</f>
        <v/>
      </c>
    </row>
    <row r="202">
      <c r="A202" t="inlineStr">
        <is>
          <t>Tanga</t>
        </is>
      </c>
      <c r="B202" t="inlineStr">
        <is>
          <t>Mkinga District</t>
        </is>
      </c>
      <c r="C202" t="inlineStr">
        <is>
          <t>C033</t>
        </is>
      </c>
      <c r="D202" s="7">
        <f>IF(SUMPRODUCT(ISNUMBER('Advanced 0-10'!D202:J202)*'Advanced Entry'!D$9:J$9)=0,"",ROUND(SUMPRODUCT(IFERROR('Advanced 0-10'!D202:J202*1,0)*'Advanced Entry'!D$9:J$9)/SUMPRODUCT(ISNUMBER('Advanced 0-10'!D202:J202)*'Advanced Entry'!D$9:J$9),1))</f>
        <v/>
      </c>
      <c r="E202" s="7">
        <f>IF(SUMPRODUCT(ISNUMBER('Advanced 0-10'!K202:O202)*'Advanced Entry'!K$9:O$9)=0,"",ROUND(SUMPRODUCT(IFERROR('Advanced 0-10'!K202:O202*1,0)*'Advanced Entry'!K$9:O$9)/SUMPRODUCT(ISNUMBER('Advanced 0-10'!K202:O202)*'Advanced Entry'!K$9:O$9),1))</f>
        <v/>
      </c>
      <c r="F202" s="7">
        <f>IF(SUMPRODUCT(ISNUMBER('Advanced 0-10'!P202:Q202)*'Advanced Entry'!P$9:Q$9)=0,"",ROUND(SUMPRODUCT(IFERROR('Advanced 0-10'!P202:Q202*1,0)*'Advanced Entry'!P$9:Q$9)/SUMPRODUCT(ISNUMBER('Advanced 0-10'!P202:Q202)*'Advanced Entry'!P$9:Q$9),1))</f>
        <v/>
      </c>
      <c r="G202" s="7">
        <f>IF(SUMPRODUCT(ISNUMBER('Advanced 0-10'!R202:S202)*'Advanced Entry'!R$9:S$9)=0,"",ROUND(SUMPRODUCT(IFERROR('Advanced 0-10'!R202:S202*1,0)*'Advanced Entry'!R$9:S$9)/SUMPRODUCT(ISNUMBER('Advanced 0-10'!R202:S202)*'Advanced Entry'!R$9:S$9),1))</f>
        <v/>
      </c>
      <c r="H202" s="7">
        <f>IF(SUMPRODUCT(ISNUMBER('Advanced 0-10'!T202:U202)*'Advanced Entry'!T$9:U$9)=0,"",ROUND(SUMPRODUCT(IFERROR('Advanced 0-10'!T202:U202*1,0)*'Advanced Entry'!T$9:U$9)/SUMPRODUCT(ISNUMBER('Advanced 0-10'!T202:U202)*'Advanced Entry'!T$9:U$9),1))</f>
        <v/>
      </c>
      <c r="I202" s="7">
        <f>IF(SUMPRODUCT(ISNUMBER('Advanced 0-10'!V202:Z202)*'Advanced Entry'!V$9:Z$9)=0,"",ROUND(SUMPRODUCT(IFERROR('Advanced 0-10'!V202:Z202*1,0)*'Advanced Entry'!V$9:Z$9)/SUMPRODUCT(ISNUMBER('Advanced 0-10'!V202:Z202)*'Advanced Entry'!V$9:Z$9),1))</f>
        <v/>
      </c>
      <c r="J202" s="7">
        <f>IF(SUMPRODUCT(ISNUMBER('Advanced 0-10'!AA202:AA202)*'Advanced Entry'!AA$9:AA$9)=0,"",ROUND(SUMPRODUCT(IFERROR('Advanced 0-10'!AA202:AA202*1,0)*'Advanced Entry'!AA$9:AA$9)/SUMPRODUCT(ISNUMBER('Advanced 0-10'!AA202:AA202)*'Advanced Entry'!AA$9:AA$9),1))</f>
        <v/>
      </c>
      <c r="K202" s="7">
        <f>IF(SUMPRODUCT(ISNUMBER('Advanced 0-10'!AB202:AB202)*'Advanced Entry'!AB$9:AB$9)=0,"",ROUND(SUMPRODUCT(IFERROR('Advanced 0-10'!AB202:AB202*1,0)*'Advanced Entry'!AB$9:AB$9)/SUMPRODUCT(ISNUMBER('Advanced 0-10'!AB202:AB202)*'Advanced Entry'!AB$9:AB$9),1))</f>
        <v/>
      </c>
      <c r="L202" s="19">
        <f>IF(SUMPRODUCT(--ISNUMBER(D202:K202))=0,"",ROUND(SUMPRODUCT(IFERROR(D202:K202*1,0))/SUMPRODUCT(--ISNUMBER(D202:K202)),1))</f>
        <v/>
      </c>
    </row>
    <row r="203">
      <c r="A203" t="inlineStr">
        <is>
          <t>Tanga</t>
        </is>
      </c>
      <c r="B203" t="inlineStr">
        <is>
          <t>Muheza District</t>
        </is>
      </c>
      <c r="C203" t="inlineStr">
        <is>
          <t>C027</t>
        </is>
      </c>
      <c r="D203" s="7">
        <f>IF(SUMPRODUCT(ISNUMBER('Advanced 0-10'!D203:J203)*'Advanced Entry'!D$9:J$9)=0,"",ROUND(SUMPRODUCT(IFERROR('Advanced 0-10'!D203:J203*1,0)*'Advanced Entry'!D$9:J$9)/SUMPRODUCT(ISNUMBER('Advanced 0-10'!D203:J203)*'Advanced Entry'!D$9:J$9),1))</f>
        <v/>
      </c>
      <c r="E203" s="7">
        <f>IF(SUMPRODUCT(ISNUMBER('Advanced 0-10'!K203:O203)*'Advanced Entry'!K$9:O$9)=0,"",ROUND(SUMPRODUCT(IFERROR('Advanced 0-10'!K203:O203*1,0)*'Advanced Entry'!K$9:O$9)/SUMPRODUCT(ISNUMBER('Advanced 0-10'!K203:O203)*'Advanced Entry'!K$9:O$9),1))</f>
        <v/>
      </c>
      <c r="F203" s="7">
        <f>IF(SUMPRODUCT(ISNUMBER('Advanced 0-10'!P203:Q203)*'Advanced Entry'!P$9:Q$9)=0,"",ROUND(SUMPRODUCT(IFERROR('Advanced 0-10'!P203:Q203*1,0)*'Advanced Entry'!P$9:Q$9)/SUMPRODUCT(ISNUMBER('Advanced 0-10'!P203:Q203)*'Advanced Entry'!P$9:Q$9),1))</f>
        <v/>
      </c>
      <c r="G203" s="7">
        <f>IF(SUMPRODUCT(ISNUMBER('Advanced 0-10'!R203:S203)*'Advanced Entry'!R$9:S$9)=0,"",ROUND(SUMPRODUCT(IFERROR('Advanced 0-10'!R203:S203*1,0)*'Advanced Entry'!R$9:S$9)/SUMPRODUCT(ISNUMBER('Advanced 0-10'!R203:S203)*'Advanced Entry'!R$9:S$9),1))</f>
        <v/>
      </c>
      <c r="H203" s="7">
        <f>IF(SUMPRODUCT(ISNUMBER('Advanced 0-10'!T203:U203)*'Advanced Entry'!T$9:U$9)=0,"",ROUND(SUMPRODUCT(IFERROR('Advanced 0-10'!T203:U203*1,0)*'Advanced Entry'!T$9:U$9)/SUMPRODUCT(ISNUMBER('Advanced 0-10'!T203:U203)*'Advanced Entry'!T$9:U$9),1))</f>
        <v/>
      </c>
      <c r="I203" s="7">
        <f>IF(SUMPRODUCT(ISNUMBER('Advanced 0-10'!V203:Z203)*'Advanced Entry'!V$9:Z$9)=0,"",ROUND(SUMPRODUCT(IFERROR('Advanced 0-10'!V203:Z203*1,0)*'Advanced Entry'!V$9:Z$9)/SUMPRODUCT(ISNUMBER('Advanced 0-10'!V203:Z203)*'Advanced Entry'!V$9:Z$9),1))</f>
        <v/>
      </c>
      <c r="J203" s="7">
        <f>IF(SUMPRODUCT(ISNUMBER('Advanced 0-10'!AA203:AA203)*'Advanced Entry'!AA$9:AA$9)=0,"",ROUND(SUMPRODUCT(IFERROR('Advanced 0-10'!AA203:AA203*1,0)*'Advanced Entry'!AA$9:AA$9)/SUMPRODUCT(ISNUMBER('Advanced 0-10'!AA203:AA203)*'Advanced Entry'!AA$9:AA$9),1))</f>
        <v/>
      </c>
      <c r="K203" s="7">
        <f>IF(SUMPRODUCT(ISNUMBER('Advanced 0-10'!AB203:AB203)*'Advanced Entry'!AB$9:AB$9)=0,"",ROUND(SUMPRODUCT(IFERROR('Advanced 0-10'!AB203:AB203*1,0)*'Advanced Entry'!AB$9:AB$9)/SUMPRODUCT(ISNUMBER('Advanced 0-10'!AB203:AB203)*'Advanced Entry'!AB$9:AB$9),1))</f>
        <v/>
      </c>
      <c r="L203" s="19">
        <f>IF(SUMPRODUCT(--ISNUMBER(D203:K203))=0,"",ROUND(SUMPRODUCT(IFERROR(D203:K203*1,0))/SUMPRODUCT(--ISNUMBER(D203:K203)),1))</f>
        <v/>
      </c>
    </row>
    <row r="204">
      <c r="A204" t="inlineStr">
        <is>
          <t>Tanga</t>
        </is>
      </c>
      <c r="B204" t="inlineStr">
        <is>
          <t>Pangani District</t>
        </is>
      </c>
      <c r="C204" t="inlineStr">
        <is>
          <t>C029</t>
        </is>
      </c>
      <c r="D204" s="7">
        <f>IF(SUMPRODUCT(ISNUMBER('Advanced 0-10'!D204:J204)*'Advanced Entry'!D$9:J$9)=0,"",ROUND(SUMPRODUCT(IFERROR('Advanced 0-10'!D204:J204*1,0)*'Advanced Entry'!D$9:J$9)/SUMPRODUCT(ISNUMBER('Advanced 0-10'!D204:J204)*'Advanced Entry'!D$9:J$9),1))</f>
        <v/>
      </c>
      <c r="E204" s="7">
        <f>IF(SUMPRODUCT(ISNUMBER('Advanced 0-10'!K204:O204)*'Advanced Entry'!K$9:O$9)=0,"",ROUND(SUMPRODUCT(IFERROR('Advanced 0-10'!K204:O204*1,0)*'Advanced Entry'!K$9:O$9)/SUMPRODUCT(ISNUMBER('Advanced 0-10'!K204:O204)*'Advanced Entry'!K$9:O$9),1))</f>
        <v/>
      </c>
      <c r="F204" s="7">
        <f>IF(SUMPRODUCT(ISNUMBER('Advanced 0-10'!P204:Q204)*'Advanced Entry'!P$9:Q$9)=0,"",ROUND(SUMPRODUCT(IFERROR('Advanced 0-10'!P204:Q204*1,0)*'Advanced Entry'!P$9:Q$9)/SUMPRODUCT(ISNUMBER('Advanced 0-10'!P204:Q204)*'Advanced Entry'!P$9:Q$9),1))</f>
        <v/>
      </c>
      <c r="G204" s="7">
        <f>IF(SUMPRODUCT(ISNUMBER('Advanced 0-10'!R204:S204)*'Advanced Entry'!R$9:S$9)=0,"",ROUND(SUMPRODUCT(IFERROR('Advanced 0-10'!R204:S204*1,0)*'Advanced Entry'!R$9:S$9)/SUMPRODUCT(ISNUMBER('Advanced 0-10'!R204:S204)*'Advanced Entry'!R$9:S$9),1))</f>
        <v/>
      </c>
      <c r="H204" s="7">
        <f>IF(SUMPRODUCT(ISNUMBER('Advanced 0-10'!T204:U204)*'Advanced Entry'!T$9:U$9)=0,"",ROUND(SUMPRODUCT(IFERROR('Advanced 0-10'!T204:U204*1,0)*'Advanced Entry'!T$9:U$9)/SUMPRODUCT(ISNUMBER('Advanced 0-10'!T204:U204)*'Advanced Entry'!T$9:U$9),1))</f>
        <v/>
      </c>
      <c r="I204" s="7">
        <f>IF(SUMPRODUCT(ISNUMBER('Advanced 0-10'!V204:Z204)*'Advanced Entry'!V$9:Z$9)=0,"",ROUND(SUMPRODUCT(IFERROR('Advanced 0-10'!V204:Z204*1,0)*'Advanced Entry'!V$9:Z$9)/SUMPRODUCT(ISNUMBER('Advanced 0-10'!V204:Z204)*'Advanced Entry'!V$9:Z$9),1))</f>
        <v/>
      </c>
      <c r="J204" s="7">
        <f>IF(SUMPRODUCT(ISNUMBER('Advanced 0-10'!AA204:AA204)*'Advanced Entry'!AA$9:AA$9)=0,"",ROUND(SUMPRODUCT(IFERROR('Advanced 0-10'!AA204:AA204*1,0)*'Advanced Entry'!AA$9:AA$9)/SUMPRODUCT(ISNUMBER('Advanced 0-10'!AA204:AA204)*'Advanced Entry'!AA$9:AA$9),1))</f>
        <v/>
      </c>
      <c r="K204" s="7">
        <f>IF(SUMPRODUCT(ISNUMBER('Advanced 0-10'!AB204:AB204)*'Advanced Entry'!AB$9:AB$9)=0,"",ROUND(SUMPRODUCT(IFERROR('Advanced 0-10'!AB204:AB204*1,0)*'Advanced Entry'!AB$9:AB$9)/SUMPRODUCT(ISNUMBER('Advanced 0-10'!AB204:AB204)*'Advanced Entry'!AB$9:AB$9),1))</f>
        <v/>
      </c>
      <c r="L204" s="19">
        <f>IF(SUMPRODUCT(--ISNUMBER(D204:K204))=0,"",ROUND(SUMPRODUCT(IFERROR(D204:K204*1,0))/SUMPRODUCT(--ISNUMBER(D204:K204)),1))</f>
        <v/>
      </c>
    </row>
    <row r="205">
      <c r="A205" t="inlineStr">
        <is>
          <t>Tanga</t>
        </is>
      </c>
      <c r="B205" t="inlineStr">
        <is>
          <t>Tanga City</t>
        </is>
      </c>
      <c r="C205" t="inlineStr">
        <is>
          <t>C028</t>
        </is>
      </c>
      <c r="D205" s="7">
        <f>IF(SUMPRODUCT(ISNUMBER('Advanced 0-10'!D205:J205)*'Advanced Entry'!D$9:J$9)=0,"",ROUND(SUMPRODUCT(IFERROR('Advanced 0-10'!D205:J205*1,0)*'Advanced Entry'!D$9:J$9)/SUMPRODUCT(ISNUMBER('Advanced 0-10'!D205:J205)*'Advanced Entry'!D$9:J$9),1))</f>
        <v/>
      </c>
      <c r="E205" s="7">
        <f>IF(SUMPRODUCT(ISNUMBER('Advanced 0-10'!K205:O205)*'Advanced Entry'!K$9:O$9)=0,"",ROUND(SUMPRODUCT(IFERROR('Advanced 0-10'!K205:O205*1,0)*'Advanced Entry'!K$9:O$9)/SUMPRODUCT(ISNUMBER('Advanced 0-10'!K205:O205)*'Advanced Entry'!K$9:O$9),1))</f>
        <v/>
      </c>
      <c r="F205" s="7">
        <f>IF(SUMPRODUCT(ISNUMBER('Advanced 0-10'!P205:Q205)*'Advanced Entry'!P$9:Q$9)=0,"",ROUND(SUMPRODUCT(IFERROR('Advanced 0-10'!P205:Q205*1,0)*'Advanced Entry'!P$9:Q$9)/SUMPRODUCT(ISNUMBER('Advanced 0-10'!P205:Q205)*'Advanced Entry'!P$9:Q$9),1))</f>
        <v/>
      </c>
      <c r="G205" s="7">
        <f>IF(SUMPRODUCT(ISNUMBER('Advanced 0-10'!R205:S205)*'Advanced Entry'!R$9:S$9)=0,"",ROUND(SUMPRODUCT(IFERROR('Advanced 0-10'!R205:S205*1,0)*'Advanced Entry'!R$9:S$9)/SUMPRODUCT(ISNUMBER('Advanced 0-10'!R205:S205)*'Advanced Entry'!R$9:S$9),1))</f>
        <v/>
      </c>
      <c r="H205" s="7">
        <f>IF(SUMPRODUCT(ISNUMBER('Advanced 0-10'!T205:U205)*'Advanced Entry'!T$9:U$9)=0,"",ROUND(SUMPRODUCT(IFERROR('Advanced 0-10'!T205:U205*1,0)*'Advanced Entry'!T$9:U$9)/SUMPRODUCT(ISNUMBER('Advanced 0-10'!T205:U205)*'Advanced Entry'!T$9:U$9),1))</f>
        <v/>
      </c>
      <c r="I205" s="7">
        <f>IF(SUMPRODUCT(ISNUMBER('Advanced 0-10'!V205:Z205)*'Advanced Entry'!V$9:Z$9)=0,"",ROUND(SUMPRODUCT(IFERROR('Advanced 0-10'!V205:Z205*1,0)*'Advanced Entry'!V$9:Z$9)/SUMPRODUCT(ISNUMBER('Advanced 0-10'!V205:Z205)*'Advanced Entry'!V$9:Z$9),1))</f>
        <v/>
      </c>
      <c r="J205" s="7">
        <f>IF(SUMPRODUCT(ISNUMBER('Advanced 0-10'!AA205:AA205)*'Advanced Entry'!AA$9:AA$9)=0,"",ROUND(SUMPRODUCT(IFERROR('Advanced 0-10'!AA205:AA205*1,0)*'Advanced Entry'!AA$9:AA$9)/SUMPRODUCT(ISNUMBER('Advanced 0-10'!AA205:AA205)*'Advanced Entry'!AA$9:AA$9),1))</f>
        <v/>
      </c>
      <c r="K205" s="7">
        <f>IF(SUMPRODUCT(ISNUMBER('Advanced 0-10'!AB205:AB205)*'Advanced Entry'!AB$9:AB$9)=0,"",ROUND(SUMPRODUCT(IFERROR('Advanced 0-10'!AB205:AB205*1,0)*'Advanced Entry'!AB$9:AB$9)/SUMPRODUCT(ISNUMBER('Advanced 0-10'!AB205:AB205)*'Advanced Entry'!AB$9:AB$9),1))</f>
        <v/>
      </c>
      <c r="L205" s="19">
        <f>IF(SUMPRODUCT(--ISNUMBER(D205:K205))=0,"",ROUND(SUMPRODUCT(IFERROR(D205:K205*1,0))/SUMPRODUCT(--ISNUMBER(D205:K205)),1))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2026-06-03T22:00:15+00:00Z</dcterms:created>
  <dcterms:modified xmlns:dcterms="http://purl.org/dc/terms/" xmlns:xsi="http://www.w3.org/2001/XMLSchema-instance" xsi:type="dcterms:W3CDTF">2026-06-03T22:00:15+00:00Z</dcterms:modified>
</cp:coreProperties>
</file>